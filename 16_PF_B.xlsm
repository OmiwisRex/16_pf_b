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PRENDIZ DESARROLLO\Downloads\"/>
    </mc:Choice>
  </mc:AlternateContent>
  <xr:revisionPtr revIDLastSave="0" documentId="13_ncr:1_{C83937FD-5AEE-4B58-8A0A-440E39699D59}" xr6:coauthVersionLast="47" xr6:coauthVersionMax="47" xr10:uidLastSave="{00000000-0000-0000-0000-000000000000}"/>
  <bookViews>
    <workbookView xWindow="-120" yWindow="-120" windowWidth="24240" windowHeight="13140" xr2:uid="{00000000-000D-0000-FFFF-FFFF00000000}"/>
  </bookViews>
  <sheets>
    <sheet name="PTI-16" sheetId="1" r:id="rId1"/>
    <sheet name="Informe" sheetId="2" r:id="rId2"/>
    <sheet name="Textos" sheetId="13" r:id="rId3"/>
    <sheet name="Proceso items" sheetId="3" state="hidden" r:id="rId4"/>
    <sheet name="." sheetId="4" state="hidden" r:id="rId5"/>
    <sheet name="Cálculos" sheetId="5" state="hidden" r:id="rId6"/>
    <sheet name="SEC" sheetId="6" state="hidden" r:id="rId7"/>
    <sheet name="SPA" sheetId="7" state="hidden" r:id="rId8"/>
    <sheet name="MED" sheetId="8" state="hidden" r:id="rId9"/>
    <sheet name="SEM-ESP" sheetId="9" state="hidden" r:id="rId10"/>
    <sheet name="EMPRES" sheetId="10" state="hidden" r:id="rId11"/>
    <sheet name="CIENT" sheetId="11" state="hidden" r:id="rId12"/>
    <sheet name="ADM CUOTA" sheetId="12" state="hidden" r:id="rId13"/>
  </sheets>
  <definedNames>
    <definedName name="__123Graph_A" localSheetId="0">'PTI-16'!$F$7:$F$46</definedName>
    <definedName name="__123Graph_X" localSheetId="0">#REF!</definedName>
    <definedName name="_F">'PTI-16'!$F$11</definedName>
    <definedName name="_Fill" localSheetId="0">'PTI-16'!$B$50:$B$94</definedName>
    <definedName name="_Key1" localSheetId="0">Cálculos!$AL$35</definedName>
    <definedName name="_Key2" localSheetId="0">Cálculos!$AL$35</definedName>
    <definedName name="_l">'PTI-16'!$F$15</definedName>
    <definedName name="_Sort" localSheetId="0">Cálculos!$AL$35:$BU$81</definedName>
    <definedName name="_tq1">Cálculos!$H$283:$AK$301</definedName>
    <definedName name="_tq2">Cálculos!$H$306:$AC$324</definedName>
    <definedName name="_tq3">Cálculos!$H$329:$AC$347</definedName>
    <definedName name="_tq4">Cálculos!$H$352:$AI$370</definedName>
    <definedName name="_xleta.IF" hidden="1" xlm="1">#NAME?</definedName>
    <definedName name="A">'PTI-16'!$F$7</definedName>
    <definedName name="A_impresión_IM">'PTI-16'!$B$53:$Q$94</definedName>
    <definedName name="B">'PTI-16'!$F$8</definedName>
    <definedName name="C_">'PTI-16'!$F$9</definedName>
    <definedName name="COLA">#REF!</definedName>
    <definedName name="DIS">Cálculos!$AY$10:$BF$11</definedName>
    <definedName name="E">'PTI-16'!$F$10</definedName>
    <definedName name="ECUA">'PTI-16'!$B$53:$Q$94</definedName>
    <definedName name="FLECHA1">Cálculos!$AZ$26:$BK$27</definedName>
    <definedName name="FLECHA2">Cálculos!$AZ$28:$BK$29</definedName>
    <definedName name="FLECHA3">Cálculos!$AZ$30:$BK$31</definedName>
    <definedName name="G">'PTI-16'!$F$12</definedName>
    <definedName name="H">'PTI-16'!$F$13</definedName>
    <definedName name="HOJA">'PTI-16'!$B$5:$Q$49</definedName>
    <definedName name="I">'PTI-16'!$F$14</definedName>
    <definedName name="L">'PTI-16'!$F$15</definedName>
    <definedName name="LINEA">'PTI-16'!$C$8:$Q$8</definedName>
    <definedName name="LISTATABLAS">Cálculos!$A$33:$A$50</definedName>
    <definedName name="LOGO">'PTI-16'!$EE$1:$EM$2</definedName>
    <definedName name="M">'PTI-16'!$F$16</definedName>
    <definedName name="mat">'.'!$C$1:$H$56</definedName>
    <definedName name="N">'PTI-16'!$F$17</definedName>
    <definedName name="O">'PTI-16'!$F$18</definedName>
    <definedName name="PERFIL">Cálculos!$AL$35</definedName>
    <definedName name="Proceso">Cálculos!$A$1:$BV$371</definedName>
    <definedName name="Q1_">'PTI-16'!$F$19</definedName>
    <definedName name="Q2_">'PTI-16'!$F$20</definedName>
    <definedName name="Q3_">'PTI-16'!$F$21</definedName>
    <definedName name="Q4_">'PTI-16'!$F$22</definedName>
    <definedName name="ta">Cálculos!$H$12:$AJ$30</definedName>
    <definedName name="tabladis">Cálculos!$AY$10:$BM$12</definedName>
    <definedName name="TABLAS">'PTI-16'!$B$1:$P$2</definedName>
    <definedName name="TB">Cálculos!$H$34:$W$52</definedName>
    <definedName name="tc">Cálculos!$H$56:$AJ$74</definedName>
    <definedName name="TE">Cálculos!$H$78:$AH$96</definedName>
    <definedName name="TEXTO">'.'!$D$63:$D$101</definedName>
    <definedName name="TF">Cálculos!$H$100:$AH$118</definedName>
    <definedName name="tg">Cálculos!$H$122:$AE$140</definedName>
    <definedName name="th">Cálculos!$H$145:$AI$163</definedName>
    <definedName name="TI">Cálculos!$H$168:$AH$186</definedName>
    <definedName name="tl">Cálculos!$H$191:$AC$209</definedName>
    <definedName name="tm">Cálculos!$H$214:$AI$232</definedName>
    <definedName name="TN">Cálculos!$H$237:$AB$255</definedName>
    <definedName name="to">Cálculos!$H$260:$AI$278</definedName>
    <definedName name="TSO">Cálculos!$BE$2:$BS$7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17" roundtripDataChecksum="9PIAIR08IS2ACq5AnqoFOZ8nc0Bo6tdtiLvZq8n5Sa0="/>
    </ext>
  </extLst>
</workbook>
</file>

<file path=xl/calcChain.xml><?xml version="1.0" encoding="utf-8"?>
<calcChain xmlns="http://schemas.openxmlformats.org/spreadsheetml/2006/main">
  <c r="A34" i="2" l="1"/>
  <c r="A33" i="2"/>
  <c r="A35" i="2"/>
  <c r="A22" i="2"/>
  <c r="A21" i="2"/>
  <c r="A50" i="2" a="1"/>
  <c r="A50" i="2" s="1"/>
  <c r="B4" i="1"/>
  <c r="A5" i="2"/>
  <c r="A4" i="2"/>
  <c r="A3" i="2" a="1"/>
  <c r="A3" i="2" s="1"/>
  <c r="A2" i="2" a="1"/>
  <c r="A2" i="2" s="1"/>
  <c r="Q47" i="1"/>
  <c r="D18" i="12"/>
  <c r="J23" i="11"/>
  <c r="G23" i="11"/>
  <c r="D23" i="11"/>
  <c r="E29" i="8"/>
  <c r="D28" i="8"/>
  <c r="E28" i="8" s="1"/>
  <c r="BT78" i="5"/>
  <c r="BT77" i="5"/>
  <c r="BT76" i="5"/>
  <c r="BT75" i="5"/>
  <c r="BT74" i="5"/>
  <c r="BT73" i="5"/>
  <c r="BT72" i="5"/>
  <c r="BT71" i="5"/>
  <c r="BT70" i="5"/>
  <c r="BT69" i="5"/>
  <c r="BT68" i="5"/>
  <c r="BT67" i="5"/>
  <c r="BT66" i="5"/>
  <c r="BT65" i="5"/>
  <c r="BT64" i="5"/>
  <c r="BT63" i="5"/>
  <c r="BT62" i="5"/>
  <c r="BT61" i="5"/>
  <c r="BT60" i="5"/>
  <c r="BT59" i="5"/>
  <c r="BT58" i="5"/>
  <c r="BT57" i="5"/>
  <c r="BT56" i="5"/>
  <c r="BT55" i="5"/>
  <c r="BT54" i="5"/>
  <c r="BT53" i="5"/>
  <c r="BT52" i="5"/>
  <c r="BT51" i="5"/>
  <c r="BT50" i="5"/>
  <c r="BT49" i="5"/>
  <c r="BT48" i="5"/>
  <c r="BT47" i="5"/>
  <c r="BT46" i="5"/>
  <c r="BT45" i="5"/>
  <c r="BT44" i="5"/>
  <c r="BT43" i="5"/>
  <c r="BT42" i="5"/>
  <c r="BT41" i="5"/>
  <c r="BT40" i="5"/>
  <c r="BT39" i="5"/>
  <c r="BT38" i="5"/>
  <c r="BT37" i="5"/>
  <c r="BT36" i="5"/>
  <c r="BT35" i="5"/>
  <c r="BD15" i="5"/>
  <c r="BD14" i="5"/>
  <c r="BD16" i="5" s="1"/>
  <c r="D101" i="4"/>
  <c r="D100" i="4"/>
  <c r="D66" i="4"/>
  <c r="D65" i="4"/>
  <c r="D64" i="4"/>
  <c r="GF4" i="3"/>
  <c r="GF5" i="3" s="1"/>
  <c r="GE4" i="3"/>
  <c r="GE5" i="3" s="1"/>
  <c r="GD4" i="3"/>
  <c r="GD5" i="3" s="1"/>
  <c r="GC4" i="3"/>
  <c r="GC5" i="3" s="1"/>
  <c r="GC11" i="3" s="1"/>
  <c r="GB4" i="3"/>
  <c r="GB5" i="3" s="1"/>
  <c r="GA4" i="3"/>
  <c r="GA5" i="3" s="1"/>
  <c r="FZ4" i="3"/>
  <c r="FZ5" i="3" s="1"/>
  <c r="FY4" i="3"/>
  <c r="FY5" i="3" s="1"/>
  <c r="FX4" i="3"/>
  <c r="FX5" i="3" s="1"/>
  <c r="FX11" i="3" s="1"/>
  <c r="FW4" i="3"/>
  <c r="FW5" i="3" s="1"/>
  <c r="FV4" i="3"/>
  <c r="FV5" i="3" s="1"/>
  <c r="FU4" i="3"/>
  <c r="FU5" i="3" s="1"/>
  <c r="FU11" i="3" s="1"/>
  <c r="FT4" i="3"/>
  <c r="FT5" i="3" s="1"/>
  <c r="FS4" i="3"/>
  <c r="FS5" i="3" s="1"/>
  <c r="FR4" i="3"/>
  <c r="FR5" i="3" s="1"/>
  <c r="FQ4" i="3"/>
  <c r="FQ5" i="3" s="1"/>
  <c r="FQ11" i="3" s="1"/>
  <c r="FP4" i="3"/>
  <c r="FP5" i="3" s="1"/>
  <c r="FO4" i="3"/>
  <c r="FO5" i="3" s="1"/>
  <c r="FN4" i="3"/>
  <c r="FN5" i="3" s="1"/>
  <c r="FM4" i="3"/>
  <c r="FM5" i="3" s="1"/>
  <c r="FM11" i="3" s="1"/>
  <c r="FL4" i="3"/>
  <c r="FL5" i="3" s="1"/>
  <c r="FK4" i="3"/>
  <c r="FK5" i="3" s="1"/>
  <c r="FJ4" i="3"/>
  <c r="FJ5" i="3" s="1"/>
  <c r="FI4" i="3"/>
  <c r="FI5" i="3" s="1"/>
  <c r="FI11" i="3" s="1"/>
  <c r="FH4" i="3"/>
  <c r="FH5" i="3" s="1"/>
  <c r="FG4" i="3"/>
  <c r="FG5" i="3" s="1"/>
  <c r="FF4" i="3"/>
  <c r="FF5" i="3" s="1"/>
  <c r="FE4" i="3"/>
  <c r="FE5" i="3" s="1"/>
  <c r="FE11" i="3" s="1"/>
  <c r="FD4" i="3"/>
  <c r="FD5" i="3" s="1"/>
  <c r="FC4" i="3"/>
  <c r="FC5" i="3" s="1"/>
  <c r="FB4" i="3"/>
  <c r="FB5" i="3" s="1"/>
  <c r="FA4" i="3"/>
  <c r="FA5" i="3" s="1"/>
  <c r="FA11" i="3" s="1"/>
  <c r="EZ4" i="3"/>
  <c r="EZ5" i="3" s="1"/>
  <c r="EY4" i="3"/>
  <c r="EY5" i="3" s="1"/>
  <c r="EX4" i="3"/>
  <c r="EX5" i="3" s="1"/>
  <c r="EW4" i="3"/>
  <c r="EW5" i="3" s="1"/>
  <c r="EW11" i="3" s="1"/>
  <c r="EV4" i="3"/>
  <c r="EV5" i="3" s="1"/>
  <c r="EU4" i="3"/>
  <c r="EU5" i="3" s="1"/>
  <c r="ET4" i="3"/>
  <c r="ET5" i="3" s="1"/>
  <c r="ES4" i="3"/>
  <c r="ES5" i="3" s="1"/>
  <c r="ES11" i="3" s="1"/>
  <c r="ER4" i="3"/>
  <c r="ER5" i="3" s="1"/>
  <c r="EQ4" i="3"/>
  <c r="EQ5" i="3" s="1"/>
  <c r="EP4" i="3"/>
  <c r="EP5" i="3" s="1"/>
  <c r="EO4" i="3"/>
  <c r="EO5" i="3" s="1"/>
  <c r="EO11" i="3" s="1"/>
  <c r="EN4" i="3"/>
  <c r="EN5" i="3" s="1"/>
  <c r="EM4" i="3"/>
  <c r="EM5" i="3" s="1"/>
  <c r="EL4" i="3"/>
  <c r="EL5" i="3" s="1"/>
  <c r="EK4" i="3"/>
  <c r="EK5" i="3" s="1"/>
  <c r="EK11" i="3" s="1"/>
  <c r="EJ4" i="3"/>
  <c r="EJ5" i="3" s="1"/>
  <c r="EI4" i="3"/>
  <c r="EI5" i="3" s="1"/>
  <c r="EH4" i="3"/>
  <c r="EH5" i="3" s="1"/>
  <c r="EG4" i="3"/>
  <c r="EG5" i="3" s="1"/>
  <c r="EG11" i="3" s="1"/>
  <c r="EF4" i="3"/>
  <c r="EF5" i="3" s="1"/>
  <c r="EE4" i="3"/>
  <c r="EE5" i="3" s="1"/>
  <c r="ED4" i="3"/>
  <c r="ED5" i="3" s="1"/>
  <c r="EC4" i="3"/>
  <c r="EC5" i="3" s="1"/>
  <c r="EC11" i="3" s="1"/>
  <c r="EB4" i="3"/>
  <c r="EB5" i="3" s="1"/>
  <c r="EA4" i="3"/>
  <c r="EA5" i="3" s="1"/>
  <c r="DZ4" i="3"/>
  <c r="DZ5" i="3" s="1"/>
  <c r="DY4" i="3"/>
  <c r="DY5" i="3" s="1"/>
  <c r="DY11" i="3" s="1"/>
  <c r="DX4" i="3"/>
  <c r="DX5" i="3" s="1"/>
  <c r="DW4" i="3"/>
  <c r="DW5" i="3" s="1"/>
  <c r="DV4" i="3"/>
  <c r="DV5" i="3" s="1"/>
  <c r="DU4" i="3"/>
  <c r="DU5" i="3" s="1"/>
  <c r="DU11" i="3" s="1"/>
  <c r="DT4" i="3"/>
  <c r="DT5" i="3" s="1"/>
  <c r="DS4" i="3"/>
  <c r="DS5" i="3" s="1"/>
  <c r="DR4" i="3"/>
  <c r="DR5" i="3" s="1"/>
  <c r="DQ4" i="3"/>
  <c r="DQ5" i="3" s="1"/>
  <c r="DP4" i="3"/>
  <c r="DP5" i="3" s="1"/>
  <c r="DO4" i="3"/>
  <c r="DO5" i="3" s="1"/>
  <c r="DN4" i="3"/>
  <c r="DN5" i="3" s="1"/>
  <c r="DM4" i="3"/>
  <c r="DM5" i="3" s="1"/>
  <c r="DL4" i="3"/>
  <c r="DL5" i="3" s="1"/>
  <c r="DK4" i="3"/>
  <c r="DK5" i="3" s="1"/>
  <c r="DJ4" i="3"/>
  <c r="DJ5" i="3" s="1"/>
  <c r="DI4" i="3"/>
  <c r="DI5" i="3" s="1"/>
  <c r="DH4" i="3"/>
  <c r="DH5" i="3" s="1"/>
  <c r="DG4" i="3"/>
  <c r="DG5" i="3" s="1"/>
  <c r="DF4" i="3"/>
  <c r="DF5" i="3" s="1"/>
  <c r="DE4" i="3"/>
  <c r="DE5" i="3" s="1"/>
  <c r="DD4" i="3"/>
  <c r="DD5" i="3" s="1"/>
  <c r="DC4" i="3"/>
  <c r="DC5" i="3" s="1"/>
  <c r="DB4" i="3"/>
  <c r="DB5" i="3" s="1"/>
  <c r="DA4" i="3"/>
  <c r="DA5" i="3" s="1"/>
  <c r="CZ4" i="3"/>
  <c r="CZ5" i="3" s="1"/>
  <c r="CY4" i="3"/>
  <c r="CY5" i="3" s="1"/>
  <c r="CX4" i="3"/>
  <c r="CX5" i="3" s="1"/>
  <c r="CW4" i="3"/>
  <c r="CW5" i="3" s="1"/>
  <c r="CV4" i="3"/>
  <c r="CV5" i="3" s="1"/>
  <c r="CU4" i="3"/>
  <c r="CU5" i="3" s="1"/>
  <c r="CT4" i="3"/>
  <c r="CT5" i="3" s="1"/>
  <c r="CS4" i="3"/>
  <c r="CS5" i="3" s="1"/>
  <c r="CR4" i="3"/>
  <c r="CR5" i="3" s="1"/>
  <c r="CQ4" i="3"/>
  <c r="CQ5" i="3" s="1"/>
  <c r="CP4" i="3"/>
  <c r="CP5" i="3" s="1"/>
  <c r="CO4" i="3"/>
  <c r="CO5" i="3" s="1"/>
  <c r="CN4" i="3"/>
  <c r="CN5" i="3" s="1"/>
  <c r="CM4" i="3"/>
  <c r="CM5" i="3" s="1"/>
  <c r="CL4" i="3"/>
  <c r="CL5" i="3" s="1"/>
  <c r="CK4" i="3"/>
  <c r="CK5" i="3" s="1"/>
  <c r="CJ4" i="3"/>
  <c r="CJ5" i="3" s="1"/>
  <c r="CI4" i="3"/>
  <c r="CI5" i="3" s="1"/>
  <c r="CH4" i="3"/>
  <c r="CH5" i="3" s="1"/>
  <c r="CG4" i="3"/>
  <c r="CG5" i="3" s="1"/>
  <c r="CF4" i="3"/>
  <c r="CF5" i="3" s="1"/>
  <c r="CE4" i="3"/>
  <c r="CE5" i="3" s="1"/>
  <c r="CD4" i="3"/>
  <c r="CD5" i="3" s="1"/>
  <c r="CC4" i="3"/>
  <c r="CC5" i="3" s="1"/>
  <c r="CB4" i="3"/>
  <c r="CB5" i="3" s="1"/>
  <c r="CA4" i="3"/>
  <c r="CA5" i="3" s="1"/>
  <c r="BZ4" i="3"/>
  <c r="BZ5" i="3" s="1"/>
  <c r="BY4" i="3"/>
  <c r="BY5" i="3" s="1"/>
  <c r="BX4" i="3"/>
  <c r="BX5" i="3" s="1"/>
  <c r="BW4" i="3"/>
  <c r="BW5" i="3" s="1"/>
  <c r="BV4" i="3"/>
  <c r="BV5" i="3" s="1"/>
  <c r="BU4" i="3"/>
  <c r="BU5" i="3" s="1"/>
  <c r="BT4" i="3"/>
  <c r="BT5" i="3" s="1"/>
  <c r="BS4" i="3"/>
  <c r="BS5" i="3" s="1"/>
  <c r="BR4" i="3"/>
  <c r="BR5" i="3" s="1"/>
  <c r="BQ4" i="3"/>
  <c r="BQ5" i="3" s="1"/>
  <c r="BP4" i="3"/>
  <c r="BP5" i="3" s="1"/>
  <c r="BO4" i="3"/>
  <c r="BO5" i="3" s="1"/>
  <c r="BN4" i="3"/>
  <c r="BN5" i="3" s="1"/>
  <c r="BM4" i="3"/>
  <c r="BM5" i="3" s="1"/>
  <c r="BL4" i="3"/>
  <c r="BL5" i="3" s="1"/>
  <c r="BK4" i="3"/>
  <c r="BK5" i="3" s="1"/>
  <c r="BJ4" i="3"/>
  <c r="BJ5" i="3" s="1"/>
  <c r="BI4" i="3"/>
  <c r="BI5" i="3" s="1"/>
  <c r="BH4" i="3"/>
  <c r="BH5" i="3" s="1"/>
  <c r="BG4" i="3"/>
  <c r="BG5" i="3" s="1"/>
  <c r="BF4" i="3"/>
  <c r="BF5" i="3" s="1"/>
  <c r="BE4" i="3"/>
  <c r="BE5" i="3" s="1"/>
  <c r="BD4" i="3"/>
  <c r="BD5" i="3" s="1"/>
  <c r="BC4" i="3"/>
  <c r="BC5" i="3" s="1"/>
  <c r="BB4" i="3"/>
  <c r="BB5" i="3" s="1"/>
  <c r="BA4" i="3"/>
  <c r="BA5" i="3" s="1"/>
  <c r="AZ4" i="3"/>
  <c r="AZ5" i="3" s="1"/>
  <c r="AY4" i="3"/>
  <c r="AY5" i="3" s="1"/>
  <c r="AX4" i="3"/>
  <c r="AX5" i="3" s="1"/>
  <c r="AW4" i="3"/>
  <c r="AW5" i="3" s="1"/>
  <c r="AV4" i="3"/>
  <c r="AV5" i="3" s="1"/>
  <c r="AU4" i="3"/>
  <c r="AU5" i="3" s="1"/>
  <c r="AT4" i="3"/>
  <c r="AT5" i="3" s="1"/>
  <c r="AS4" i="3"/>
  <c r="AS5" i="3" s="1"/>
  <c r="AR4" i="3"/>
  <c r="AR5" i="3" s="1"/>
  <c r="AQ4" i="3"/>
  <c r="AQ5" i="3" s="1"/>
  <c r="AP4" i="3"/>
  <c r="AP5" i="3" s="1"/>
  <c r="AO4" i="3"/>
  <c r="AO5" i="3" s="1"/>
  <c r="AN4" i="3"/>
  <c r="AN5" i="3" s="1"/>
  <c r="AM4" i="3"/>
  <c r="AM5" i="3" s="1"/>
  <c r="AL4" i="3"/>
  <c r="AL5" i="3" s="1"/>
  <c r="AK4" i="3"/>
  <c r="AK5" i="3" s="1"/>
  <c r="AJ4" i="3"/>
  <c r="AJ5" i="3" s="1"/>
  <c r="AI4" i="3"/>
  <c r="AI5" i="3" s="1"/>
  <c r="AH4" i="3"/>
  <c r="AH5" i="3" s="1"/>
  <c r="AG4" i="3"/>
  <c r="AG5" i="3" s="1"/>
  <c r="AF4" i="3"/>
  <c r="AF5" i="3" s="1"/>
  <c r="AE4" i="3"/>
  <c r="AE5" i="3" s="1"/>
  <c r="AD4" i="3"/>
  <c r="AD5" i="3" s="1"/>
  <c r="AC4" i="3"/>
  <c r="AC5" i="3" s="1"/>
  <c r="AB4" i="3"/>
  <c r="AB5" i="3" s="1"/>
  <c r="AA4" i="3"/>
  <c r="AA5" i="3" s="1"/>
  <c r="Z4" i="3"/>
  <c r="Z5" i="3" s="1"/>
  <c r="Y4" i="3"/>
  <c r="Y5" i="3" s="1"/>
  <c r="X4" i="3"/>
  <c r="X5" i="3" s="1"/>
  <c r="W4" i="3"/>
  <c r="W5" i="3" s="1"/>
  <c r="V4" i="3"/>
  <c r="V5" i="3" s="1"/>
  <c r="U4" i="3"/>
  <c r="U5" i="3" s="1"/>
  <c r="T4" i="3"/>
  <c r="T5" i="3" s="1"/>
  <c r="S4" i="3"/>
  <c r="S5" i="3" s="1"/>
  <c r="R4" i="3"/>
  <c r="R5" i="3" s="1"/>
  <c r="Q4" i="3"/>
  <c r="Q5" i="3" s="1"/>
  <c r="P4" i="3"/>
  <c r="P5" i="3" s="1"/>
  <c r="O4" i="3"/>
  <c r="O5" i="3" s="1"/>
  <c r="N4" i="3"/>
  <c r="N5" i="3" s="1"/>
  <c r="M4" i="3"/>
  <c r="M5" i="3" s="1"/>
  <c r="L4" i="3"/>
  <c r="L5" i="3" s="1"/>
  <c r="K4" i="3"/>
  <c r="K5" i="3" s="1"/>
  <c r="J4" i="3"/>
  <c r="J5" i="3" s="1"/>
  <c r="I4" i="3"/>
  <c r="I5" i="3" s="1"/>
  <c r="H4" i="3"/>
  <c r="H5" i="3" s="1"/>
  <c r="G4" i="3"/>
  <c r="G5" i="3" s="1"/>
  <c r="F4" i="3"/>
  <c r="F5" i="3" s="1"/>
  <c r="E4" i="3"/>
  <c r="E5" i="3" s="1"/>
  <c r="D4" i="3"/>
  <c r="D5" i="3" s="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F47" i="1"/>
  <c r="F46" i="1"/>
  <c r="D46" i="1"/>
  <c r="I4" i="1"/>
  <c r="G47" i="1" s="1"/>
  <c r="DZ11" i="3" l="1"/>
  <c r="DZ10" i="3"/>
  <c r="DZ9" i="3"/>
  <c r="DZ12" i="3" s="1"/>
  <c r="ET11" i="3"/>
  <c r="ET10" i="3"/>
  <c r="ET9" i="3"/>
  <c r="ET12" i="3" s="1"/>
  <c r="FF11" i="3"/>
  <c r="FF10" i="3"/>
  <c r="FF9" i="3"/>
  <c r="FF12" i="3" s="1"/>
  <c r="FZ14" i="3"/>
  <c r="FZ11" i="3"/>
  <c r="FZ10" i="3"/>
  <c r="FZ9" i="3"/>
  <c r="FZ12" i="3" s="1"/>
  <c r="O11" i="3"/>
  <c r="O10" i="3"/>
  <c r="O9" i="3"/>
  <c r="O12" i="3" s="1"/>
  <c r="D11" i="3"/>
  <c r="D10" i="3"/>
  <c r="D9" i="3"/>
  <c r="D12" i="3" s="1"/>
  <c r="L11" i="3"/>
  <c r="L10" i="3"/>
  <c r="L9" i="3"/>
  <c r="L12" i="3" s="1"/>
  <c r="T11" i="3"/>
  <c r="T10" i="3"/>
  <c r="T9" i="3"/>
  <c r="T12" i="3" s="1"/>
  <c r="AB10" i="3"/>
  <c r="AB9" i="3"/>
  <c r="AB12" i="3" s="1"/>
  <c r="AB11" i="3"/>
  <c r="AN11" i="3"/>
  <c r="AN10" i="3"/>
  <c r="AN9" i="3"/>
  <c r="AN12" i="3" s="1"/>
  <c r="E11" i="3"/>
  <c r="E9" i="3"/>
  <c r="E12" i="3" s="1"/>
  <c r="E10" i="3"/>
  <c r="I11" i="3"/>
  <c r="I9" i="3"/>
  <c r="I12" i="3" s="1"/>
  <c r="I10" i="3"/>
  <c r="M10" i="3"/>
  <c r="M11" i="3"/>
  <c r="M9" i="3"/>
  <c r="M12" i="3" s="1"/>
  <c r="Q14" i="3"/>
  <c r="Q10" i="3"/>
  <c r="Q11" i="3"/>
  <c r="Q9" i="3"/>
  <c r="Q12" i="3" s="1"/>
  <c r="U11" i="3"/>
  <c r="U9" i="3"/>
  <c r="U12" i="3" s="1"/>
  <c r="U10" i="3"/>
  <c r="Y11" i="3"/>
  <c r="Y9" i="3"/>
  <c r="Y12" i="3" s="1"/>
  <c r="Y10" i="3"/>
  <c r="AC11" i="3"/>
  <c r="AC10" i="3"/>
  <c r="AC9" i="3"/>
  <c r="AC12" i="3" s="1"/>
  <c r="AC13" i="3" s="1"/>
  <c r="AG11" i="3"/>
  <c r="AG10" i="3"/>
  <c r="AG9" i="3"/>
  <c r="AG12" i="3" s="1"/>
  <c r="AK11" i="3"/>
  <c r="AK9" i="3"/>
  <c r="AK12" i="3" s="1"/>
  <c r="AK10" i="3"/>
  <c r="AO14" i="3"/>
  <c r="AO9" i="3"/>
  <c r="AO12" i="3" s="1"/>
  <c r="AO11" i="3"/>
  <c r="AO10" i="3"/>
  <c r="AS11" i="3"/>
  <c r="AS10" i="3"/>
  <c r="AS9" i="3"/>
  <c r="AS12" i="3" s="1"/>
  <c r="AW14" i="3"/>
  <c r="AW11" i="3"/>
  <c r="AW10" i="3"/>
  <c r="AW9" i="3"/>
  <c r="AW12" i="3" s="1"/>
  <c r="BA11" i="3"/>
  <c r="BA9" i="3"/>
  <c r="BA12" i="3" s="1"/>
  <c r="BA10" i="3"/>
  <c r="BE9" i="3"/>
  <c r="BE12" i="3" s="1"/>
  <c r="BE11" i="3"/>
  <c r="BE10" i="3"/>
  <c r="BI11" i="3"/>
  <c r="BI10" i="3"/>
  <c r="BI9" i="3"/>
  <c r="BI12" i="3" s="1"/>
  <c r="BM11" i="3"/>
  <c r="BM10" i="3"/>
  <c r="BM9" i="3"/>
  <c r="BM12" i="3" s="1"/>
  <c r="BQ11" i="3"/>
  <c r="BQ9" i="3"/>
  <c r="BQ12" i="3" s="1"/>
  <c r="BQ10" i="3"/>
  <c r="BU9" i="3"/>
  <c r="BU12" i="3" s="1"/>
  <c r="BU10" i="3"/>
  <c r="BU11" i="3"/>
  <c r="BY11" i="3"/>
  <c r="BY10" i="3"/>
  <c r="BY9" i="3"/>
  <c r="BY12" i="3" s="1"/>
  <c r="CC11" i="3"/>
  <c r="CC10" i="3"/>
  <c r="CC9" i="3"/>
  <c r="CC12" i="3" s="1"/>
  <c r="CG11" i="3"/>
  <c r="CG9" i="3"/>
  <c r="CG12" i="3" s="1"/>
  <c r="CG13" i="3" s="1"/>
  <c r="CG10" i="3"/>
  <c r="CK11" i="3"/>
  <c r="CK9" i="3"/>
  <c r="CK12" i="3" s="1"/>
  <c r="CK10" i="3"/>
  <c r="CO11" i="3"/>
  <c r="CO10" i="3"/>
  <c r="CO9" i="3"/>
  <c r="CO12" i="3" s="1"/>
  <c r="CO13" i="3" s="1"/>
  <c r="CS11" i="3"/>
  <c r="CS10" i="3"/>
  <c r="CS9" i="3"/>
  <c r="CS12" i="3" s="1"/>
  <c r="CW11" i="3"/>
  <c r="CW9" i="3"/>
  <c r="CW12" i="3" s="1"/>
  <c r="CW10" i="3"/>
  <c r="DA9" i="3"/>
  <c r="DA12" i="3" s="1"/>
  <c r="DA11" i="3"/>
  <c r="DA10" i="3"/>
  <c r="DE11" i="3"/>
  <c r="DE10" i="3"/>
  <c r="DE9" i="3"/>
  <c r="DE12" i="3" s="1"/>
  <c r="DI11" i="3"/>
  <c r="DI10" i="3"/>
  <c r="DI9" i="3"/>
  <c r="DI12" i="3" s="1"/>
  <c r="DI13" i="3" s="1"/>
  <c r="DM14" i="3"/>
  <c r="DM11" i="3"/>
  <c r="DM9" i="3"/>
  <c r="DM12" i="3" s="1"/>
  <c r="DM10" i="3"/>
  <c r="DQ11" i="3"/>
  <c r="DQ9" i="3"/>
  <c r="DQ12" i="3" s="1"/>
  <c r="DQ10" i="3"/>
  <c r="ED11" i="3"/>
  <c r="ED10" i="3"/>
  <c r="ED9" i="3"/>
  <c r="ED12" i="3" s="1"/>
  <c r="EP11" i="3"/>
  <c r="EP10" i="3"/>
  <c r="EP9" i="3"/>
  <c r="EP12" i="3" s="1"/>
  <c r="FJ11" i="3"/>
  <c r="FJ10" i="3"/>
  <c r="FJ9" i="3"/>
  <c r="FJ12" i="3" s="1"/>
  <c r="FV11" i="3"/>
  <c r="FV10" i="3"/>
  <c r="FV9" i="3"/>
  <c r="FV12" i="3" s="1"/>
  <c r="G11" i="3"/>
  <c r="G10" i="3"/>
  <c r="G9" i="3"/>
  <c r="G12" i="3" s="1"/>
  <c r="S14" i="3"/>
  <c r="S11" i="3"/>
  <c r="S10" i="3"/>
  <c r="S9" i="3"/>
  <c r="S12" i="3" s="1"/>
  <c r="W11" i="3"/>
  <c r="W10" i="3"/>
  <c r="W9" i="3"/>
  <c r="W12" i="3" s="1"/>
  <c r="AA11" i="3"/>
  <c r="AA10" i="3"/>
  <c r="AA9" i="3"/>
  <c r="AA12" i="3" s="1"/>
  <c r="AE10" i="3"/>
  <c r="AE9" i="3"/>
  <c r="AE12" i="3" s="1"/>
  <c r="AE11" i="3"/>
  <c r="AI11" i="3"/>
  <c r="AI10" i="3"/>
  <c r="AI9" i="3"/>
  <c r="AI12" i="3" s="1"/>
  <c r="AM11" i="3"/>
  <c r="AM10" i="3"/>
  <c r="AM9" i="3"/>
  <c r="AM12" i="3" s="1"/>
  <c r="AQ11" i="3"/>
  <c r="AQ14" i="3"/>
  <c r="AQ10" i="3"/>
  <c r="AQ9" i="3"/>
  <c r="AQ12" i="3" s="1"/>
  <c r="AU10" i="3"/>
  <c r="AU9" i="3"/>
  <c r="AU12" i="3" s="1"/>
  <c r="AU11" i="3"/>
  <c r="AY11" i="3"/>
  <c r="AY10" i="3"/>
  <c r="AY9" i="3"/>
  <c r="AY12" i="3" s="1"/>
  <c r="BC11" i="3"/>
  <c r="BC10" i="3"/>
  <c r="BC9" i="3"/>
  <c r="BC12" i="3" s="1"/>
  <c r="BG14" i="3"/>
  <c r="BG11" i="3"/>
  <c r="BG10" i="3"/>
  <c r="BG9" i="3"/>
  <c r="BG12" i="3" s="1"/>
  <c r="BK10" i="3"/>
  <c r="BK9" i="3"/>
  <c r="BK12" i="3" s="1"/>
  <c r="BK11" i="3"/>
  <c r="BO11" i="3"/>
  <c r="BO10" i="3"/>
  <c r="BO9" i="3"/>
  <c r="BO12" i="3" s="1"/>
  <c r="BS11" i="3"/>
  <c r="BS10" i="3"/>
  <c r="BS9" i="3"/>
  <c r="BS12" i="3" s="1"/>
  <c r="BW11" i="3"/>
  <c r="BW10" i="3"/>
  <c r="BW9" i="3"/>
  <c r="BW12" i="3" s="1"/>
  <c r="CA10" i="3"/>
  <c r="CA9" i="3"/>
  <c r="CA12" i="3" s="1"/>
  <c r="CA11" i="3"/>
  <c r="CE11" i="3"/>
  <c r="CE10" i="3"/>
  <c r="CE9" i="3"/>
  <c r="CE12" i="3" s="1"/>
  <c r="CI11" i="3"/>
  <c r="CI10" i="3"/>
  <c r="CI9" i="3"/>
  <c r="CI12" i="3" s="1"/>
  <c r="CM11" i="3"/>
  <c r="CM10" i="3"/>
  <c r="CM9" i="3"/>
  <c r="CM12" i="3" s="1"/>
  <c r="CQ10" i="3"/>
  <c r="CQ9" i="3"/>
  <c r="CQ12" i="3" s="1"/>
  <c r="CQ11" i="3"/>
  <c r="CU11" i="3"/>
  <c r="CU10" i="3"/>
  <c r="CU9" i="3"/>
  <c r="CU12" i="3" s="1"/>
  <c r="CY14" i="3"/>
  <c r="CY11" i="3"/>
  <c r="CY10" i="3"/>
  <c r="CY9" i="3"/>
  <c r="CY12" i="3" s="1"/>
  <c r="DC11" i="3"/>
  <c r="DC10" i="3"/>
  <c r="DC9" i="3"/>
  <c r="DC12" i="3" s="1"/>
  <c r="DG10" i="3"/>
  <c r="DG9" i="3"/>
  <c r="DG12" i="3" s="1"/>
  <c r="DG11" i="3"/>
  <c r="DK11" i="3"/>
  <c r="DK10" i="3"/>
  <c r="DK9" i="3"/>
  <c r="DK12" i="3" s="1"/>
  <c r="DO11" i="3"/>
  <c r="DO10" i="3"/>
  <c r="DO9" i="3"/>
  <c r="DO12" i="3" s="1"/>
  <c r="DS11" i="3"/>
  <c r="DS10" i="3"/>
  <c r="DS9" i="3"/>
  <c r="DS12" i="3" s="1"/>
  <c r="DW11" i="3"/>
  <c r="DW10" i="3"/>
  <c r="DW9" i="3"/>
  <c r="DW12" i="3" s="1"/>
  <c r="EA11" i="3"/>
  <c r="EA10" i="3"/>
  <c r="EA9" i="3"/>
  <c r="EA12" i="3" s="1"/>
  <c r="EE11" i="3"/>
  <c r="EE10" i="3"/>
  <c r="EE9" i="3"/>
  <c r="EE12" i="3" s="1"/>
  <c r="EI11" i="3"/>
  <c r="EI10" i="3"/>
  <c r="EI9" i="3"/>
  <c r="EI12" i="3" s="1"/>
  <c r="EM11" i="3"/>
  <c r="EM14" i="3"/>
  <c r="EM10" i="3"/>
  <c r="EM9" i="3"/>
  <c r="EM12" i="3" s="1"/>
  <c r="EQ11" i="3"/>
  <c r="EQ10" i="3"/>
  <c r="EQ9" i="3"/>
  <c r="EQ12" i="3" s="1"/>
  <c r="EU11" i="3"/>
  <c r="EU10" i="3"/>
  <c r="EU9" i="3"/>
  <c r="EU12" i="3" s="1"/>
  <c r="EY11" i="3"/>
  <c r="EY10" i="3"/>
  <c r="EY9" i="3"/>
  <c r="EY12" i="3" s="1"/>
  <c r="FC11" i="3"/>
  <c r="FC10" i="3"/>
  <c r="FC9" i="3"/>
  <c r="FC12" i="3" s="1"/>
  <c r="FG11" i="3"/>
  <c r="FG10" i="3"/>
  <c r="FG9" i="3"/>
  <c r="FG12" i="3" s="1"/>
  <c r="FK11" i="3"/>
  <c r="FK10" i="3"/>
  <c r="FK9" i="3"/>
  <c r="FK12" i="3" s="1"/>
  <c r="FO11" i="3"/>
  <c r="FO10" i="3"/>
  <c r="FO9" i="3"/>
  <c r="FO12" i="3" s="1"/>
  <c r="FO13" i="3" s="1"/>
  <c r="FS11" i="3"/>
  <c r="FS10" i="3"/>
  <c r="FS9" i="3"/>
  <c r="FS12" i="3" s="1"/>
  <c r="DV11" i="3"/>
  <c r="DV10" i="3"/>
  <c r="DV9" i="3"/>
  <c r="DV12" i="3" s="1"/>
  <c r="EL11" i="3"/>
  <c r="EL10" i="3"/>
  <c r="EL9" i="3"/>
  <c r="EL12" i="3" s="1"/>
  <c r="FB11" i="3"/>
  <c r="FB10" i="3"/>
  <c r="FB9" i="3"/>
  <c r="FB12" i="3" s="1"/>
  <c r="FR11" i="3"/>
  <c r="FR10" i="3"/>
  <c r="FR9" i="3"/>
  <c r="FR12" i="3" s="1"/>
  <c r="FR14" i="3"/>
  <c r="K11" i="3"/>
  <c r="K10" i="3"/>
  <c r="K9" i="3"/>
  <c r="K12" i="3" s="1"/>
  <c r="H11" i="3"/>
  <c r="H10" i="3"/>
  <c r="H9" i="3"/>
  <c r="H12" i="3" s="1"/>
  <c r="P14" i="3"/>
  <c r="C14" i="3" s="1"/>
  <c r="P11" i="3"/>
  <c r="P10" i="3"/>
  <c r="P9" i="3"/>
  <c r="P12" i="3" s="1"/>
  <c r="X11" i="3"/>
  <c r="X10" i="3"/>
  <c r="X9" i="3"/>
  <c r="X12" i="3" s="1"/>
  <c r="AF11" i="3"/>
  <c r="AF10" i="3"/>
  <c r="AF9" i="3"/>
  <c r="AF12" i="3" s="1"/>
  <c r="AJ10" i="3"/>
  <c r="AJ9" i="3"/>
  <c r="AJ12" i="3" s="1"/>
  <c r="AJ11" i="3"/>
  <c r="AR10" i="3"/>
  <c r="AR9" i="3"/>
  <c r="AR12" i="3" s="1"/>
  <c r="AR11" i="3"/>
  <c r="AV11" i="3"/>
  <c r="AV10" i="3"/>
  <c r="AV9" i="3"/>
  <c r="AV12" i="3" s="1"/>
  <c r="AZ10" i="3"/>
  <c r="AZ9" i="3"/>
  <c r="AZ12" i="3" s="1"/>
  <c r="AZ11" i="3"/>
  <c r="BD11" i="3"/>
  <c r="BD10" i="3"/>
  <c r="BD9" i="3"/>
  <c r="BD12" i="3" s="1"/>
  <c r="BH14" i="3"/>
  <c r="BH10" i="3"/>
  <c r="BH9" i="3"/>
  <c r="BH12" i="3" s="1"/>
  <c r="BH11" i="3"/>
  <c r="BL11" i="3"/>
  <c r="BL10" i="3"/>
  <c r="BL9" i="3"/>
  <c r="BL12" i="3" s="1"/>
  <c r="BP10" i="3"/>
  <c r="BP9" i="3"/>
  <c r="BP12" i="3" s="1"/>
  <c r="BP13" i="3" s="1"/>
  <c r="BP11" i="3"/>
  <c r="BT14" i="3"/>
  <c r="BT11" i="3"/>
  <c r="BT10" i="3"/>
  <c r="BT9" i="3"/>
  <c r="BT12" i="3" s="1"/>
  <c r="BX10" i="3"/>
  <c r="BX9" i="3"/>
  <c r="BX12" i="3" s="1"/>
  <c r="BX13" i="3" s="1"/>
  <c r="BX11" i="3"/>
  <c r="CB11" i="3"/>
  <c r="CB10" i="3"/>
  <c r="CB9" i="3"/>
  <c r="CB12" i="3" s="1"/>
  <c r="CF10" i="3"/>
  <c r="CF9" i="3"/>
  <c r="CF12" i="3" s="1"/>
  <c r="CF11" i="3"/>
  <c r="CJ11" i="3"/>
  <c r="CJ10" i="3"/>
  <c r="CJ9" i="3"/>
  <c r="CJ12" i="3" s="1"/>
  <c r="CN10" i="3"/>
  <c r="CN9" i="3"/>
  <c r="CN12" i="3" s="1"/>
  <c r="CN11" i="3"/>
  <c r="CR11" i="3"/>
  <c r="CR10" i="3"/>
  <c r="CR9" i="3"/>
  <c r="CR12" i="3" s="1"/>
  <c r="CR13" i="3" s="1"/>
  <c r="CV10" i="3"/>
  <c r="CV9" i="3"/>
  <c r="CV12" i="3" s="1"/>
  <c r="CV11" i="3"/>
  <c r="CZ11" i="3"/>
  <c r="CZ10" i="3"/>
  <c r="CZ9" i="3"/>
  <c r="CZ12" i="3" s="1"/>
  <c r="DD10" i="3"/>
  <c r="DD9" i="3"/>
  <c r="DD12" i="3" s="1"/>
  <c r="DD11" i="3"/>
  <c r="DH11" i="3"/>
  <c r="DH10" i="3"/>
  <c r="DH9" i="3"/>
  <c r="DH12" i="3" s="1"/>
  <c r="DL10" i="3"/>
  <c r="DL9" i="3"/>
  <c r="DL12" i="3" s="1"/>
  <c r="DL11" i="3"/>
  <c r="DP10" i="3"/>
  <c r="DP9" i="3"/>
  <c r="DP12" i="3" s="1"/>
  <c r="DP11" i="3"/>
  <c r="DT10" i="3"/>
  <c r="DT9" i="3"/>
  <c r="DT12" i="3" s="1"/>
  <c r="DT11" i="3"/>
  <c r="DX10" i="3"/>
  <c r="DX9" i="3"/>
  <c r="DX12" i="3" s="1"/>
  <c r="DX11" i="3"/>
  <c r="EB14" i="3"/>
  <c r="EB10" i="3"/>
  <c r="EB9" i="3"/>
  <c r="EB12" i="3" s="1"/>
  <c r="EB11" i="3"/>
  <c r="EF14" i="3"/>
  <c r="EF10" i="3"/>
  <c r="EF9" i="3"/>
  <c r="EF12" i="3" s="1"/>
  <c r="EF11" i="3"/>
  <c r="EJ10" i="3"/>
  <c r="EJ9" i="3"/>
  <c r="EJ12" i="3" s="1"/>
  <c r="EJ11" i="3"/>
  <c r="EN10" i="3"/>
  <c r="EN9" i="3"/>
  <c r="EN12" i="3" s="1"/>
  <c r="EN11" i="3"/>
  <c r="ER10" i="3"/>
  <c r="ER9" i="3"/>
  <c r="ER12" i="3" s="1"/>
  <c r="ER11" i="3"/>
  <c r="EV10" i="3"/>
  <c r="EV9" i="3"/>
  <c r="EV12" i="3" s="1"/>
  <c r="EV13" i="3" s="1"/>
  <c r="EV11" i="3"/>
  <c r="EZ10" i="3"/>
  <c r="EZ9" i="3"/>
  <c r="EZ12" i="3" s="1"/>
  <c r="EZ11" i="3"/>
  <c r="FD10" i="3"/>
  <c r="FD9" i="3"/>
  <c r="FD12" i="3" s="1"/>
  <c r="FD11" i="3"/>
  <c r="FH10" i="3"/>
  <c r="FH9" i="3"/>
  <c r="FH12" i="3" s="1"/>
  <c r="FH11" i="3"/>
  <c r="FL10" i="3"/>
  <c r="FL9" i="3"/>
  <c r="FL12" i="3" s="1"/>
  <c r="FL11" i="3"/>
  <c r="FP10" i="3"/>
  <c r="FP9" i="3"/>
  <c r="FP12" i="3" s="1"/>
  <c r="FP11" i="3"/>
  <c r="FT10" i="3"/>
  <c r="FT9" i="3"/>
  <c r="FT12" i="3" s="1"/>
  <c r="FT13" i="3" s="1"/>
  <c r="FT11" i="3"/>
  <c r="FY11" i="3"/>
  <c r="FY14" i="3"/>
  <c r="DU9" i="3"/>
  <c r="DU12" i="3" s="1"/>
  <c r="EK9" i="3"/>
  <c r="EK12" i="3" s="1"/>
  <c r="FA9" i="3"/>
  <c r="FA12" i="3" s="1"/>
  <c r="FQ9" i="3"/>
  <c r="FQ12" i="3" s="1"/>
  <c r="EC10" i="3"/>
  <c r="ES10" i="3"/>
  <c r="FI10" i="3"/>
  <c r="FY10" i="3"/>
  <c r="B24" i="5"/>
  <c r="C24" i="5" s="1"/>
  <c r="D24" i="5" s="1"/>
  <c r="E24" i="5" s="1"/>
  <c r="F19" i="1" s="1"/>
  <c r="A13" i="2" s="1"/>
  <c r="B25" i="5"/>
  <c r="C25" i="5" s="1"/>
  <c r="D25" i="5" s="1"/>
  <c r="E25" i="5" s="1"/>
  <c r="F20" i="1" s="1"/>
  <c r="A31" i="2" s="1"/>
  <c r="B21" i="5"/>
  <c r="C21" i="5" s="1"/>
  <c r="D21" i="5" s="1"/>
  <c r="E21" i="5" s="1"/>
  <c r="F16" i="1" s="1"/>
  <c r="A12" i="2" s="1"/>
  <c r="B27" i="5"/>
  <c r="C27" i="5" s="1"/>
  <c r="D27" i="5" s="1"/>
  <c r="E27" i="5" s="1"/>
  <c r="F22" i="1" s="1"/>
  <c r="A20" i="2" s="1"/>
  <c r="B19" i="5"/>
  <c r="C19" i="5" s="1"/>
  <c r="D19" i="5" s="1"/>
  <c r="E19" i="5" s="1"/>
  <c r="F14" i="1" s="1"/>
  <c r="A18" i="2" s="1"/>
  <c r="B16" i="5"/>
  <c r="C16" i="5" s="1"/>
  <c r="D16" i="5" s="1"/>
  <c r="E16" i="5" s="1"/>
  <c r="F11" i="1" s="1"/>
  <c r="A10" i="2" s="1"/>
  <c r="B14" i="5"/>
  <c r="C14" i="5" s="1"/>
  <c r="D14" i="5" s="1"/>
  <c r="E14" i="5" s="1"/>
  <c r="F9" i="1" s="1"/>
  <c r="B18" i="5"/>
  <c r="C18" i="5" s="1"/>
  <c r="D18" i="5" s="1"/>
  <c r="E18" i="5" s="1"/>
  <c r="F13" i="1" s="1"/>
  <c r="B13" i="5"/>
  <c r="C13" i="5" s="1"/>
  <c r="D13" i="5" s="1"/>
  <c r="E13" i="5" s="1"/>
  <c r="F8" i="1" s="1"/>
  <c r="B26" i="5"/>
  <c r="C26" i="5" s="1"/>
  <c r="D26" i="5" s="1"/>
  <c r="E26" i="5" s="1"/>
  <c r="F21" i="1" s="1"/>
  <c r="A32" i="2" s="1"/>
  <c r="B22" i="5"/>
  <c r="C22" i="5" s="1"/>
  <c r="D22" i="5" s="1"/>
  <c r="E22" i="5" s="1"/>
  <c r="F17" i="1" s="1"/>
  <c r="A30" i="2" s="1"/>
  <c r="B17" i="5"/>
  <c r="C17" i="5" s="1"/>
  <c r="D17" i="5" s="1"/>
  <c r="E17" i="5" s="1"/>
  <c r="F12" i="1" s="1"/>
  <c r="A39" i="2" s="1"/>
  <c r="B15" i="5"/>
  <c r="C15" i="5" s="1"/>
  <c r="D15" i="5" s="1"/>
  <c r="E15" i="5" s="1"/>
  <c r="F10" i="1" s="1"/>
  <c r="A27" i="2" s="1"/>
  <c r="B12" i="5"/>
  <c r="C12" i="5" s="1"/>
  <c r="D12" i="5" s="1"/>
  <c r="E12" i="5" s="1"/>
  <c r="F7" i="1" s="1"/>
  <c r="B23" i="5"/>
  <c r="C23" i="5" s="1"/>
  <c r="D23" i="5" s="1"/>
  <c r="E23" i="5" s="1"/>
  <c r="F18" i="1" s="1"/>
  <c r="B20" i="5"/>
  <c r="C20" i="5" s="1"/>
  <c r="D20" i="5" s="1"/>
  <c r="E20" i="5" s="1"/>
  <c r="F15" i="1" s="1"/>
  <c r="A29" i="2" s="1"/>
  <c r="FW11" i="3"/>
  <c r="FW10" i="3"/>
  <c r="FW9" i="3"/>
  <c r="FW12" i="3" s="1"/>
  <c r="GA11" i="3"/>
  <c r="GA10" i="3"/>
  <c r="GA9" i="3"/>
  <c r="GA12" i="3" s="1"/>
  <c r="GE11" i="3"/>
  <c r="GE10" i="3"/>
  <c r="GE9" i="3"/>
  <c r="GE12" i="3" s="1"/>
  <c r="F11" i="3"/>
  <c r="F10" i="3"/>
  <c r="F9" i="3"/>
  <c r="F12" i="3" s="1"/>
  <c r="J11" i="3"/>
  <c r="J10" i="3"/>
  <c r="J9" i="3"/>
  <c r="J12" i="3" s="1"/>
  <c r="N11" i="3"/>
  <c r="N10" i="3"/>
  <c r="N9" i="3"/>
  <c r="N12" i="3" s="1"/>
  <c r="R11" i="3"/>
  <c r="R10" i="3"/>
  <c r="R9" i="3"/>
  <c r="R12" i="3" s="1"/>
  <c r="V11" i="3"/>
  <c r="V10" i="3"/>
  <c r="V9" i="3"/>
  <c r="V12" i="3" s="1"/>
  <c r="Z11" i="3"/>
  <c r="Z10" i="3"/>
  <c r="Z9" i="3"/>
  <c r="Z12" i="3" s="1"/>
  <c r="Z13" i="3" s="1"/>
  <c r="AD11" i="3"/>
  <c r="AD10" i="3"/>
  <c r="AD9" i="3"/>
  <c r="AD12" i="3" s="1"/>
  <c r="AH11" i="3"/>
  <c r="AH10" i="3"/>
  <c r="AH9" i="3"/>
  <c r="AH12" i="3" s="1"/>
  <c r="AL11" i="3"/>
  <c r="AL10" i="3"/>
  <c r="AL9" i="3"/>
  <c r="AL12" i="3" s="1"/>
  <c r="AL13" i="3" s="1"/>
  <c r="AP11" i="3"/>
  <c r="AP10" i="3"/>
  <c r="AP9" i="3"/>
  <c r="AP12" i="3" s="1"/>
  <c r="AT11" i="3"/>
  <c r="AT10" i="3"/>
  <c r="AT9" i="3"/>
  <c r="AT12" i="3" s="1"/>
  <c r="AX11" i="3"/>
  <c r="AX10" i="3"/>
  <c r="AX9" i="3"/>
  <c r="AX12" i="3" s="1"/>
  <c r="BB11" i="3"/>
  <c r="BB10" i="3"/>
  <c r="BB9" i="3"/>
  <c r="BB12" i="3" s="1"/>
  <c r="BF11" i="3"/>
  <c r="BF10" i="3"/>
  <c r="BF9" i="3"/>
  <c r="BF12" i="3" s="1"/>
  <c r="BJ11" i="3"/>
  <c r="BJ10" i="3"/>
  <c r="BJ9" i="3"/>
  <c r="BJ12" i="3" s="1"/>
  <c r="BN11" i="3"/>
  <c r="BN10" i="3"/>
  <c r="BN9" i="3"/>
  <c r="BN12" i="3" s="1"/>
  <c r="BR11" i="3"/>
  <c r="BR10" i="3"/>
  <c r="BR9" i="3"/>
  <c r="BR12" i="3" s="1"/>
  <c r="BV11" i="3"/>
  <c r="BV10" i="3"/>
  <c r="BV9" i="3"/>
  <c r="BV12" i="3" s="1"/>
  <c r="BZ14" i="3"/>
  <c r="BZ11" i="3"/>
  <c r="BZ10" i="3"/>
  <c r="BZ9" i="3"/>
  <c r="BZ12" i="3" s="1"/>
  <c r="CD11" i="3"/>
  <c r="CD10" i="3"/>
  <c r="CD9" i="3"/>
  <c r="CD12" i="3" s="1"/>
  <c r="CH11" i="3"/>
  <c r="CH10" i="3"/>
  <c r="CH9" i="3"/>
  <c r="CH12" i="3" s="1"/>
  <c r="CL11" i="3"/>
  <c r="CL10" i="3"/>
  <c r="CL9" i="3"/>
  <c r="CL12" i="3" s="1"/>
  <c r="CP11" i="3"/>
  <c r="CP10" i="3"/>
  <c r="CP9" i="3"/>
  <c r="CP12" i="3" s="1"/>
  <c r="CT14" i="3"/>
  <c r="CT11" i="3"/>
  <c r="CT10" i="3"/>
  <c r="CT9" i="3"/>
  <c r="CT12" i="3" s="1"/>
  <c r="CX11" i="3"/>
  <c r="CX10" i="3"/>
  <c r="CX9" i="3"/>
  <c r="CX12" i="3" s="1"/>
  <c r="DB11" i="3"/>
  <c r="DB10" i="3"/>
  <c r="DB9" i="3"/>
  <c r="DB12" i="3" s="1"/>
  <c r="DB14" i="3"/>
  <c r="DF14" i="3"/>
  <c r="DF11" i="3"/>
  <c r="DF10" i="3"/>
  <c r="DF9" i="3"/>
  <c r="DF12" i="3" s="1"/>
  <c r="DJ11" i="3"/>
  <c r="DJ10" i="3"/>
  <c r="DJ9" i="3"/>
  <c r="DJ12" i="3" s="1"/>
  <c r="DJ13" i="3" s="1"/>
  <c r="DN11" i="3"/>
  <c r="DN10" i="3"/>
  <c r="DN9" i="3"/>
  <c r="DN12" i="3" s="1"/>
  <c r="DR11" i="3"/>
  <c r="DR10" i="3"/>
  <c r="DR9" i="3"/>
  <c r="DR12" i="3" s="1"/>
  <c r="EH11" i="3"/>
  <c r="EH10" i="3"/>
  <c r="EH9" i="3"/>
  <c r="EH12" i="3" s="1"/>
  <c r="EX14" i="3"/>
  <c r="EX11" i="3"/>
  <c r="EX10" i="3"/>
  <c r="EX9" i="3"/>
  <c r="EX12" i="3" s="1"/>
  <c r="FN11" i="3"/>
  <c r="FN10" i="3"/>
  <c r="FN9" i="3"/>
  <c r="FN12" i="3" s="1"/>
  <c r="GD11" i="3"/>
  <c r="GD10" i="3"/>
  <c r="GD9" i="3"/>
  <c r="GD12" i="3" s="1"/>
  <c r="DY9" i="3"/>
  <c r="DY12" i="3" s="1"/>
  <c r="EO9" i="3"/>
  <c r="EO12" i="3" s="1"/>
  <c r="FE9" i="3"/>
  <c r="FE12" i="3" s="1"/>
  <c r="FU9" i="3"/>
  <c r="FU12" i="3" s="1"/>
  <c r="EG10" i="3"/>
  <c r="EW10" i="3"/>
  <c r="FM10" i="3"/>
  <c r="GC10" i="3"/>
  <c r="FX10" i="3"/>
  <c r="FX9" i="3"/>
  <c r="FX12" i="3" s="1"/>
  <c r="GB10" i="3"/>
  <c r="GB9" i="3"/>
  <c r="GB12" i="3" s="1"/>
  <c r="GB11" i="3"/>
  <c r="EC9" i="3"/>
  <c r="EC12" i="3" s="1"/>
  <c r="ES9" i="3"/>
  <c r="ES12" i="3" s="1"/>
  <c r="FI9" i="3"/>
  <c r="FI12" i="3" s="1"/>
  <c r="FY9" i="3"/>
  <c r="FY12" i="3" s="1"/>
  <c r="DU10" i="3"/>
  <c r="EK10" i="3"/>
  <c r="FA10" i="3"/>
  <c r="FQ10" i="3"/>
  <c r="EG9" i="3"/>
  <c r="EG12" i="3" s="1"/>
  <c r="EW9" i="3"/>
  <c r="EW12" i="3" s="1"/>
  <c r="FM9" i="3"/>
  <c r="FM12" i="3" s="1"/>
  <c r="GC9" i="3"/>
  <c r="GC12" i="3" s="1"/>
  <c r="DY10" i="3"/>
  <c r="EO10" i="3"/>
  <c r="FE10" i="3"/>
  <c r="FU10" i="3"/>
  <c r="A26" i="2" l="1"/>
  <c r="A42" i="2"/>
  <c r="A9" i="2"/>
  <c r="A28" i="2"/>
  <c r="A11" i="2"/>
  <c r="A43" i="2"/>
  <c r="A41" i="2"/>
  <c r="A19" i="2"/>
  <c r="A17" i="2"/>
  <c r="A40" i="2"/>
  <c r="A2" i="11"/>
  <c r="C4" i="7"/>
  <c r="D4" i="7" s="1"/>
  <c r="AM33" i="5"/>
  <c r="CB10" i="5"/>
  <c r="BT10" i="5"/>
  <c r="D88" i="4"/>
  <c r="C2" i="12"/>
  <c r="D2" i="12" s="1"/>
  <c r="C4" i="9"/>
  <c r="D4" i="9" s="1"/>
  <c r="BZ10" i="5"/>
  <c r="D2" i="8"/>
  <c r="E2" i="8" s="1"/>
  <c r="B2" i="6"/>
  <c r="E2" i="6" s="1"/>
  <c r="BX10" i="5"/>
  <c r="C4" i="10"/>
  <c r="D4" i="10" s="1"/>
  <c r="BV10" i="5"/>
  <c r="C3" i="12"/>
  <c r="D3" i="12" s="1"/>
  <c r="C5" i="9"/>
  <c r="D5" i="9" s="1"/>
  <c r="BZ11" i="5"/>
  <c r="A3" i="11"/>
  <c r="D3" i="8"/>
  <c r="E3" i="8" s="1"/>
  <c r="B3" i="6"/>
  <c r="BX11" i="5"/>
  <c r="D69" i="4"/>
  <c r="C5" i="10"/>
  <c r="D5" i="10" s="1"/>
  <c r="BV11" i="5"/>
  <c r="C5" i="7"/>
  <c r="D5" i="7" s="1"/>
  <c r="AN33" i="5"/>
  <c r="CB11" i="5"/>
  <c r="BT11" i="5"/>
  <c r="D99" i="4"/>
  <c r="C25" i="3"/>
  <c r="C18" i="9"/>
  <c r="D18" i="9" s="1"/>
  <c r="A16" i="11"/>
  <c r="C18" i="10"/>
  <c r="D18" i="10" s="1"/>
  <c r="C16" i="12"/>
  <c r="D16" i="12" s="1"/>
  <c r="B16" i="6"/>
  <c r="E16" i="6" s="1"/>
  <c r="C18" i="7"/>
  <c r="D18" i="7" s="1"/>
  <c r="D16" i="8"/>
  <c r="E16" i="8" s="1"/>
  <c r="CB24" i="5"/>
  <c r="BT24" i="5"/>
  <c r="BA33" i="5"/>
  <c r="BV24" i="5"/>
  <c r="BX24" i="5"/>
  <c r="BZ24" i="5"/>
  <c r="D94" i="4"/>
  <c r="C8" i="9"/>
  <c r="D8" i="9" s="1"/>
  <c r="A6" i="11"/>
  <c r="C8" i="10"/>
  <c r="D8" i="10" s="1"/>
  <c r="C6" i="12"/>
  <c r="D6" i="12" s="1"/>
  <c r="D6" i="8"/>
  <c r="E6" i="8" s="1"/>
  <c r="C8" i="7"/>
  <c r="D8" i="7" s="1"/>
  <c r="B6" i="6"/>
  <c r="E6" i="6" s="1"/>
  <c r="AQ33" i="5"/>
  <c r="BZ14" i="5"/>
  <c r="BX14" i="5"/>
  <c r="BV14" i="5"/>
  <c r="CB14" i="5"/>
  <c r="BT14" i="5"/>
  <c r="D71" i="4"/>
  <c r="C17" i="10"/>
  <c r="D17" i="10" s="1"/>
  <c r="C15" i="12"/>
  <c r="D15" i="12" s="1"/>
  <c r="A15" i="11"/>
  <c r="C17" i="9"/>
  <c r="D17" i="9" s="1"/>
  <c r="D15" i="8"/>
  <c r="E15" i="8" s="1"/>
  <c r="C17" i="7"/>
  <c r="D17" i="7" s="1"/>
  <c r="B15" i="6"/>
  <c r="E15" i="6" s="1"/>
  <c r="BV23" i="5"/>
  <c r="BX23" i="5"/>
  <c r="BZ23" i="5"/>
  <c r="D93" i="4"/>
  <c r="BT23" i="5"/>
  <c r="AZ33" i="5"/>
  <c r="CB23" i="5"/>
  <c r="C19" i="3"/>
  <c r="C29" i="3"/>
  <c r="C27" i="3"/>
  <c r="C24" i="3"/>
  <c r="C20" i="3"/>
  <c r="C26" i="3"/>
  <c r="C28" i="3"/>
  <c r="C7" i="10"/>
  <c r="D7" i="10" s="1"/>
  <c r="C5" i="12"/>
  <c r="D5" i="12" s="1"/>
  <c r="C7" i="9"/>
  <c r="D7" i="9" s="1"/>
  <c r="D5" i="8"/>
  <c r="E5" i="8" s="1"/>
  <c r="A5" i="11"/>
  <c r="B5" i="6"/>
  <c r="E5" i="6" s="1"/>
  <c r="C7" i="7"/>
  <c r="D7" i="7" s="1"/>
  <c r="AP33" i="5"/>
  <c r="BV13" i="5"/>
  <c r="D89" i="4"/>
  <c r="CB13" i="5"/>
  <c r="BT13" i="5"/>
  <c r="BZ13" i="5"/>
  <c r="BX13" i="5"/>
  <c r="F32" i="1"/>
  <c r="C11" i="10"/>
  <c r="D11" i="10" s="1"/>
  <c r="C9" i="12"/>
  <c r="D9" i="12" s="1"/>
  <c r="A9" i="11"/>
  <c r="C11" i="9"/>
  <c r="D11" i="9" s="1"/>
  <c r="D9" i="8"/>
  <c r="E9" i="8" s="1"/>
  <c r="B9" i="6"/>
  <c r="C11" i="7"/>
  <c r="D11" i="7" s="1"/>
  <c r="AT33" i="5"/>
  <c r="BX17" i="5"/>
  <c r="D80" i="4"/>
  <c r="BV17" i="5"/>
  <c r="CB17" i="5"/>
  <c r="BT17" i="5"/>
  <c r="BZ17" i="5"/>
  <c r="C16" i="3"/>
  <c r="C18" i="3"/>
  <c r="C12" i="9"/>
  <c r="D12" i="9" s="1"/>
  <c r="A10" i="11"/>
  <c r="C12" i="10"/>
  <c r="D12" i="10" s="1"/>
  <c r="C10" i="12"/>
  <c r="D10" i="12" s="1"/>
  <c r="D10" i="8"/>
  <c r="E10" i="8" s="1"/>
  <c r="C12" i="7"/>
  <c r="D12" i="7" s="1"/>
  <c r="B10" i="6"/>
  <c r="E10" i="6" s="1"/>
  <c r="AU33" i="5"/>
  <c r="BV18" i="5"/>
  <c r="CB18" i="5"/>
  <c r="BT18" i="5"/>
  <c r="BZ18" i="5"/>
  <c r="D91" i="4"/>
  <c r="BX18" i="5"/>
  <c r="C9" i="10"/>
  <c r="D9" i="10" s="1"/>
  <c r="C7" i="12"/>
  <c r="D7" i="12" s="1"/>
  <c r="A7" i="11"/>
  <c r="C9" i="9"/>
  <c r="D9" i="9" s="1"/>
  <c r="D7" i="8"/>
  <c r="E7" i="8" s="1"/>
  <c r="C9" i="7"/>
  <c r="D9" i="7" s="1"/>
  <c r="B7" i="6"/>
  <c r="BV15" i="5"/>
  <c r="AR33" i="5"/>
  <c r="CB15" i="5"/>
  <c r="BT15" i="5"/>
  <c r="BZ15" i="5"/>
  <c r="D96" i="4"/>
  <c r="BX15" i="5"/>
  <c r="C10" i="9"/>
  <c r="D10" i="9" s="1"/>
  <c r="A8" i="11"/>
  <c r="C10" i="10"/>
  <c r="D10" i="10" s="1"/>
  <c r="C8" i="12"/>
  <c r="D8" i="12" s="1"/>
  <c r="C10" i="7"/>
  <c r="D10" i="7" s="1"/>
  <c r="B8" i="6"/>
  <c r="E8" i="6" s="1"/>
  <c r="D8" i="8"/>
  <c r="E8" i="8" s="1"/>
  <c r="AS33" i="5"/>
  <c r="BZ16" i="5"/>
  <c r="BX16" i="5"/>
  <c r="BV16" i="5"/>
  <c r="D72" i="4"/>
  <c r="CB16" i="5"/>
  <c r="BT16" i="5"/>
  <c r="D90" i="4"/>
  <c r="C19" i="10"/>
  <c r="D19" i="10" s="1"/>
  <c r="C17" i="12"/>
  <c r="D17" i="12" s="1"/>
  <c r="A17" i="11"/>
  <c r="C19" i="9"/>
  <c r="D19" i="9" s="1"/>
  <c r="D17" i="8"/>
  <c r="E17" i="8" s="1"/>
  <c r="B17" i="6"/>
  <c r="C19" i="7"/>
  <c r="D19" i="7" s="1"/>
  <c r="BB33" i="5"/>
  <c r="BZ25" i="5"/>
  <c r="CB25" i="5"/>
  <c r="BT25" i="5"/>
  <c r="BV25" i="5"/>
  <c r="D82" i="4"/>
  <c r="BX25" i="5"/>
  <c r="C16" i="9"/>
  <c r="D16" i="9" s="1"/>
  <c r="A14" i="11"/>
  <c r="C16" i="10"/>
  <c r="D16" i="10" s="1"/>
  <c r="C14" i="12"/>
  <c r="D14" i="12" s="1"/>
  <c r="B14" i="6"/>
  <c r="E14" i="6" s="1"/>
  <c r="D14" i="8"/>
  <c r="E14" i="8" s="1"/>
  <c r="C16" i="7"/>
  <c r="D16" i="7" s="1"/>
  <c r="AY33" i="5"/>
  <c r="BZ22" i="5"/>
  <c r="CB22" i="5"/>
  <c r="D74" i="4"/>
  <c r="BX22" i="5"/>
  <c r="BV22" i="5"/>
  <c r="BT22" i="5"/>
  <c r="C15" i="3"/>
  <c r="C23" i="3"/>
  <c r="J13" i="3"/>
  <c r="C21" i="3"/>
  <c r="C15" i="10"/>
  <c r="D15" i="10" s="1"/>
  <c r="C13" i="12"/>
  <c r="D13" i="12" s="1"/>
  <c r="A13" i="11"/>
  <c r="C15" i="9"/>
  <c r="D15" i="9" s="1"/>
  <c r="D13" i="8"/>
  <c r="E13" i="8" s="1"/>
  <c r="C15" i="7"/>
  <c r="D15" i="7" s="1"/>
  <c r="B13" i="6"/>
  <c r="AX33" i="5"/>
  <c r="CB21" i="5"/>
  <c r="BT21" i="5"/>
  <c r="BX21" i="5"/>
  <c r="D98" i="4"/>
  <c r="BV21" i="5"/>
  <c r="BZ21" i="5"/>
  <c r="D81" i="4"/>
  <c r="C14" i="9"/>
  <c r="D14" i="9" s="1"/>
  <c r="A12" i="11"/>
  <c r="C14" i="10"/>
  <c r="D14" i="10" s="1"/>
  <c r="C12" i="12"/>
  <c r="D12" i="12" s="1"/>
  <c r="C14" i="7"/>
  <c r="D14" i="7" s="1"/>
  <c r="B12" i="6"/>
  <c r="E12" i="6" s="1"/>
  <c r="D12" i="8"/>
  <c r="E12" i="8" s="1"/>
  <c r="AW33" i="5"/>
  <c r="BV20" i="5"/>
  <c r="BT20" i="5"/>
  <c r="CB20" i="5"/>
  <c r="D92" i="4"/>
  <c r="BZ20" i="5"/>
  <c r="BX20" i="5"/>
  <c r="C6" i="9"/>
  <c r="D6" i="9" s="1"/>
  <c r="C6" i="10"/>
  <c r="D6" i="10" s="1"/>
  <c r="C4" i="12"/>
  <c r="D4" i="12" s="1"/>
  <c r="A4" i="11"/>
  <c r="C6" i="7"/>
  <c r="D6" i="7" s="1"/>
  <c r="B4" i="6"/>
  <c r="D4" i="8"/>
  <c r="E4" i="8" s="1"/>
  <c r="AO33" i="5"/>
  <c r="BX12" i="5"/>
  <c r="BP7" i="5"/>
  <c r="BL7" i="5"/>
  <c r="BH7" i="5"/>
  <c r="BQ6" i="5"/>
  <c r="BM6" i="5"/>
  <c r="BI6" i="5"/>
  <c r="BE6" i="5"/>
  <c r="BR5" i="5"/>
  <c r="BN5" i="5"/>
  <c r="BJ5" i="5"/>
  <c r="BF5" i="5"/>
  <c r="BO4" i="5"/>
  <c r="BK4" i="5"/>
  <c r="BG4" i="5"/>
  <c r="BP3" i="5"/>
  <c r="BL3" i="5"/>
  <c r="BH3" i="5"/>
  <c r="BV12" i="5"/>
  <c r="BO7" i="5"/>
  <c r="BK7" i="5"/>
  <c r="BG7" i="5"/>
  <c r="BP6" i="5"/>
  <c r="BL6" i="5"/>
  <c r="BH6" i="5"/>
  <c r="BQ5" i="5"/>
  <c r="BM5" i="5"/>
  <c r="BI5" i="5"/>
  <c r="BE5" i="5"/>
  <c r="BR4" i="5"/>
  <c r="BN4" i="5"/>
  <c r="BJ4" i="5"/>
  <c r="BF4" i="5"/>
  <c r="BO3" i="5"/>
  <c r="BK3" i="5"/>
  <c r="BG3" i="5"/>
  <c r="D97" i="4"/>
  <c r="D79" i="4"/>
  <c r="CB12" i="5"/>
  <c r="BT12" i="5"/>
  <c r="BR7" i="5"/>
  <c r="BN7" i="5"/>
  <c r="BJ7" i="5"/>
  <c r="BF7" i="5"/>
  <c r="BO6" i="5"/>
  <c r="BK6" i="5"/>
  <c r="BG6" i="5"/>
  <c r="BP5" i="5"/>
  <c r="BL5" i="5"/>
  <c r="BH5" i="5"/>
  <c r="BQ4" i="5"/>
  <c r="BM4" i="5"/>
  <c r="BI4" i="5"/>
  <c r="BE4" i="5"/>
  <c r="BR3" i="5"/>
  <c r="BN3" i="5"/>
  <c r="BJ3" i="5"/>
  <c r="BF3" i="5"/>
  <c r="BZ12" i="5"/>
  <c r="BQ7" i="5"/>
  <c r="BM7" i="5"/>
  <c r="BI7" i="5"/>
  <c r="BE7" i="5"/>
  <c r="BR6" i="5"/>
  <c r="BN6" i="5"/>
  <c r="BJ6" i="5"/>
  <c r="BF6" i="5"/>
  <c r="BO5" i="5"/>
  <c r="BK5" i="5"/>
  <c r="BG5" i="5"/>
  <c r="BP4" i="5"/>
  <c r="BL4" i="5"/>
  <c r="BH4" i="5"/>
  <c r="BQ3" i="5"/>
  <c r="BM3" i="5"/>
  <c r="BI3" i="5"/>
  <c r="BE3" i="5"/>
  <c r="F35" i="1"/>
  <c r="F34" i="1"/>
  <c r="F33" i="1"/>
  <c r="F36" i="1"/>
  <c r="C13" i="10"/>
  <c r="D13" i="10" s="1"/>
  <c r="C11" i="12"/>
  <c r="D11" i="12" s="1"/>
  <c r="A11" i="11"/>
  <c r="C13" i="9"/>
  <c r="D13" i="9" s="1"/>
  <c r="D11" i="8"/>
  <c r="E11" i="8" s="1"/>
  <c r="B11" i="6"/>
  <c r="E11" i="6" s="1"/>
  <c r="C13" i="7"/>
  <c r="D13" i="7" s="1"/>
  <c r="AV33" i="5"/>
  <c r="CB19" i="5"/>
  <c r="BT19" i="5"/>
  <c r="BZ19" i="5"/>
  <c r="D73" i="4"/>
  <c r="BX19" i="5"/>
  <c r="BV19" i="5"/>
  <c r="C22" i="3"/>
  <c r="C17" i="3"/>
  <c r="E13" i="3"/>
  <c r="C13" i="3" s="1"/>
  <c r="C30" i="3"/>
  <c r="C54" i="5" l="1"/>
  <c r="D54" i="5" s="1"/>
  <c r="E54" i="5" s="1"/>
  <c r="F26" i="1" s="1"/>
  <c r="C53" i="5"/>
  <c r="D53" i="5" s="1"/>
  <c r="E53" i="5" s="1"/>
  <c r="F25" i="1" s="1"/>
  <c r="C57" i="5"/>
  <c r="D57" i="5" s="1"/>
  <c r="E57" i="5" s="1"/>
  <c r="F31" i="1" s="1"/>
  <c r="A22" i="11" s="1"/>
  <c r="C55" i="5"/>
  <c r="D55" i="5" s="1"/>
  <c r="E55" i="5" s="1"/>
  <c r="F27" i="1" s="1"/>
  <c r="C22" i="7" s="1"/>
  <c r="D22" i="7" s="1"/>
  <c r="C56" i="5"/>
  <c r="D56" i="5" s="1"/>
  <c r="E56" i="5" s="1"/>
  <c r="F28" i="1" s="1"/>
  <c r="A21" i="11" s="1"/>
  <c r="E3" i="6"/>
  <c r="C3" i="6"/>
  <c r="BD74" i="5"/>
  <c r="BD66" i="5"/>
  <c r="BD73" i="5"/>
  <c r="BD65" i="5"/>
  <c r="BD55" i="5"/>
  <c r="BD57" i="5"/>
  <c r="BD42" i="5"/>
  <c r="BD51" i="5"/>
  <c r="BD38" i="5"/>
  <c r="BD44" i="5"/>
  <c r="BD52" i="5"/>
  <c r="BD72" i="5"/>
  <c r="BD64" i="5"/>
  <c r="BD71" i="5"/>
  <c r="BD63" i="5"/>
  <c r="BD62" i="5"/>
  <c r="BD35" i="5"/>
  <c r="BD45" i="5"/>
  <c r="BD54" i="5"/>
  <c r="BD40" i="5"/>
  <c r="BD46" i="5"/>
  <c r="BD53" i="5"/>
  <c r="BD78" i="5"/>
  <c r="BD70" i="5"/>
  <c r="BD77" i="5"/>
  <c r="BD69" i="5"/>
  <c r="BD60" i="5"/>
  <c r="BD61" i="5"/>
  <c r="BD36" i="5"/>
  <c r="BD47" i="5"/>
  <c r="BD56" i="5"/>
  <c r="BD41" i="5"/>
  <c r="BD48" i="5"/>
  <c r="BD76" i="5"/>
  <c r="BD68" i="5"/>
  <c r="BD75" i="5"/>
  <c r="BD67" i="5"/>
  <c r="BD58" i="5"/>
  <c r="BD59" i="5"/>
  <c r="BD39" i="5"/>
  <c r="BD49" i="5"/>
  <c r="BD37" i="5"/>
  <c r="BD43" i="5"/>
  <c r="BD50" i="5"/>
  <c r="BE39" i="5"/>
  <c r="BE76" i="5"/>
  <c r="BE75" i="5"/>
  <c r="BE68" i="5"/>
  <c r="BE67" i="5"/>
  <c r="BE59" i="5"/>
  <c r="BE48" i="5"/>
  <c r="BE41" i="5"/>
  <c r="BE61" i="5"/>
  <c r="BE51" i="5"/>
  <c r="BE42" i="5"/>
  <c r="BE35" i="5"/>
  <c r="BE74" i="5"/>
  <c r="BE73" i="5"/>
  <c r="BE66" i="5"/>
  <c r="BE65" i="5"/>
  <c r="BE57" i="5"/>
  <c r="BE46" i="5"/>
  <c r="BE40" i="5"/>
  <c r="BE58" i="5"/>
  <c r="BE49" i="5"/>
  <c r="BE62" i="5"/>
  <c r="BE36" i="5"/>
  <c r="BE72" i="5"/>
  <c r="BE71" i="5"/>
  <c r="BE64" i="5"/>
  <c r="BE63" i="5"/>
  <c r="BE52" i="5"/>
  <c r="BE44" i="5"/>
  <c r="BE38" i="5"/>
  <c r="BE56" i="5"/>
  <c r="BE47" i="5"/>
  <c r="BE55" i="5"/>
  <c r="BE78" i="5"/>
  <c r="BE77" i="5"/>
  <c r="BE70" i="5"/>
  <c r="BE69" i="5"/>
  <c r="BE60" i="5"/>
  <c r="BE50" i="5"/>
  <c r="BE43" i="5"/>
  <c r="BE37" i="5"/>
  <c r="BE54" i="5"/>
  <c r="BE45" i="5"/>
  <c r="BE53" i="5"/>
  <c r="D3" i="11"/>
  <c r="J3" i="11"/>
  <c r="G3" i="11"/>
  <c r="G2" i="11"/>
  <c r="D2" i="11"/>
  <c r="J2" i="11"/>
  <c r="D87" i="4"/>
  <c r="C4" i="6"/>
  <c r="E4" i="6"/>
  <c r="D13" i="11"/>
  <c r="J13" i="11"/>
  <c r="G13" i="11"/>
  <c r="E17" i="6"/>
  <c r="C17" i="6"/>
  <c r="BM78" i="5"/>
  <c r="BM76" i="5"/>
  <c r="BM74" i="5"/>
  <c r="BM72" i="5"/>
  <c r="BM70" i="5"/>
  <c r="BM68" i="5"/>
  <c r="BM66" i="5"/>
  <c r="BM64" i="5"/>
  <c r="BM69" i="5"/>
  <c r="BM67" i="5"/>
  <c r="BM77" i="5"/>
  <c r="BM75" i="5"/>
  <c r="BM73" i="5"/>
  <c r="BM71" i="5"/>
  <c r="BM63" i="5"/>
  <c r="BM60" i="5"/>
  <c r="BM59" i="5"/>
  <c r="BM57" i="5"/>
  <c r="BM56" i="5"/>
  <c r="BM52" i="5"/>
  <c r="BM50" i="5"/>
  <c r="BM48" i="5"/>
  <c r="BM46" i="5"/>
  <c r="BM44" i="5"/>
  <c r="BM43" i="5"/>
  <c r="BM41" i="5"/>
  <c r="BM40" i="5"/>
  <c r="BM38" i="5"/>
  <c r="BM37" i="5"/>
  <c r="BM62" i="5"/>
  <c r="BM55" i="5"/>
  <c r="BM65" i="5"/>
  <c r="BM58" i="5"/>
  <c r="BM54" i="5"/>
  <c r="BM51" i="5"/>
  <c r="BM49" i="5"/>
  <c r="BM47" i="5"/>
  <c r="BM45" i="5"/>
  <c r="BM42" i="5"/>
  <c r="BM61" i="5"/>
  <c r="BM53" i="5"/>
  <c r="BM35" i="5"/>
  <c r="BM39" i="5"/>
  <c r="BM36" i="5"/>
  <c r="D11" i="11"/>
  <c r="J11" i="11"/>
  <c r="G11" i="11"/>
  <c r="D24" i="8"/>
  <c r="E24" i="8" s="1"/>
  <c r="D78" i="4"/>
  <c r="BT27" i="5"/>
  <c r="BT28" i="5" s="1"/>
  <c r="BT29" i="5" s="1"/>
  <c r="A19" i="11"/>
  <c r="D19" i="8"/>
  <c r="E19" i="8" s="1"/>
  <c r="C21" i="7"/>
  <c r="D21" i="7" s="1"/>
  <c r="D86" i="4"/>
  <c r="BF77" i="5"/>
  <c r="BF75" i="5"/>
  <c r="BF73" i="5"/>
  <c r="BF71" i="5"/>
  <c r="BF69" i="5"/>
  <c r="BF67" i="5"/>
  <c r="BF65" i="5"/>
  <c r="BF78" i="5"/>
  <c r="BF76" i="5"/>
  <c r="BF74" i="5"/>
  <c r="BF72" i="5"/>
  <c r="BF62" i="5"/>
  <c r="BF61" i="5"/>
  <c r="BF59" i="5"/>
  <c r="BF57" i="5"/>
  <c r="BF70" i="5"/>
  <c r="BF68" i="5"/>
  <c r="BF66" i="5"/>
  <c r="BF63" i="5"/>
  <c r="BF60" i="5"/>
  <c r="BF58" i="5"/>
  <c r="BF64" i="5"/>
  <c r="BF56" i="5"/>
  <c r="BF54" i="5"/>
  <c r="BF51" i="5"/>
  <c r="BF49" i="5"/>
  <c r="BF47" i="5"/>
  <c r="BF45" i="5"/>
  <c r="BF42" i="5"/>
  <c r="BF39" i="5"/>
  <c r="BF36" i="5"/>
  <c r="BF35" i="5"/>
  <c r="BF55" i="5"/>
  <c r="BF53" i="5"/>
  <c r="BF52" i="5"/>
  <c r="BF50" i="5"/>
  <c r="BF48" i="5"/>
  <c r="BF46" i="5"/>
  <c r="BF44" i="5"/>
  <c r="BF43" i="5"/>
  <c r="BF41" i="5"/>
  <c r="BF40" i="5"/>
  <c r="BF38" i="5"/>
  <c r="BF37" i="5"/>
  <c r="D4" i="11"/>
  <c r="J4" i="11"/>
  <c r="G4" i="11"/>
  <c r="D12" i="11"/>
  <c r="J12" i="11"/>
  <c r="G12" i="11"/>
  <c r="D14" i="11"/>
  <c r="J14" i="11"/>
  <c r="G14" i="11"/>
  <c r="BS56" i="5"/>
  <c r="BS78" i="5"/>
  <c r="BS76" i="5"/>
  <c r="BS74" i="5"/>
  <c r="BS72" i="5"/>
  <c r="BS70" i="5"/>
  <c r="BS69" i="5"/>
  <c r="BS67" i="5"/>
  <c r="BS65" i="5"/>
  <c r="BS77" i="5"/>
  <c r="BS75" i="5"/>
  <c r="BS73" i="5"/>
  <c r="BS71" i="5"/>
  <c r="BS68" i="5"/>
  <c r="BS66" i="5"/>
  <c r="BS64" i="5"/>
  <c r="BS62" i="5"/>
  <c r="BS61" i="5"/>
  <c r="BS55" i="5"/>
  <c r="BS54" i="5"/>
  <c r="BS51" i="5"/>
  <c r="BS49" i="5"/>
  <c r="BS47" i="5"/>
  <c r="BS45" i="5"/>
  <c r="BS42" i="5"/>
  <c r="BS39" i="5"/>
  <c r="BS36" i="5"/>
  <c r="BS35" i="5"/>
  <c r="BS59" i="5"/>
  <c r="BS57" i="5"/>
  <c r="BS53" i="5"/>
  <c r="BS63" i="5"/>
  <c r="BS52" i="5"/>
  <c r="BS50" i="5"/>
  <c r="BS48" i="5"/>
  <c r="BS46" i="5"/>
  <c r="BS44" i="5"/>
  <c r="BS43" i="5"/>
  <c r="BS41" i="5"/>
  <c r="BS60" i="5"/>
  <c r="BS58" i="5"/>
  <c r="BS38" i="5"/>
  <c r="BS40" i="5"/>
  <c r="BS37" i="5"/>
  <c r="BI77" i="5"/>
  <c r="BI75" i="5"/>
  <c r="BI73" i="5"/>
  <c r="BI71" i="5"/>
  <c r="BI69" i="5"/>
  <c r="BI67" i="5"/>
  <c r="BI65" i="5"/>
  <c r="BI78" i="5"/>
  <c r="BI76" i="5"/>
  <c r="BI74" i="5"/>
  <c r="BI72" i="5"/>
  <c r="BI70" i="5"/>
  <c r="BI68" i="5"/>
  <c r="BI66" i="5"/>
  <c r="BI64" i="5"/>
  <c r="BI63" i="5"/>
  <c r="BI60" i="5"/>
  <c r="BI61" i="5"/>
  <c r="BI58" i="5"/>
  <c r="BI55" i="5"/>
  <c r="BI52" i="5"/>
  <c r="BI50" i="5"/>
  <c r="BI48" i="5"/>
  <c r="BI46" i="5"/>
  <c r="BI44" i="5"/>
  <c r="BI43" i="5"/>
  <c r="BI41" i="5"/>
  <c r="BI40" i="5"/>
  <c r="BI38" i="5"/>
  <c r="BI37" i="5"/>
  <c r="BI62" i="5"/>
  <c r="BI59" i="5"/>
  <c r="BI57" i="5"/>
  <c r="BI54" i="5"/>
  <c r="BI51" i="5"/>
  <c r="BI49" i="5"/>
  <c r="BI47" i="5"/>
  <c r="BI45" i="5"/>
  <c r="BI42" i="5"/>
  <c r="BI56" i="5"/>
  <c r="BI53" i="5"/>
  <c r="BI35" i="5"/>
  <c r="BI39" i="5"/>
  <c r="BI36" i="5"/>
  <c r="E9" i="6"/>
  <c r="C9" i="6"/>
  <c r="D5" i="11"/>
  <c r="J5" i="11"/>
  <c r="G5" i="11"/>
  <c r="D15" i="11"/>
  <c r="J15" i="11"/>
  <c r="G15" i="11"/>
  <c r="D26" i="8"/>
  <c r="E26" i="8" s="1"/>
  <c r="C25" i="7"/>
  <c r="D25" i="7" s="1"/>
  <c r="D85" i="4"/>
  <c r="BN77" i="5"/>
  <c r="BN75" i="5"/>
  <c r="BN73" i="5"/>
  <c r="BN71" i="5"/>
  <c r="BN69" i="5"/>
  <c r="BN67" i="5"/>
  <c r="BN65" i="5"/>
  <c r="BN78" i="5"/>
  <c r="BN76" i="5"/>
  <c r="BN74" i="5"/>
  <c r="BN72" i="5"/>
  <c r="BN70" i="5"/>
  <c r="BN62" i="5"/>
  <c r="BN61" i="5"/>
  <c r="BN59" i="5"/>
  <c r="BN57" i="5"/>
  <c r="BN63" i="5"/>
  <c r="BN60" i="5"/>
  <c r="BN58" i="5"/>
  <c r="BN68" i="5"/>
  <c r="BN66" i="5"/>
  <c r="BN64" i="5"/>
  <c r="BN55" i="5"/>
  <c r="BN54" i="5"/>
  <c r="BN51" i="5"/>
  <c r="BN49" i="5"/>
  <c r="BN47" i="5"/>
  <c r="BN45" i="5"/>
  <c r="BN42" i="5"/>
  <c r="BN39" i="5"/>
  <c r="BN36" i="5"/>
  <c r="BN35" i="5"/>
  <c r="BN53" i="5"/>
  <c r="BN56" i="5"/>
  <c r="BN52" i="5"/>
  <c r="BN50" i="5"/>
  <c r="BN48" i="5"/>
  <c r="BN46" i="5"/>
  <c r="BN44" i="5"/>
  <c r="BN43" i="5"/>
  <c r="BN41" i="5"/>
  <c r="BN40" i="5"/>
  <c r="BN38" i="5"/>
  <c r="BN37" i="5"/>
  <c r="BP78" i="5"/>
  <c r="BP76" i="5"/>
  <c r="BP74" i="5"/>
  <c r="BP72" i="5"/>
  <c r="BP70" i="5"/>
  <c r="BP68" i="5"/>
  <c r="BP66" i="5"/>
  <c r="BP64" i="5"/>
  <c r="BP77" i="5"/>
  <c r="BP75" i="5"/>
  <c r="BP73" i="5"/>
  <c r="BP71" i="5"/>
  <c r="BP63" i="5"/>
  <c r="BP60" i="5"/>
  <c r="BP58" i="5"/>
  <c r="BP55" i="5"/>
  <c r="BP62" i="5"/>
  <c r="BP61" i="5"/>
  <c r="BP59" i="5"/>
  <c r="BP57" i="5"/>
  <c r="BP69" i="5"/>
  <c r="BP67" i="5"/>
  <c r="BP65" i="5"/>
  <c r="BP53" i="5"/>
  <c r="BP52" i="5"/>
  <c r="BP50" i="5"/>
  <c r="BP48" i="5"/>
  <c r="BP46" i="5"/>
  <c r="BP44" i="5"/>
  <c r="BP43" i="5"/>
  <c r="BP41" i="5"/>
  <c r="BP40" i="5"/>
  <c r="BP38" i="5"/>
  <c r="BP37" i="5"/>
  <c r="BP56" i="5"/>
  <c r="BP54" i="5"/>
  <c r="BP51" i="5"/>
  <c r="BP49" i="5"/>
  <c r="BP47" i="5"/>
  <c r="BP45" i="5"/>
  <c r="BP42" i="5"/>
  <c r="BP39" i="5"/>
  <c r="BP36" i="5"/>
  <c r="BP35" i="5"/>
  <c r="D7" i="11"/>
  <c r="J7" i="11"/>
  <c r="G7" i="11"/>
  <c r="BK56" i="5"/>
  <c r="BK78" i="5"/>
  <c r="BK76" i="5"/>
  <c r="BK74" i="5"/>
  <c r="BK72" i="5"/>
  <c r="BK70" i="5"/>
  <c r="BK68" i="5"/>
  <c r="BK66" i="5"/>
  <c r="BK77" i="5"/>
  <c r="BK75" i="5"/>
  <c r="BK73" i="5"/>
  <c r="BK71" i="5"/>
  <c r="BK69" i="5"/>
  <c r="BK67" i="5"/>
  <c r="BK65" i="5"/>
  <c r="BK62" i="5"/>
  <c r="BK61" i="5"/>
  <c r="BK63" i="5"/>
  <c r="BK54" i="5"/>
  <c r="BK51" i="5"/>
  <c r="BK49" i="5"/>
  <c r="BK47" i="5"/>
  <c r="BK45" i="5"/>
  <c r="BK42" i="5"/>
  <c r="BK39" i="5"/>
  <c r="BK36" i="5"/>
  <c r="BK35" i="5"/>
  <c r="BK60" i="5"/>
  <c r="BK59" i="5"/>
  <c r="BK57" i="5"/>
  <c r="BK53" i="5"/>
  <c r="BK55" i="5"/>
  <c r="BK52" i="5"/>
  <c r="BK50" i="5"/>
  <c r="BK48" i="5"/>
  <c r="BK46" i="5"/>
  <c r="BK44" i="5"/>
  <c r="BK43" i="5"/>
  <c r="BK64" i="5"/>
  <c r="BK58" i="5"/>
  <c r="BK40" i="5"/>
  <c r="BK37" i="5"/>
  <c r="BK41" i="5"/>
  <c r="BK38" i="5"/>
  <c r="BQ77" i="5"/>
  <c r="BQ75" i="5"/>
  <c r="BQ73" i="5"/>
  <c r="BQ71" i="5"/>
  <c r="BQ68" i="5"/>
  <c r="BQ66" i="5"/>
  <c r="BQ78" i="5"/>
  <c r="BQ76" i="5"/>
  <c r="BQ74" i="5"/>
  <c r="BQ72" i="5"/>
  <c r="BQ70" i="5"/>
  <c r="BQ69" i="5"/>
  <c r="BQ67" i="5"/>
  <c r="BQ65" i="5"/>
  <c r="BQ63" i="5"/>
  <c r="BQ60" i="5"/>
  <c r="BQ62" i="5"/>
  <c r="BQ58" i="5"/>
  <c r="BQ52" i="5"/>
  <c r="BQ50" i="5"/>
  <c r="BQ48" i="5"/>
  <c r="BQ46" i="5"/>
  <c r="BQ44" i="5"/>
  <c r="BQ43" i="5"/>
  <c r="BQ41" i="5"/>
  <c r="BQ40" i="5"/>
  <c r="BQ38" i="5"/>
  <c r="BQ37" i="5"/>
  <c r="BQ56" i="5"/>
  <c r="BQ64" i="5"/>
  <c r="BQ61" i="5"/>
  <c r="BQ59" i="5"/>
  <c r="BQ57" i="5"/>
  <c r="BQ55" i="5"/>
  <c r="BQ54" i="5"/>
  <c r="BQ51" i="5"/>
  <c r="BQ49" i="5"/>
  <c r="BQ47" i="5"/>
  <c r="BQ45" i="5"/>
  <c r="BQ42" i="5"/>
  <c r="BQ53" i="5"/>
  <c r="BQ39" i="5"/>
  <c r="BQ36" i="5"/>
  <c r="BQ35" i="5"/>
  <c r="D25" i="8"/>
  <c r="E25" i="8" s="1"/>
  <c r="D83" i="4"/>
  <c r="BZ27" i="5"/>
  <c r="BZ28" i="5" s="1"/>
  <c r="BZ29" i="5" s="1"/>
  <c r="C24" i="7"/>
  <c r="D24" i="7" s="1"/>
  <c r="CB27" i="5"/>
  <c r="CB28" i="5" s="1"/>
  <c r="CB29" i="5" s="1"/>
  <c r="BV27" i="5"/>
  <c r="BV28" i="5" s="1"/>
  <c r="BV29" i="5" s="1"/>
  <c r="D19" i="12"/>
  <c r="BO69" i="5"/>
  <c r="BO67" i="5"/>
  <c r="BO65" i="5"/>
  <c r="BO56" i="5"/>
  <c r="BO77" i="5"/>
  <c r="BO75" i="5"/>
  <c r="BO73" i="5"/>
  <c r="BO71" i="5"/>
  <c r="BO68" i="5"/>
  <c r="BO66" i="5"/>
  <c r="BO64" i="5"/>
  <c r="BO78" i="5"/>
  <c r="BO76" i="5"/>
  <c r="BO74" i="5"/>
  <c r="BO72" i="5"/>
  <c r="BO70" i="5"/>
  <c r="BO62" i="5"/>
  <c r="BO61" i="5"/>
  <c r="BO60" i="5"/>
  <c r="BO54" i="5"/>
  <c r="BO51" i="5"/>
  <c r="BO49" i="5"/>
  <c r="BO47" i="5"/>
  <c r="BO45" i="5"/>
  <c r="BO42" i="5"/>
  <c r="BO39" i="5"/>
  <c r="BO36" i="5"/>
  <c r="BO35" i="5"/>
  <c r="BO58" i="5"/>
  <c r="BO53" i="5"/>
  <c r="BO52" i="5"/>
  <c r="BO50" i="5"/>
  <c r="BO48" i="5"/>
  <c r="BO46" i="5"/>
  <c r="BO44" i="5"/>
  <c r="BO43" i="5"/>
  <c r="BO41" i="5"/>
  <c r="BO63" i="5"/>
  <c r="BO59" i="5"/>
  <c r="BO57" i="5"/>
  <c r="BO55" i="5"/>
  <c r="BO37" i="5"/>
  <c r="BO38" i="5"/>
  <c r="BO40" i="5"/>
  <c r="D17" i="11"/>
  <c r="J17" i="11"/>
  <c r="G17" i="11"/>
  <c r="D8" i="11"/>
  <c r="J8" i="11"/>
  <c r="G8" i="11"/>
  <c r="D10" i="11"/>
  <c r="J10" i="11"/>
  <c r="G10" i="11"/>
  <c r="BG70" i="5"/>
  <c r="BG68" i="5"/>
  <c r="BG66" i="5"/>
  <c r="BG64" i="5"/>
  <c r="BG56" i="5"/>
  <c r="BG77" i="5"/>
  <c r="BG75" i="5"/>
  <c r="BG73" i="5"/>
  <c r="BG71" i="5"/>
  <c r="BG69" i="5"/>
  <c r="BG67" i="5"/>
  <c r="BG65" i="5"/>
  <c r="BG78" i="5"/>
  <c r="BG76" i="5"/>
  <c r="BG74" i="5"/>
  <c r="BG72" i="5"/>
  <c r="BG62" i="5"/>
  <c r="BG61" i="5"/>
  <c r="BG54" i="5"/>
  <c r="BG51" i="5"/>
  <c r="BG49" i="5"/>
  <c r="BG47" i="5"/>
  <c r="BG45" i="5"/>
  <c r="BG42" i="5"/>
  <c r="BG39" i="5"/>
  <c r="BG36" i="5"/>
  <c r="BG35" i="5"/>
  <c r="BG63" i="5"/>
  <c r="BG58" i="5"/>
  <c r="BG55" i="5"/>
  <c r="BG53" i="5"/>
  <c r="BG60" i="5"/>
  <c r="BG52" i="5"/>
  <c r="BG50" i="5"/>
  <c r="BG48" i="5"/>
  <c r="BG46" i="5"/>
  <c r="BG44" i="5"/>
  <c r="BG43" i="5"/>
  <c r="BG59" i="5"/>
  <c r="BG57" i="5"/>
  <c r="BG38" i="5"/>
  <c r="BG40" i="5"/>
  <c r="BG37" i="5"/>
  <c r="BG41" i="5"/>
  <c r="BH78" i="5"/>
  <c r="BH76" i="5"/>
  <c r="BH74" i="5"/>
  <c r="BH72" i="5"/>
  <c r="BH70" i="5"/>
  <c r="BH68" i="5"/>
  <c r="BH66" i="5"/>
  <c r="BH64" i="5"/>
  <c r="BH77" i="5"/>
  <c r="BH75" i="5"/>
  <c r="BH73" i="5"/>
  <c r="BH71" i="5"/>
  <c r="BH63" i="5"/>
  <c r="BH60" i="5"/>
  <c r="BH58" i="5"/>
  <c r="BH55" i="5"/>
  <c r="BH69" i="5"/>
  <c r="BH67" i="5"/>
  <c r="BH62" i="5"/>
  <c r="BH61" i="5"/>
  <c r="BH59" i="5"/>
  <c r="BH57" i="5"/>
  <c r="BH56" i="5"/>
  <c r="BH53" i="5"/>
  <c r="BH52" i="5"/>
  <c r="BH50" i="5"/>
  <c r="BH48" i="5"/>
  <c r="BH46" i="5"/>
  <c r="BH44" i="5"/>
  <c r="BH43" i="5"/>
  <c r="BH41" i="5"/>
  <c r="BH40" i="5"/>
  <c r="BH38" i="5"/>
  <c r="BH37" i="5"/>
  <c r="BH65" i="5"/>
  <c r="BH54" i="5"/>
  <c r="BH51" i="5"/>
  <c r="BH49" i="5"/>
  <c r="BH47" i="5"/>
  <c r="BH45" i="5"/>
  <c r="BH42" i="5"/>
  <c r="BH39" i="5"/>
  <c r="BH36" i="5"/>
  <c r="BH35" i="5"/>
  <c r="BR77" i="5"/>
  <c r="BR75" i="5"/>
  <c r="BR73" i="5"/>
  <c r="BR71" i="5"/>
  <c r="BR69" i="5"/>
  <c r="BR67" i="5"/>
  <c r="BR65" i="5"/>
  <c r="BR78" i="5"/>
  <c r="BR76" i="5"/>
  <c r="BR74" i="5"/>
  <c r="BR72" i="5"/>
  <c r="BR70" i="5"/>
  <c r="BR68" i="5"/>
  <c r="BR66" i="5"/>
  <c r="BR64" i="5"/>
  <c r="BR62" i="5"/>
  <c r="BR61" i="5"/>
  <c r="BR59" i="5"/>
  <c r="BR57" i="5"/>
  <c r="BR63" i="5"/>
  <c r="BR60" i="5"/>
  <c r="BR58" i="5"/>
  <c r="BR56" i="5"/>
  <c r="BR55" i="5"/>
  <c r="BR54" i="5"/>
  <c r="BR51" i="5"/>
  <c r="BR49" i="5"/>
  <c r="BR47" i="5"/>
  <c r="BR45" i="5"/>
  <c r="BR42" i="5"/>
  <c r="BR39" i="5"/>
  <c r="BR36" i="5"/>
  <c r="BR35" i="5"/>
  <c r="BR53" i="5"/>
  <c r="BR52" i="5"/>
  <c r="BR50" i="5"/>
  <c r="BR48" i="5"/>
  <c r="BR46" i="5"/>
  <c r="BR44" i="5"/>
  <c r="BR43" i="5"/>
  <c r="BR41" i="5"/>
  <c r="BR40" i="5"/>
  <c r="BR38" i="5"/>
  <c r="BR37" i="5"/>
  <c r="D16" i="11"/>
  <c r="J16" i="11"/>
  <c r="G16" i="11"/>
  <c r="D20" i="10"/>
  <c r="D21" i="10" s="1"/>
  <c r="D22" i="10" s="1"/>
  <c r="D23" i="10" s="1"/>
  <c r="D24" i="10" s="1"/>
  <c r="F40" i="1" s="1"/>
  <c r="C13" i="6"/>
  <c r="E13" i="6"/>
  <c r="C7" i="6"/>
  <c r="E7" i="6"/>
  <c r="D23" i="8"/>
  <c r="E23" i="8" s="1"/>
  <c r="D70" i="4"/>
  <c r="D27" i="8"/>
  <c r="E27" i="8" s="1"/>
  <c r="C26" i="7"/>
  <c r="D26" i="7" s="1"/>
  <c r="D102" i="4"/>
  <c r="A18" i="11"/>
  <c r="D18" i="8"/>
  <c r="E18" i="8" s="1"/>
  <c r="C20" i="7"/>
  <c r="D20" i="7" s="1"/>
  <c r="D77" i="4"/>
  <c r="BX27" i="5"/>
  <c r="BX28" i="5" s="1"/>
  <c r="BX29" i="5" s="1"/>
  <c r="D20" i="9"/>
  <c r="D21" i="9" s="1"/>
  <c r="D22" i="9" s="1"/>
  <c r="D24" i="9" s="1"/>
  <c r="D25" i="9" s="1"/>
  <c r="D26" i="9" s="1"/>
  <c r="F39" i="1" s="1"/>
  <c r="BJ77" i="5"/>
  <c r="BJ75" i="5"/>
  <c r="BJ73" i="5"/>
  <c r="BJ71" i="5"/>
  <c r="BJ69" i="5"/>
  <c r="BJ67" i="5"/>
  <c r="BJ65" i="5"/>
  <c r="BJ78" i="5"/>
  <c r="BJ76" i="5"/>
  <c r="BJ74" i="5"/>
  <c r="BJ72" i="5"/>
  <c r="BJ62" i="5"/>
  <c r="BJ61" i="5"/>
  <c r="BJ59" i="5"/>
  <c r="BJ57" i="5"/>
  <c r="BJ70" i="5"/>
  <c r="BJ68" i="5"/>
  <c r="BJ66" i="5"/>
  <c r="BJ64" i="5"/>
  <c r="BJ63" i="5"/>
  <c r="BJ60" i="5"/>
  <c r="BJ58" i="5"/>
  <c r="BJ54" i="5"/>
  <c r="BJ51" i="5"/>
  <c r="BJ49" i="5"/>
  <c r="BJ47" i="5"/>
  <c r="BJ45" i="5"/>
  <c r="BJ42" i="5"/>
  <c r="BJ39" i="5"/>
  <c r="BJ36" i="5"/>
  <c r="BJ35" i="5"/>
  <c r="BJ56" i="5"/>
  <c r="BJ53" i="5"/>
  <c r="BJ55" i="5"/>
  <c r="BJ52" i="5"/>
  <c r="BJ50" i="5"/>
  <c r="BJ48" i="5"/>
  <c r="BJ46" i="5"/>
  <c r="BJ44" i="5"/>
  <c r="BJ43" i="5"/>
  <c r="BJ41" i="5"/>
  <c r="BJ40" i="5"/>
  <c r="BJ38" i="5"/>
  <c r="BJ37" i="5"/>
  <c r="BL78" i="5"/>
  <c r="BL76" i="5"/>
  <c r="BL74" i="5"/>
  <c r="BL72" i="5"/>
  <c r="BL70" i="5"/>
  <c r="BL68" i="5"/>
  <c r="BL66" i="5"/>
  <c r="BL64" i="5"/>
  <c r="BL77" i="5"/>
  <c r="BL75" i="5"/>
  <c r="BL73" i="5"/>
  <c r="BL71" i="5"/>
  <c r="BL63" i="5"/>
  <c r="BL60" i="5"/>
  <c r="BL58" i="5"/>
  <c r="BL55" i="5"/>
  <c r="BL69" i="5"/>
  <c r="BL67" i="5"/>
  <c r="BL65" i="5"/>
  <c r="BL62" i="5"/>
  <c r="BL61" i="5"/>
  <c r="BL59" i="5"/>
  <c r="BL57" i="5"/>
  <c r="BL53" i="5"/>
  <c r="BL56" i="5"/>
  <c r="BL52" i="5"/>
  <c r="BL50" i="5"/>
  <c r="BL48" i="5"/>
  <c r="BL46" i="5"/>
  <c r="BL44" i="5"/>
  <c r="BL43" i="5"/>
  <c r="BL41" i="5"/>
  <c r="BL40" i="5"/>
  <c r="BL38" i="5"/>
  <c r="BL37" i="5"/>
  <c r="BL54" i="5"/>
  <c r="BL51" i="5"/>
  <c r="BL49" i="5"/>
  <c r="BL47" i="5"/>
  <c r="BL45" i="5"/>
  <c r="BL42" i="5"/>
  <c r="BL39" i="5"/>
  <c r="BL36" i="5"/>
  <c r="BL35" i="5"/>
  <c r="D9" i="11"/>
  <c r="J9" i="11"/>
  <c r="G9" i="11"/>
  <c r="D6" i="11"/>
  <c r="J6" i="11"/>
  <c r="G6" i="11"/>
  <c r="A20" i="11" l="1"/>
  <c r="D22" i="8"/>
  <c r="E22" i="8" s="1"/>
  <c r="D21" i="8"/>
  <c r="E21" i="8" s="1"/>
  <c r="C23" i="7"/>
  <c r="D23" i="7" s="1"/>
  <c r="D27" i="7" s="1"/>
  <c r="E27" i="7" s="1"/>
  <c r="E28" i="7" s="1"/>
  <c r="E29" i="7" s="1"/>
  <c r="E30" i="7" s="1"/>
  <c r="D20" i="8"/>
  <c r="E20" i="8" s="1"/>
  <c r="BR8" i="5"/>
  <c r="BN8" i="5"/>
  <c r="BJ8" i="5"/>
  <c r="BF8" i="5"/>
  <c r="BU8" i="5"/>
  <c r="F29" i="1" s="1"/>
  <c r="BQ8" i="5"/>
  <c r="BM8" i="5"/>
  <c r="BI8" i="5"/>
  <c r="BE8" i="5"/>
  <c r="BT8" i="5"/>
  <c r="BP8" i="5"/>
  <c r="BL8" i="5"/>
  <c r="BH8" i="5"/>
  <c r="BS8" i="5"/>
  <c r="BO8" i="5"/>
  <c r="BK8" i="5"/>
  <c r="BG8" i="5"/>
  <c r="D18" i="11"/>
  <c r="J18" i="11"/>
  <c r="G18" i="11"/>
  <c r="BS4" i="5"/>
  <c r="BU4" i="5"/>
  <c r="BT4" i="5"/>
  <c r="D22" i="11"/>
  <c r="J22" i="11"/>
  <c r="G22" i="11"/>
  <c r="BU38" i="5"/>
  <c r="F53" i="1" s="1"/>
  <c r="BU44" i="5"/>
  <c r="F59" i="1" s="1"/>
  <c r="BU52" i="5"/>
  <c r="F67" i="1" s="1"/>
  <c r="BU36" i="5"/>
  <c r="F51" i="1" s="1"/>
  <c r="BU47" i="5"/>
  <c r="F62" i="1" s="1"/>
  <c r="BU56" i="5"/>
  <c r="F71" i="1" s="1"/>
  <c r="BU63" i="5"/>
  <c r="F78" i="1" s="1"/>
  <c r="BU57" i="5"/>
  <c r="F72" i="1" s="1"/>
  <c r="BU72" i="5"/>
  <c r="F87" i="1" s="1"/>
  <c r="BU65" i="5"/>
  <c r="F80" i="1" s="1"/>
  <c r="BU73" i="5"/>
  <c r="F88" i="1" s="1"/>
  <c r="BU5" i="5"/>
  <c r="BT5" i="5"/>
  <c r="BS5" i="5"/>
  <c r="BU6" i="5"/>
  <c r="BT6" i="5"/>
  <c r="BS6" i="5"/>
  <c r="BU40" i="5"/>
  <c r="F55" i="1" s="1"/>
  <c r="BU46" i="5"/>
  <c r="F61" i="1" s="1"/>
  <c r="BU53" i="5"/>
  <c r="F68" i="1" s="1"/>
  <c r="BU39" i="5"/>
  <c r="F54" i="1" s="1"/>
  <c r="BU49" i="5"/>
  <c r="F64" i="1" s="1"/>
  <c r="BU64" i="5"/>
  <c r="F79" i="1" s="1"/>
  <c r="BU66" i="5"/>
  <c r="F81" i="1" s="1"/>
  <c r="BU59" i="5"/>
  <c r="F74" i="1" s="1"/>
  <c r="BU74" i="5"/>
  <c r="F89" i="1" s="1"/>
  <c r="BU67" i="5"/>
  <c r="F82" i="1" s="1"/>
  <c r="BU75" i="5"/>
  <c r="F90" i="1" s="1"/>
  <c r="BU41" i="5"/>
  <c r="F56" i="1" s="1"/>
  <c r="BU48" i="5"/>
  <c r="F63" i="1" s="1"/>
  <c r="BU55" i="5"/>
  <c r="F70" i="1" s="1"/>
  <c r="BU42" i="5"/>
  <c r="F57" i="1" s="1"/>
  <c r="BU51" i="5"/>
  <c r="F66" i="1" s="1"/>
  <c r="BU58" i="5"/>
  <c r="F73" i="1" s="1"/>
  <c r="BU68" i="5"/>
  <c r="F83" i="1" s="1"/>
  <c r="BU61" i="5"/>
  <c r="F76" i="1" s="1"/>
  <c r="BU76" i="5"/>
  <c r="F91" i="1" s="1"/>
  <c r="BU69" i="5"/>
  <c r="F84" i="1" s="1"/>
  <c r="BU77" i="5"/>
  <c r="F92" i="1" s="1"/>
  <c r="D19" i="11"/>
  <c r="J19" i="11"/>
  <c r="G19" i="11"/>
  <c r="E19" i="6"/>
  <c r="D20" i="12"/>
  <c r="D21" i="12" s="1"/>
  <c r="M45" i="1"/>
  <c r="D20" i="11"/>
  <c r="J20" i="11"/>
  <c r="G20" i="11"/>
  <c r="BU37" i="5"/>
  <c r="F52" i="1" s="1"/>
  <c r="BU43" i="5"/>
  <c r="F58" i="1" s="1"/>
  <c r="BU50" i="5"/>
  <c r="F65" i="1" s="1"/>
  <c r="BU35" i="5"/>
  <c r="F50" i="1" s="1"/>
  <c r="BX35" i="5" s="1"/>
  <c r="BY35" i="5" s="1"/>
  <c r="Q50" i="1" s="1"/>
  <c r="BU45" i="5"/>
  <c r="F60" i="1" s="1"/>
  <c r="BU54" i="5"/>
  <c r="F69" i="1" s="1"/>
  <c r="BU60" i="5"/>
  <c r="F75" i="1" s="1"/>
  <c r="BU70" i="5"/>
  <c r="F85" i="1" s="1"/>
  <c r="BU62" i="5"/>
  <c r="F77" i="1" s="1"/>
  <c r="BU78" i="5"/>
  <c r="F93" i="1" s="1"/>
  <c r="BU71" i="5"/>
  <c r="F86" i="1" s="1"/>
  <c r="BT3" i="5"/>
  <c r="BS3" i="5"/>
  <c r="BU3" i="5"/>
  <c r="D21" i="11"/>
  <c r="J21" i="11"/>
  <c r="G21" i="11"/>
  <c r="E30" i="8" l="1"/>
  <c r="E32" i="8" s="1"/>
  <c r="E33" i="8" s="1"/>
  <c r="E34" i="8" s="1"/>
  <c r="E35" i="8" s="1"/>
  <c r="F38" i="1" s="1"/>
  <c r="J24" i="11"/>
  <c r="J25" i="11" s="1"/>
  <c r="J26" i="11" s="1"/>
  <c r="J27" i="11" s="1"/>
  <c r="J28" i="11" s="1"/>
  <c r="F43" i="1" s="1"/>
  <c r="G24" i="11"/>
  <c r="G25" i="11" s="1"/>
  <c r="G26" i="11" s="1"/>
  <c r="G27" i="11" s="1"/>
  <c r="G28" i="11" s="1"/>
  <c r="F42" i="1" s="1"/>
  <c r="D24" i="11"/>
  <c r="D25" i="11" s="1"/>
  <c r="D26" i="11" s="1"/>
  <c r="D27" i="11" s="1"/>
  <c r="D28" i="11" s="1"/>
  <c r="F41" i="1" s="1"/>
  <c r="BX43" i="5"/>
  <c r="BY43" i="5" s="1"/>
  <c r="Q58" i="1" s="1"/>
  <c r="BX37" i="5"/>
  <c r="BY37" i="5" s="1"/>
  <c r="Q52" i="1" s="1"/>
  <c r="BX40" i="5"/>
  <c r="BY40" i="5" s="1"/>
  <c r="Q55" i="1" s="1"/>
  <c r="F20" i="6"/>
  <c r="F19" i="6"/>
  <c r="BX61" i="5"/>
  <c r="BY61" i="5" s="1"/>
  <c r="Q76" i="1" s="1"/>
  <c r="E31" i="8" l="1"/>
  <c r="E20" i="6"/>
  <c r="F21" i="6"/>
  <c r="F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100-000001000000}">
      <text>
        <r>
          <rPr>
            <sz val="10"/>
            <color rgb="FF000000"/>
            <rFont val="Calibri"/>
            <scheme val="minor"/>
          </rPr>
          <t>======
ID#AAAAV4veI6M
Administrador    (2022-03-03 23:06:11)
Usted puede copiar este texto a Word, usando la opción copiar y luego pegándolo en Word con la opción Edición, Pegado especial, Texto Sin Formato.</t>
        </r>
      </text>
    </comment>
  </commentList>
  <extLst>
    <ext xmlns:r="http://schemas.openxmlformats.org/officeDocument/2006/relationships" uri="GoogleSheetsCustomDataVersion2">
      <go:sheetsCustomData xmlns:go="http://customooxmlschemas.google.com/" r:id="rId1" roundtripDataSignature="AMtx7mgnlYdXpKkbEUJ56agWElGQo5Xkhw=="/>
    </ext>
  </extL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<sst xmlns="http://schemas.openxmlformats.org/spreadsheetml/2006/main" count="2212" uniqueCount="541">
  <si>
    <t>Programa de Textos Interpretativos del 16PF</t>
  </si>
  <si>
    <t>Nombre:</t>
  </si>
  <si>
    <t>Edad:</t>
  </si>
  <si>
    <t>Decatipos</t>
  </si>
  <si>
    <t xml:space="preserve">               RESERVADO</t>
  </si>
  <si>
    <t>A</t>
  </si>
  <si>
    <t>ABIERTO</t>
  </si>
  <si>
    <t xml:space="preserve">    PENSAMIENTO CONCRETO</t>
  </si>
  <si>
    <t>B</t>
  </si>
  <si>
    <t>PENSAMIENTO ABSTRACTO</t>
  </si>
  <si>
    <t xml:space="preserve"> INESTABILIDAD EMOCIONAL</t>
  </si>
  <si>
    <t>C</t>
  </si>
  <si>
    <t>ESTABILIDAD EMOCIONAL</t>
  </si>
  <si>
    <t xml:space="preserve">                  SUMISO</t>
  </si>
  <si>
    <t>E</t>
  </si>
  <si>
    <t>DOMINANTE</t>
  </si>
  <si>
    <t xml:space="preserve">                PRUDENTE</t>
  </si>
  <si>
    <t>F</t>
  </si>
  <si>
    <t>IMPULSIVO</t>
  </si>
  <si>
    <t xml:space="preserve">           DESPREOCUPADO</t>
  </si>
  <si>
    <t>G</t>
  </si>
  <si>
    <t>ESCRUPULOSO</t>
  </si>
  <si>
    <t xml:space="preserve">                  TIMIDO</t>
  </si>
  <si>
    <t>H</t>
  </si>
  <si>
    <t>ESPONTANEO</t>
  </si>
  <si>
    <t xml:space="preserve">                RACIONAL</t>
  </si>
  <si>
    <t>I</t>
  </si>
  <si>
    <t>EMOCIONAL</t>
  </si>
  <si>
    <t xml:space="preserve">                CONFIADO</t>
  </si>
  <si>
    <t>L</t>
  </si>
  <si>
    <t>SUSPICAZ</t>
  </si>
  <si>
    <t xml:space="preserve">                PRACTICO</t>
  </si>
  <si>
    <t>M</t>
  </si>
  <si>
    <t>SOÑADOR</t>
  </si>
  <si>
    <t xml:space="preserve">                SENCILLO</t>
  </si>
  <si>
    <t>N</t>
  </si>
  <si>
    <t>ASTUTO</t>
  </si>
  <si>
    <t xml:space="preserve">                  SEGURO</t>
  </si>
  <si>
    <t>O</t>
  </si>
  <si>
    <t>INSEGURO</t>
  </si>
  <si>
    <t xml:space="preserve">         TRADICIONALISTA</t>
  </si>
  <si>
    <t>Q1</t>
  </si>
  <si>
    <t>INNOVADOR</t>
  </si>
  <si>
    <t xml:space="preserve">   DEPENDIENTE DEL GRUPO</t>
  </si>
  <si>
    <t>Q2</t>
  </si>
  <si>
    <t>AUTOSUFICIENTE</t>
  </si>
  <si>
    <t xml:space="preserve">             DESINHIBIDO</t>
  </si>
  <si>
    <t>Q3</t>
  </si>
  <si>
    <t>CONTROLADO</t>
  </si>
  <si>
    <t xml:space="preserve">               TRANQUILO</t>
  </si>
  <si>
    <t>Q4</t>
  </si>
  <si>
    <t>TENSIONADO</t>
  </si>
  <si>
    <t>Indicadores clínicos en rojo</t>
  </si>
  <si>
    <t>Dimensiones globales</t>
  </si>
  <si>
    <t xml:space="preserve">           BAJA ANSIEDAD</t>
  </si>
  <si>
    <t>ALTA ANSIEDAD</t>
  </si>
  <si>
    <t xml:space="preserve">            INTROVERSION</t>
  </si>
  <si>
    <t>EXTRAVERSION</t>
  </si>
  <si>
    <t xml:space="preserve">     BAJO CONTROL SOCIAL</t>
  </si>
  <si>
    <t>ALTO CONTROL SOCIAL</t>
  </si>
  <si>
    <t xml:space="preserve">             DEPENDENCIA</t>
  </si>
  <si>
    <t>INDEPENDENCIA</t>
  </si>
  <si>
    <t>APERTURA AL CAMBIO</t>
  </si>
  <si>
    <t>MENTALIDAD DURA</t>
  </si>
  <si>
    <t>Ecuaciones derivadas de perfiles</t>
  </si>
  <si>
    <t xml:space="preserve">             OBJETIVIDAD</t>
  </si>
  <si>
    <t>SUBJETIVIDAD</t>
  </si>
  <si>
    <t xml:space="preserve">        CREATIVIDAD BAJA</t>
  </si>
  <si>
    <t>CREATIVIDAD ALTA</t>
  </si>
  <si>
    <t xml:space="preserve">       BAJO NEUROTICISMO</t>
  </si>
  <si>
    <t>ALTO NEUROTICISMO</t>
  </si>
  <si>
    <t xml:space="preserve">                BAJO AISLAMIENTO</t>
  </si>
  <si>
    <t>ALTO AISLAMIENTO</t>
  </si>
  <si>
    <t xml:space="preserve">          BAJO LIDERAZGO</t>
  </si>
  <si>
    <t>ALTO LIDERAZGO</t>
  </si>
  <si>
    <t xml:space="preserve">   PROPENSO A ACCIDENTES</t>
  </si>
  <si>
    <t>LIBRE ACCIDENTES</t>
  </si>
  <si>
    <t>Comparación con perfiles de competencias a través de ecuaciones discriminantes</t>
  </si>
  <si>
    <t>BAJA COMPETENCIA MÉDICO ESPECIALISTA</t>
  </si>
  <si>
    <t>ALTA COMPETENCIA MÉDICO ESPECIALISTA</t>
  </si>
  <si>
    <t>BAJA COMPETENCIA COMO ESTUDIANTE</t>
  </si>
  <si>
    <t>ALTA COMPETENCIA COMO ESTUDIANTE</t>
  </si>
  <si>
    <t>COMPETENCIA EMPLEADO NO EMPRESARIO</t>
  </si>
  <si>
    <t>COMPETENCIA EMPRESARIO EXITOSO</t>
  </si>
  <si>
    <t>COMPETENCIA DOCENTE CIENCIAS BÁSICAS</t>
  </si>
  <si>
    <t>COMPETENCIA CIENTÍFICO CIENCIAS BÁSICAS</t>
  </si>
  <si>
    <t>COMPETENCIA DOCENTE INGENIERÍA E INNOVACIÓN</t>
  </si>
  <si>
    <t>COMPETENCIA CIENTÍFICO INGENIERÍA</t>
  </si>
  <si>
    <t>COMPETENCIA DOCENTE SOCIALES Y HUMANIDADES</t>
  </si>
  <si>
    <t>COMPETENCIA CIENTÍFICO SOC. Y HUMANIDADES</t>
  </si>
  <si>
    <t>Proyección de Competencia conductual en cumplimiento de cuota de Ventas, administradores punto de venta droguerías:</t>
  </si>
  <si>
    <t xml:space="preserve">El presente perfil es asimilable a vendedores con cumplimiento del </t>
  </si>
  <si>
    <t>años</t>
  </si>
  <si>
    <t>Manejo de la imagen</t>
  </si>
  <si>
    <t>Comparación con perfiles profesionales</t>
  </si>
  <si>
    <t>ÁREA</t>
  </si>
  <si>
    <t>INFORME INTERPRETATIVO, PRUEBA 16PF</t>
  </si>
  <si>
    <t xml:space="preserve"> </t>
  </si>
  <si>
    <t>COMPETENCIAS INTELECTUALES</t>
  </si>
  <si>
    <t>Se le dificulta la comprensión de instrucciones complejas y la realización de abstracciones y generalizaciones.</t>
  </si>
  <si>
    <t xml:space="preserve">Muestra algo de dispersión en su trabajo. </t>
  </si>
  <si>
    <t>Tiende a rechazar la tradición y el convencionalismo. Puede ser un tanto rebelde en sus ideas, y orientarse hacia el cambio. Puede mostrar algo de molestia hacia cualquier cosa que percibe como obstáculo y como opresiva. En algunas ocasiones puede tener dificultades al interactuar con figuras de autoridad y de control. Puede ser pensador innovador, cuya competencia para romper los modos tradicionales de pensamiento le podría permitir encontrar mejores maneras para realizar su trabajo.</t>
  </si>
  <si>
    <t xml:space="preserve">COMPETENCIAS EMOCIONALES </t>
  </si>
  <si>
    <t xml:space="preserve">Presenta leves tendencias de neuroticismo, en general manejables. </t>
  </si>
  <si>
    <t xml:space="preserve">Le falta un poco de fortaleza interior para hacerle frente a las dificultades. Tiende a ser inconstante en actitudes e intereses y tiende a renunciar. En ocasiones se le dificultará la realización de trabajos que exijan vencer algunos obstáculos e impliquen asumir y conseguir retos. Funciona mejor en trabajos rutinarios. </t>
  </si>
  <si>
    <t>Tiende a hacer evaluaciones con base en intenciones subjetivas y puede reaccionar de manera emocional. A verces juzga con base en los sentimientos y no en los hechos, esto le puede obstaculizar la toma de decisiones donde estén involucrados sus afectos, creando algunas veces retrasos excesivos en estas. Tiende a ser indulgente consigo mismo y con los demás.</t>
  </si>
  <si>
    <t>Comprometido, capaz de poner los objetivos de la organización y del grupo por encima de los suyos, en aquellos casos en que la realidad lo requiera</t>
  </si>
  <si>
    <t xml:space="preserve">Tiende a trabajar con un nivel más bien alto de tensión. En ocasiones puede actuar de manera explosiva ante poca provocación. Puede ser un poco impaciente, impulsivo, irritable y explosivo. Ocasionalmente, puede mostrar conductas violentas y no premeditadas. </t>
  </si>
  <si>
    <t xml:space="preserve">Muestra algo de aislamiento afectivo. </t>
  </si>
  <si>
    <t xml:space="preserve">COMPETENCIAS SOCIALES </t>
  </si>
  <si>
    <t xml:space="preserve">Presenta un mal perfil de líder. </t>
  </si>
  <si>
    <t xml:space="preserve">Muestra equilibrio entre introversión y extroversión. </t>
  </si>
  <si>
    <t>Actúa siguiendo las normas y guías externas. Depende de modelos convencionales. Es dependiente en su pensamiento y en el modo de comportarse.</t>
  </si>
  <si>
    <t>Defiende sus puntos de vista de manera insistente y con frecuencia busca que los demás hagan las cosas como él dice. Es competente en trabajos en los que se requiere de la capacidad de presionar a otros. Sin embargo, su autocracia puede llevar a dificultades en su relación con sus colegas y colaboradores.</t>
  </si>
  <si>
    <t>Puede ser algo hábil para asumir cargos que impliquen viajar, exponerse a personas y situaciones desconocidas donde tenga que realizar acciones y tomar decisiones rápidas. Tiende a ser atrevido, intrépido, socialmente audaz, le gusta conocer nuevas personas. Podría ser aventurado y arriesgarse a lo desconocido.</t>
  </si>
  <si>
    <t>Toma sus propias decisiones y sienta posiciones, aun cuando estas lo hagan impopular. Se le dificulta la realización de labores que impliquen trabajo en equipo, sin embargo le favorece el ejercicio del liderazgo, su capacidad para no comprometer su criterio.</t>
  </si>
  <si>
    <t>Debe desarrollar un poco más de fuerza interior para persistir y lograr metas y para realizar sus ambiciones.</t>
  </si>
  <si>
    <t xml:space="preserve">COMPETENCIAS ÉTICAS </t>
  </si>
  <si>
    <t>Abandonador, inconstante, descuida sus obligaciones personales, indulgente consigo mismo. Poco perseverante. Desacata las normas, no es confiable en cargos que impliquen apego irrestricto a normas y procedimientos organizacionales. Tiene hábitos de trabajo poco eficientes.</t>
  </si>
  <si>
    <t xml:space="preserve">Su baja estabilidad emocional no ayuda a su nivel de moral general. </t>
  </si>
  <si>
    <t xml:space="preserve">Su pensamiento concreto no le ayuda en las competencias para interpretar las normas. </t>
  </si>
  <si>
    <t xml:space="preserve">Muestra un perfil con bajas competencias en seguridad ocupacional. </t>
  </si>
  <si>
    <t>Digite 1 para A,                 2 para B,                                3 para C                          y 0 para ninguna marca</t>
  </si>
  <si>
    <t>Items  OJO ITEM  SIN MARCAR! EXTRAER CEROS Y CONTABILIZAR</t>
  </si>
  <si>
    <t>Valor del item</t>
  </si>
  <si>
    <t>dist</t>
  </si>
  <si>
    <t>neg</t>
  </si>
  <si>
    <t>Directos:</t>
  </si>
  <si>
    <t>DA</t>
  </si>
  <si>
    <t>DB</t>
  </si>
  <si>
    <t>DC</t>
  </si>
  <si>
    <t>DE</t>
  </si>
  <si>
    <t>DF</t>
  </si>
  <si>
    <t>DG</t>
  </si>
  <si>
    <t>DH</t>
  </si>
  <si>
    <t>DI</t>
  </si>
  <si>
    <t>DL</t>
  </si>
  <si>
    <t>DM</t>
  </si>
  <si>
    <t>DN</t>
  </si>
  <si>
    <t>DO</t>
  </si>
  <si>
    <t>DQ1</t>
  </si>
  <si>
    <t>DQ2</t>
  </si>
  <si>
    <t>DQ3</t>
  </si>
  <si>
    <t>DQ4</t>
  </si>
  <si>
    <t>Se mantiene en sus propias ideas. Evita el contacto humanoPuede tener dificultades para establecer y mantener relaciones afectuosas con la genteCompetente en actividades que requieran trabajo en solitario.</t>
  </si>
  <si>
    <t>Tiende a mantenerse en sus propias ideas. A veces evita el contacto humano. Puede tener algunas dificultades para establecer y mantener relaciones afectuosas con la gente. Es más bien competente en actividades que requieran trabajo en solitario.</t>
  </si>
  <si>
    <t>Tiende a mostrarse cooperador, le gusta participar, es atento con las personas y adaptable. Casi siempre logra habilidad para establecer y mantener contactos interpersonales. Sin embargo, su necesidad de estar con las personas lo vuelve un poco crédulo y lento para discernir y criticar las debilidades humanas</t>
  </si>
  <si>
    <t>Cooperador, le gusta participar, es atento con las personas y adaptable. Logra habilidad para establecer y mantener contactos interpersonales. Sin embargo, su alta necesidad de estar con las personas lo vuelve demasiado crédulo y lento para discernir y criticar las debilidades humanas</t>
  </si>
  <si>
    <t>Presenta cierta dificultad para la comprensión de instrucciones complejas y la realización de abstracciones y generalizaciones.</t>
  </si>
  <si>
    <t>En general realiza aprendizajes de manera algo rápida y precisa. Casi siempre capta las diferentes realidades organizacionales y puede interactuar con ellas de forma adecuada. Normalmente tiende a realizar abstracciones y globalizaciones de manera adecuada, posibilitándosele  también de alguna manera el diseño de estrategias y la resolución de problemas complicados.</t>
  </si>
  <si>
    <t>Realiza aprendizajes de manera rápida y precisa. Capta las diferentes realidades organizacionales y puede interactuar con ellas de una forma eficiente. Realiza abstracciones y globalizaciones de manera adecuada, posibilitándosele también el diseño de estrategias y la resolución de problemas complicados.</t>
  </si>
  <si>
    <t xml:space="preserve">poca fortaleza interior para hacerle frente a las dificultades. Inconstante en actitudes e intereses y tiende a renunciar. Se le dificultará la realización de trabajos que exijan vencer constantemente obstáculos e impliquen asumir y conseguir retos. Funciona mejor en trabajos rutinarios. </t>
  </si>
  <si>
    <t>Tiende a ser un poco tolerante con las frustraciones y resolver problemas. Maneja normalmente los retos que origina el día día. Tiende a tener éxito en la realización de trabajos donde tenga que enfrentar obstáculos y asumir desafíos.</t>
  </si>
  <si>
    <t>Tolera las frustraciones, resuelve problemas. Maneja bien los retos que origina el día día. Tiene éxito en la realización de trabajos donde tenga que enfrentar obstáculos y asumir desafíos constantemente.</t>
  </si>
  <si>
    <t>Suele ser poco exigente; se acomoda a los deseos de los demás. En sus relaciones interpersonales, se orienta a evitar el conflicto, lo que con frecuencia se acompaña de un esfuerzo por agradar y obtener aprobación. Poca tendencia a defender sus puntos de vista. Se turba frente a figuras de autoridad.</t>
  </si>
  <si>
    <t>Tiende a ser poco exigente; se acomoda a los deseos de los demás. En sus relaciones interpersonales, algunas veces se orienta a evitar el conflicto, lo que con puede acompañarse de un esfuerzo por agradar y obtener aprobación. Poca tendencia a defender sus puntos de vista. En ocasiones se turba frente a figuras de autoridad.</t>
  </si>
  <si>
    <t>Tiene la característica de defender sus puntos de vista sin generar conflictos con colegas o colaboradores, ya que ni es sumiso ni tiene la necesidad de que los demás siempre hagan las cosas como él dice.</t>
  </si>
  <si>
    <t>Tiene la tendencia a defender sus puntos de vista de manera insistente y en ocasiones busca que los demás hagan las cosas como él dice. Tiende a ser competente en trabajos en los que se requiere capacidad para presionar a otros. Sin embargo, su posible estilo autocrático puede llevar a algunas dificultades en su relación con sus colegas y colaboradores.</t>
  </si>
  <si>
    <t>Indeciso de tomar riesgos. Tiene poco sentido del humor. Su falta de alegría y capacidad de conversación, le resta aceptación en sus subalternos. Suele ser responsable y tomar muy en serio su trabajo.</t>
  </si>
  <si>
    <t>Alguna probabilidad de indecisión para tomar riesgos. A veces tiene poco sentido del humor. En algunos casos su falta de alegría, y capacidad de conversación, le resta aceptación en sus subalternos. Tiende a ser responsable y tomar muy en serio su trabajo.</t>
  </si>
  <si>
    <t>Tiende a buscar grandes estímulos. Su pensamiento en general es de estilo divergente, produciendo varias ideas a la vez, llevándolo ocasionalmente a desenfocarse. Puede no desempeñarse con éxito en empresas a largo plazo. es posible que tenga más éxito en trabajos que requieren diversidad, no siendo muy recomendable para trabajos rutinarios.</t>
  </si>
  <si>
    <t>Busca activamente situaciones de grandes estímulos. Su pensamiento es de estilo divergente, generando con frecuencia muchas ideas a la vez, llevándolo con frecuencia a desenfocarse. No se desempeña con éxito en empresas a largo plazo. Tendrá más éxito en trabajos que requieren diversidad, no es recomendable para trabajos rutinarios.</t>
  </si>
  <si>
    <t>Tiende a ser un poco abandonador e inconstante y a veces descuida sus obligaciones personales, pudiendo ser indulgente consigo mismo. Puede ser poco perseverante. En ocasiones desacata las normas, pudiendo no ser confiable en cargos que impliquen apego irrestricto a normas y procedimientos organizacionales. A veces presenta hábitos de trabajo poco eficientes.</t>
  </si>
  <si>
    <t>Tiende a ser el tipo de persona que se propone para puestos de responsabilidad, porque en ocasiones posee sentido del deber. Tiende a ser apegado a normas y valores morales, persistente y autodisciplinado. Podría ser un buen realizador, algunas veces en forma excesiva.</t>
  </si>
  <si>
    <t>Es el tipo de persona que se propone para puestos de responsabilidad, porque es dominado por el sentido del deber, apegado a normas y valores morales, persistente y autodisciplinado. Suele ser gran realizador, algunas veces en forma excesiva.</t>
  </si>
  <si>
    <t>Reacciona en forma excesiva a cualquier amenaza percibida. Prefiere mantenerse en lo que es fijo, predecible y seguro, por lo que evita sistemáticamente cualquier experiencia que pueda amenazar su timidez, como competencias y experiencias nuevas. Estos aspectos limitan su desempeño en trabajos que impliquen viajar con frecuencia, conocer nuevas personas y estar expuesto a aspectos impredecibles. Muy concentrado en su trabajo</t>
  </si>
  <si>
    <t>Hábil para asumir cargos que impliquen viajar, exponerse a personas y situaciones desconocidas donde tenga que realizar acciones y tomar decisiones rápidas. Es atrevido, intrépido, socialmente audaz, le gusta conocer nuevas personas. Aventurado, se arriesga a lo desconocido.</t>
  </si>
  <si>
    <t>Es muy poco empático. Se sentirá poco confortable en labores de servicio. Es muy adecuado en cargos expuestos a tensión continuada. Tiene éxito en labores que implique auditoria objetiva. Pocas competencias para ponerse en el lugar del otro.</t>
  </si>
  <si>
    <t>Tiende a ser poco empático. Puede sentirse poco confortable en labores de servicio. Es algo adecuado en cargos expuestos a tensión continuada. puede tener éxito en labores que impliquen auditoria objetiva. En general se observan pocas competencias para ponerse en el lugar del otro.</t>
  </si>
  <si>
    <t>Normalmente hace evaluaciones con base en intenciones subjetivas y reaccionar de manera emocional. Juzga con base en los sentimientos y no en los hechos, esto le obstaculiza para tomar decisiones donde estén involucrados sus afectos, creando algunas veces retrasos excesivos en estas. Indulgente consigo mismo y con los demás.</t>
  </si>
  <si>
    <t>Débil para corregir y exigirle a las personas. Conciliatorio. No es competitivo en lo social. Poco alerta a los errores e intenciones de los demás. Altamente ingenuo y presa fácil de estafadores y mentirosos. No se recomienda para cargos, donde se requiera control y seguimiento a personas ni aquellos que estén expuestos a engaños y estafas, como el de vigilancia.</t>
  </si>
  <si>
    <t>Tiende a ser débil para corregir y exigirle a las personas. puede tener un estilo conciliatorio. En general, no es competitivo en lo social. Puede estar poco alerta a los errores e intenciones de los demás. Un poco ingenuo y a veces presa de estafadores y mentirosos. No se recomienda para cargos, donde se requiera control y seguimiento a personas ni aquellos que estén expuestos a engaños y estafas, como el de vigilancia.</t>
  </si>
  <si>
    <t xml:space="preserve">Tiende a ser suspicaz y desconfiado. En ocasiones su desempeño social se ve afectado por su tendencia a exigirle a las personas que acepten las responsabilidades de sus errores. Puede serle difícil soportar las flaquezas humanas y oponerse a los demás. Puiede ser buscador de faltas y tener propensión a encontrar problemas. </t>
  </si>
  <si>
    <t xml:space="preserve">Suspicaz y desconfiado. Su desempeño social se ve afectado por su alta tendencia a exigirle a las personas que acepten las responsabilidades de sus errores. Se le dificulta soportar las flaquezas humanas y por esto, se opone a los demás. Es buscador de faltas y tiene alta propensión a encontrar problemas. </t>
  </si>
  <si>
    <t>Posee gran habilidad para atender varios frentes de trabajo, con un mínimo de errores. Competente en labores que exijan buena memoria y que requieran observar y recordar detalles irrelevantes. Se adapta con facilidad a la rutina</t>
  </si>
  <si>
    <t>Tiende a poseer habilidad para atender varios frentes de trabajo, con pocos errores. Puede ser competente en labores que exijan memoria y que requieran observar y recordar detalles irrelevantes. Tiende a adaptarse con facilidad a la rutina</t>
  </si>
  <si>
    <t>Tiende a lograr buenos niveles de comprensión, por lo que puede ser creativo. Tiende a preocuparse algo por sus pensamientos y por tanto, puede pasar por alto los peligros físicos del entorno. Puede ser un poco distraído, poco observador y poco preocupado por los detalles externos. Algo olvidadizo. Puede no desarrollar bien los trabajos que tengan mucho detalle.</t>
  </si>
  <si>
    <t>Logra niveles profundos de comprensión, por lo que con frecuencia es muy creativo. Se preocupa tanto por sus pensamientos, que pasa por alto los peligros físicos del entorno. Distraído, poco observador, poco preocupado por los detalles externos. Olvidadizo. No desarrolla bien los trabajos que tengan mucho detalle.</t>
  </si>
  <si>
    <t xml:space="preserve">Poco competente en trabajos que requieran malicia, ya que es ingenuo y tiene una confianza ciega en la naturaleza humana. Es frecuente que se tome ventaja de él, algunas veces la misma persona. Baja su desempeño en labores que exijan discreción y tacto, como las relaciones públicas y las ventas. </t>
  </si>
  <si>
    <t xml:space="preserve">Tiende a ser poco competente en trabajos que requieran malicia, ya que en general puede ser ingenuo y tener confianza ciega en la naturaleza humana. En ocasiones toman ventaja de él, algunas veces la misma persona. Puede bajar su desempeño en labores que exijan discreción y tacto, como las relaciones públicas y las ventas. </t>
  </si>
  <si>
    <t>Muestra alguna tendencia a ser exitoso socialmente en su interacción con colegas y conocidos. Tiende a buscar una imagen social correcta. Puede ser elocuente y diplomático en su conversación. En ocasiones tiene en cuenta la etiqueta, con cuidado de no ofender.</t>
  </si>
  <si>
    <t>Suele ser exitoso socialmente en su interacción con colegas y conocidos. Busca tener una imagen social correcta. Es elocuente y diplomático en su conversación. Tiene en cuenta la etiqueta, tiene cuidado de no ofender.</t>
  </si>
  <si>
    <t>No siente incomodidad ni preocupación frente al no acato de las normas y al no cumplimiento de compromisos. Muy poco sensible a la aprobación o desaprobación de los demás. Despreocupado frente al compromiso, carece de empatía.</t>
  </si>
  <si>
    <t>En general, le falta incomodidad y más preocupación frente al no acato de las normas y al no cumplimiento de compromisos. Tiende a ser poco sensible a la aprobación o desaprobación de los demás. Puede ser despreocupado frente al compromiso y faltarle más empatía.</t>
  </si>
  <si>
    <t>En general, puede poseer pocas competencias productivas, por llevar una carga y algo de dolor emocional. Tiene un alto sentido de la obligación, es sensible a la aprobación o desaprobación de los demás. En sus relaciones sociales tiende a ser manejado por amenazas y miedos.</t>
  </si>
  <si>
    <t>Posee pocas competencias productivas, por llevar una gran carga y dolor emocional. Tiene un fuerte sentido de la obligación, es altamente sensible a la aprobación o desaprobación de los demás. En sus relaciones sociales es manejado por amenazas y miedos.</t>
  </si>
  <si>
    <t>Se resigna en las condiciones difíciles. Tolera demasiado los trabajos rutinarios y frustrantes. Tiende a oponerse y a posponer el cambio. Es recomendable para trabajos que requieran una adherencia constante al status quo y un respeto por los métodos establecidos y por las maneras de hacer las cosas.</t>
  </si>
  <si>
    <t>Tiende a resignarse en las condiciones difíciles. En general, tolera los trabajos rutinarios y frustrantes. Tiende a oponerse y a posponer el cambio. Es recomendable para trabajos que requieran una adherencia constante al status quo y un respeto por los métodos establecidos y por las maneras de hacer las cosas.</t>
  </si>
  <si>
    <t>Rechaza la tradición y el convencionalismo. Es rebelde en sus ideas, se orienta hacia el cambio. Muestra molestia hacia cualquier cosa que percibe como obstáculo y como opresiva. Tendrá dificultades al interactuar con figuras de autoridad y de control. pudiendo, por otro lado, ser gran pensador innovador, cuya competencia para romper los modos tradicionales de pensamiento le permite encontrar mejores maneras para realizar su trabajo.</t>
  </si>
  <si>
    <t>Prefiere estar en compañía de otros más que solo, decide sobre lo correcto de su desempeño al compararse con otros, más que confiar en su propio juicio. Compromete con frecuencia su criterio, por la necesidad de hacer alianzas afectivas con otros. No le gusta estar solo, sus relaciones se caracterizan por una necesidad imperiosa de pertenecer.</t>
  </si>
  <si>
    <t>Algunas veces prefiere estar en compañía de otros más que solo, decide sobre lo correcto de su desempeño al compararse con otros, más que confiar en su propio juicio. En ocasiones compromete su criterio, por la necesidad de hacer alianzas afectivas con otros. Es posible que no le gusta estar solo, sus relaciones se caracterizan por una necesidad de pertenecer.</t>
  </si>
  <si>
    <t>Tiende a tomar sus propias decisiones y sentar posiciones, aun cuando estas lo hagan impopular. En ocasiones se le dificulta la realización de labores que impliquen trabajo en equipo, sin embargo le favorece el ejercicio del liderazgo, su capacidad para no comprometer su criterio.</t>
  </si>
  <si>
    <t>Debe desarrollar fuerza interior para persistir y lograr metas y para realizar sus ambiciones.</t>
  </si>
  <si>
    <t xml:space="preserve">Puede tener alguna capacidad de perseguir metas de manera metódica, evitando errores y prestando atención a los detalles. Tiende a exigirse fuerza de voluntad. Tiende a ser perfeccionista y realizador. </t>
  </si>
  <si>
    <t xml:space="preserve">Es capaz de perseguir sus metas de manera metódica, evitando errores y prestando una atención meticulosa a los detalles. Se exige fuerza de voluntad. Es perfeccionista y gran realizador. </t>
  </si>
  <si>
    <t>Vive en el presente, no se proyecta al futuro. Tiene pocas ambiciones y tiende a lograr poco. Difícil de motivar. Es indiferente frente al esfuerzo para lograr éxito social o económico.</t>
  </si>
  <si>
    <t>Tiende a vivir en el presente, no se proyecta demasiado al futuro. En general puede tener pocas ambiciones y tiende a lograr poco. Puede ser difícil de motivar. Puede ser indiferente frente al esfuerzo para lograr éxito social o económico.</t>
  </si>
  <si>
    <t xml:space="preserve">Trabaja con un nivel alto de tensión. Casi siempre puede actuar de manera explosiva ante poca o ninguna provocación. Es impaciente, impulsivo, irritable y explosivo. Puede mostrar conductas violentas y no premeditadas. </t>
  </si>
  <si>
    <t>ANS</t>
  </si>
  <si>
    <t>Es capaz de lograr las cosas que le parecen importantes. Le falta motivación para acometer tareas difíciles.</t>
  </si>
  <si>
    <t xml:space="preserve">Muestra un nivel de ansiedad algo por encima de lo normal. </t>
  </si>
  <si>
    <t xml:space="preserve">Muestra un nivel de ansiedad alto. </t>
  </si>
  <si>
    <t>EXT</t>
  </si>
  <si>
    <t>Tiende a participar poco en su ambiente y tiene poco contacto social. Es una persona notoriamente introvertida.</t>
  </si>
  <si>
    <t xml:space="preserve">Tiende a ser una persona introvertida. </t>
  </si>
  <si>
    <t xml:space="preserve">Tiende a ser extrovertido. </t>
  </si>
  <si>
    <t>Es una persona extrovertida.</t>
  </si>
  <si>
    <t>IND</t>
  </si>
  <si>
    <t xml:space="preserve">Puede ser un poco dependiente en su pensamiento y en el modo de comportarse. </t>
  </si>
  <si>
    <t xml:space="preserve">Tiende a ser independiente en su pensamiento y en el modo de comportarse. </t>
  </si>
  <si>
    <t>Sigue sus propias guías internas, depende poco de los modelos convencionales. Es independiente en su pensamiento y en el modo de comportarse.</t>
  </si>
  <si>
    <t>CRE</t>
  </si>
  <si>
    <t xml:space="preserve">Es muy poco creativo. </t>
  </si>
  <si>
    <t xml:space="preserve">Su creatividad es baja. </t>
  </si>
  <si>
    <t xml:space="preserve">Tiende a ser creativo. </t>
  </si>
  <si>
    <t xml:space="preserve">Es bastante creativo. </t>
  </si>
  <si>
    <t>NEU</t>
  </si>
  <si>
    <t>De fácil y rápida adaptación a situaciones y personas di­ferentes, flexible.</t>
  </si>
  <si>
    <t xml:space="preserve">En general no presenta tendencias de tipo neurótico. Su perfil muestra buena salud mental. </t>
  </si>
  <si>
    <t xml:space="preserve">Presenta tendencias de neuroticismo, que se explicarán a continuación. </t>
  </si>
  <si>
    <t xml:space="preserve">Presenta claras características de neuroticismo, que se detallan a continuación. </t>
  </si>
  <si>
    <t>PSI</t>
  </si>
  <si>
    <t xml:space="preserve">Muestra un perfil de aislamiento afectivo, que debe explorarse e interpretarse cuidadosamente. </t>
  </si>
  <si>
    <t>LID</t>
  </si>
  <si>
    <t>Presenta muy deficientes competencias de liderazgo.</t>
  </si>
  <si>
    <t xml:space="preserve">Tiene algunos rasgos de líder. </t>
  </si>
  <si>
    <t xml:space="preserve">Presenta muy buenas competencias de liderazgo. </t>
  </si>
  <si>
    <t xml:space="preserve">No sufre por las faltas. </t>
  </si>
  <si>
    <t xml:space="preserve">Tiende a no sufrir por las faltas. </t>
  </si>
  <si>
    <t xml:space="preserve">En ocasiones puede cumplir sus deberes por amenazas o miedo. </t>
  </si>
  <si>
    <t>Cumple sus deberes por amenazas o miedo.</t>
  </si>
  <si>
    <t xml:space="preserve">Puede tener dificultades para interpretar normas muy complejas. </t>
  </si>
  <si>
    <t xml:space="preserve">Su inteligencia un poco por encima del promedio le ayuda a interpretar algunas normas. </t>
  </si>
  <si>
    <t>Su inteligencia le ayuda en las competencias de interpretación de normas.</t>
  </si>
  <si>
    <t>Se concentra mucho en la tarea.</t>
  </si>
  <si>
    <t xml:space="preserve">En general, se concentra en la tarea. </t>
  </si>
  <si>
    <t xml:space="preserve">Muestra dispersión en su trabajo. </t>
  </si>
  <si>
    <t xml:space="preserve">Su muy baja estabilidad emocional perjudica su nivel de competencias morales generales. </t>
  </si>
  <si>
    <t xml:space="preserve">Su estabilidad emocional un poco alta indica un nivel aceptable de moral general. </t>
  </si>
  <si>
    <t xml:space="preserve">Su alta estabilidad emocional indica un nivel alto de competencias de moral general. </t>
  </si>
  <si>
    <t>spa</t>
  </si>
  <si>
    <t>sec</t>
  </si>
  <si>
    <t>LAC</t>
  </si>
  <si>
    <t xml:space="preserve">Muestra un perfil algo propenso a sufrir accidentes. </t>
  </si>
  <si>
    <t>B1</t>
  </si>
  <si>
    <t>F1</t>
  </si>
  <si>
    <t>Q1-1</t>
  </si>
  <si>
    <t>AN1</t>
  </si>
  <si>
    <t>NEU1</t>
  </si>
  <si>
    <t>C1</t>
  </si>
  <si>
    <t>I1</t>
  </si>
  <si>
    <t>O    1</t>
  </si>
  <si>
    <t>Q4-1</t>
  </si>
  <si>
    <t>PS1</t>
  </si>
  <si>
    <t>LID1</t>
  </si>
  <si>
    <t>ext</t>
  </si>
  <si>
    <t>IND1</t>
  </si>
  <si>
    <t>A1</t>
  </si>
  <si>
    <t>E1</t>
  </si>
  <si>
    <t>H1</t>
  </si>
  <si>
    <t>L1</t>
  </si>
  <si>
    <t>N1</t>
  </si>
  <si>
    <t>Q2-1</t>
  </si>
  <si>
    <t>Q3-1</t>
  </si>
  <si>
    <t>G1</t>
  </si>
  <si>
    <t>O1</t>
  </si>
  <si>
    <t>ojo en versión 5</t>
  </si>
  <si>
    <t>BAJA ANSIEDAD</t>
  </si>
  <si>
    <t>INTROVERSION</t>
  </si>
  <si>
    <t>SOCI. CONTROLADA</t>
  </si>
  <si>
    <t>DEPENDENCIA</t>
  </si>
  <si>
    <t>OBJETIVIDAD</t>
  </si>
  <si>
    <t>OJO CORRECCIÓN SEGÚN DECATIPO</t>
  </si>
  <si>
    <t>"(C) 1989, 2001 Octavio Escobar</t>
  </si>
  <si>
    <t>DUREZA (V5)</t>
  </si>
  <si>
    <t>Error!</t>
  </si>
  <si>
    <t>_______________________________________________________________________________</t>
  </si>
  <si>
    <t>PESOS-&gt;</t>
  </si>
  <si>
    <t>DUREZA</t>
  </si>
  <si>
    <t>SCO</t>
  </si>
  <si>
    <t>Redondeo a 10</t>
  </si>
  <si>
    <t>Redondeo a 1</t>
  </si>
  <si>
    <t>|::</t>
  </si>
  <si>
    <t>ojo: tablas para c norma</t>
  </si>
  <si>
    <t>a</t>
  </si>
  <si>
    <t>Sin correción</t>
  </si>
  <si>
    <t>Corregidos</t>
  </si>
  <si>
    <t>Tablas del 16PF</t>
  </si>
  <si>
    <t>*</t>
  </si>
  <si>
    <t>Muy Sincero</t>
  </si>
  <si>
    <t>Sincero</t>
  </si>
  <si>
    <t>Algo Distorsionador</t>
  </si>
  <si>
    <t>Distorsionador</t>
  </si>
  <si>
    <t>Muy distorsionador!</t>
  </si>
  <si>
    <t>ERROR: EL MÁXIMO ES 15</t>
  </si>
  <si>
    <t>b</t>
  </si>
  <si>
    <t>FACTOR A Directos...</t>
  </si>
  <si>
    <t>Algo distorsionador</t>
  </si>
  <si>
    <t>ERROR: EL MÁXIMO ES 24</t>
  </si>
  <si>
    <t>c</t>
  </si>
  <si>
    <t>Forma A- Varones, Adultos, Normas colombianas 2001</t>
  </si>
  <si>
    <t>+</t>
  </si>
  <si>
    <t>e</t>
  </si>
  <si>
    <t>Forma A- Mujeres, Adultas, Normas colombianas 2001</t>
  </si>
  <si>
    <t>f</t>
  </si>
  <si>
    <t>Forma A- Varones+Mujeres, Adultos, Normas colombianas 2001</t>
  </si>
  <si>
    <t>g</t>
  </si>
  <si>
    <t>Forma A - Varones, Adultos, Esp.</t>
  </si>
  <si>
    <t>h</t>
  </si>
  <si>
    <t>Forma A - Mujeres, Adultas, Esp.</t>
  </si>
  <si>
    <t>i</t>
  </si>
  <si>
    <t>Forma A - Varones, Adolescentes, Esp.</t>
  </si>
  <si>
    <t>l</t>
  </si>
  <si>
    <t>Forma A - Mujeres, Adolescentes, Esp.</t>
  </si>
  <si>
    <t>m</t>
  </si>
  <si>
    <t>Forma A - Varones, Adultos, Profesionales, Col.</t>
  </si>
  <si>
    <t>abcdefghijklmnopqrstuvwxyz1234567890-+*/</t>
  </si>
  <si>
    <t>n</t>
  </si>
  <si>
    <t>Forma A - Mujeres, Adultas, Profesionales, Col.</t>
  </si>
  <si>
    <t>o</t>
  </si>
  <si>
    <t>Forma A - Varones, Adultos, 4º - 6º. bto, Col.</t>
  </si>
  <si>
    <t>q1</t>
  </si>
  <si>
    <t>Forma A - Mujeres, Adultas, 4º - 6º. bto, Col.</t>
  </si>
  <si>
    <t>q2</t>
  </si>
  <si>
    <t>Forma B - Varones, Adultos, Esp.</t>
  </si>
  <si>
    <t>q3</t>
  </si>
  <si>
    <t>Forma B - Mujeres, Adultas, Esp.</t>
  </si>
  <si>
    <t>q4</t>
  </si>
  <si>
    <t>Forma B - Varones, Adolescentes, Esp.</t>
  </si>
  <si>
    <t>Constante</t>
  </si>
  <si>
    <t>Forma B - Mujeres, Adolescentes, Esp.</t>
  </si>
  <si>
    <t xml:space="preserve">&lt;-         </t>
  </si>
  <si>
    <t xml:space="preserve">&lt;---        </t>
  </si>
  <si>
    <t xml:space="preserve">&lt;-----       </t>
  </si>
  <si>
    <t xml:space="preserve">&lt;-------      </t>
  </si>
  <si>
    <t xml:space="preserve">&lt;---------     </t>
  </si>
  <si>
    <t xml:space="preserve">-----------&gt;    </t>
  </si>
  <si>
    <t xml:space="preserve">-------------&gt;   </t>
  </si>
  <si>
    <t xml:space="preserve">---------------&gt;  </t>
  </si>
  <si>
    <t xml:space="preserve">-----------------&gt; </t>
  </si>
  <si>
    <t>-------------------&gt;</t>
  </si>
  <si>
    <t>Versión 5- Varones, Normas originales Esp.</t>
  </si>
  <si>
    <t>redondeo+</t>
  </si>
  <si>
    <t>Versión 5- Mujeres, Normas originales Esp.</t>
  </si>
  <si>
    <t xml:space="preserve">&lt;IC        </t>
  </si>
  <si>
    <t xml:space="preserve">&lt;-IC        </t>
  </si>
  <si>
    <t xml:space="preserve">&lt;-IC       </t>
  </si>
  <si>
    <t>redondeo-</t>
  </si>
  <si>
    <t>Versión 5- Varones+Mujeres, Normas originales Esp.</t>
  </si>
  <si>
    <t xml:space="preserve">-----------IC&gt;  </t>
  </si>
  <si>
    <t xml:space="preserve">-------------IC&gt; </t>
  </si>
  <si>
    <t>---------------IC&gt;</t>
  </si>
  <si>
    <t>PARA VERSION 5</t>
  </si>
  <si>
    <t>FACTOR B Directos...</t>
  </si>
  <si>
    <t>k</t>
  </si>
  <si>
    <t>ARTISTA</t>
  </si>
  <si>
    <t>art</t>
  </si>
  <si>
    <t>ESCRITOR</t>
  </si>
  <si>
    <t>ADM DE VENTAS</t>
  </si>
  <si>
    <t>com adm</t>
  </si>
  <si>
    <t>ADM UNIVERSIDAD</t>
  </si>
  <si>
    <t>EJECUTIVO DE NEGOCIOS</t>
  </si>
  <si>
    <t>JUGADOR DE RUGBY</t>
  </si>
  <si>
    <t>dep</t>
  </si>
  <si>
    <t>NADADOR</t>
  </si>
  <si>
    <t>NADADORA</t>
  </si>
  <si>
    <t>CONSEJERA ESCOLAR</t>
  </si>
  <si>
    <t>socio humana</t>
  </si>
  <si>
    <t>CONSEJERO ESCOLAR</t>
  </si>
  <si>
    <t>CONSULTOR DE EMPLEO (FEM)</t>
  </si>
  <si>
    <t>CONSULTOR DE EMPLEO (MASC)</t>
  </si>
  <si>
    <t>ENFERMERA</t>
  </si>
  <si>
    <t>MAESTRA DE PRIMARIA</t>
  </si>
  <si>
    <t>MAESTRO DE PRIMARIA</t>
  </si>
  <si>
    <t>MEDICO</t>
  </si>
  <si>
    <t>PROFESOR BACHILLERATO</t>
  </si>
  <si>
    <t>PROFESOR BTO SUP</t>
  </si>
  <si>
    <t>PROFESOR UNIV</t>
  </si>
  <si>
    <t>PROFESORA BACHILLERATO</t>
  </si>
  <si>
    <t>PROFESORA BTO SUP</t>
  </si>
  <si>
    <t>FACTOR C Directos...</t>
  </si>
  <si>
    <t>PSICOLOGO</t>
  </si>
  <si>
    <t>SUPERINT ESCOLAR</t>
  </si>
  <si>
    <t>TECNICO PSIQUIATRICO</t>
  </si>
  <si>
    <t>TRABAJADOR SOCIAL</t>
  </si>
  <si>
    <t>TRABAJADORA SOCIAL</t>
  </si>
  <si>
    <t>AZAFATA</t>
  </si>
  <si>
    <t>tec cie</t>
  </si>
  <si>
    <t>BIOLOGO</t>
  </si>
  <si>
    <t>CIENTIFICO</t>
  </si>
  <si>
    <t>COCINERO</t>
  </si>
  <si>
    <t>CONTADOR</t>
  </si>
  <si>
    <t>ELECTRICISTA</t>
  </si>
  <si>
    <t>FISICO</t>
  </si>
  <si>
    <t>GEOLOGO</t>
  </si>
  <si>
    <t>ING DE AVIACION APRENDIZ</t>
  </si>
  <si>
    <t>ING INDUSTRIAL</t>
  </si>
  <si>
    <t>INGENIERA</t>
  </si>
  <si>
    <t>INGENIERO</t>
  </si>
  <si>
    <t>MECANICO DE GARAJE</t>
  </si>
  <si>
    <t>PILOTO DE AEROLINEA</t>
  </si>
  <si>
    <t>POLICIA</t>
  </si>
  <si>
    <t>QUIMICO E ING QUIMICO</t>
  </si>
  <si>
    <t>SUPERVISOR DE PLANTA</t>
  </si>
  <si>
    <t>FACTOR E Directos...</t>
  </si>
  <si>
    <t>TRABAJADOR EDITORIAL</t>
  </si>
  <si>
    <t>FACTOR F Directos...</t>
  </si>
  <si>
    <t>FACTOR G Directos...</t>
  </si>
  <si>
    <t>FACTOR H Directos...</t>
  </si>
  <si>
    <t>FACTOR I Directos...</t>
  </si>
  <si>
    <t>FACTOR L Directos...</t>
  </si>
  <si>
    <t>FACTOR M Directos...</t>
  </si>
  <si>
    <t>FACTOR N Directos...</t>
  </si>
  <si>
    <t>FACTOR O Directos...</t>
  </si>
  <si>
    <t>FACTOR Q1 Directos..</t>
  </si>
  <si>
    <t>FACTOR Q2 Directos..</t>
  </si>
  <si>
    <t>FACTOR Q3 Directos..</t>
  </si>
  <si>
    <t>FACTOR Q4 Directos..</t>
  </si>
  <si>
    <t>SECUESTRADORES</t>
  </si>
  <si>
    <t>PUNT DISCR</t>
  </si>
  <si>
    <t>PROB</t>
  </si>
  <si>
    <t>K</t>
  </si>
  <si>
    <t>EN DECATIPO</t>
  </si>
  <si>
    <t>Canonical Discriminant Function Coefficients</t>
  </si>
  <si>
    <t>PROBABIL</t>
  </si>
  <si>
    <t>Function</t>
  </si>
  <si>
    <t>DECATIPOS</t>
  </si>
  <si>
    <t>PRODUCTO</t>
  </si>
  <si>
    <t>SUB</t>
  </si>
  <si>
    <t>(Constant)</t>
  </si>
  <si>
    <t>Unstandardized coefficients</t>
  </si>
  <si>
    <t>ECUACIÓN DISCRIMINANTE</t>
  </si>
  <si>
    <t>Puntaje discriminante</t>
  </si>
  <si>
    <t>Probabilidad de pertenencia al grupo de médicos</t>
  </si>
  <si>
    <t>DIST</t>
  </si>
  <si>
    <t>(constant)</t>
  </si>
  <si>
    <t>RESULTADO:</t>
  </si>
  <si>
    <t>clasificación:</t>
  </si>
  <si>
    <t>red bajo</t>
  </si>
  <si>
    <t>red alto</t>
  </si>
  <si>
    <t>DISC</t>
  </si>
  <si>
    <t>factor</t>
  </si>
  <si>
    <t>producto</t>
  </si>
  <si>
    <t>INVIERTE:</t>
  </si>
  <si>
    <t>redondea bajo</t>
  </si>
  <si>
    <t>redondea alto</t>
  </si>
  <si>
    <t>PUNT1</t>
  </si>
  <si>
    <t>PROB1</t>
  </si>
  <si>
    <t>decatipos</t>
  </si>
  <si>
    <t>RED BAJO</t>
  </si>
  <si>
    <t>REDONDEO ALTO</t>
  </si>
  <si>
    <t>DECATIPO</t>
  </si>
  <si>
    <t>Ecuaciones discriminantes</t>
  </si>
  <si>
    <t>Ciencias Básicas</t>
  </si>
  <si>
    <t>Ingenierías e Innovación tecnológica</t>
  </si>
  <si>
    <t>Sociales y Humanidade</t>
  </si>
  <si>
    <t>(constant</t>
  </si>
  <si>
    <t>punt discrim</t>
  </si>
  <si>
    <t>prob</t>
  </si>
  <si>
    <t>prob en decatipo</t>
  </si>
  <si>
    <t>redondeo bajo</t>
  </si>
  <si>
    <t>redondeo alto</t>
  </si>
  <si>
    <t>Variable</t>
  </si>
  <si>
    <t>Decatipo</t>
  </si>
  <si>
    <t>16 PF ANALISIS DE FACTORES POR COMPETENCIAS</t>
  </si>
  <si>
    <t>COMPETENCIAS EMOCIONALES</t>
  </si>
  <si>
    <t>FACTOR C,I,O,Q4,ANS,NEU.                                                                                                    Habla del mundo interior, miedos, las ideas de si mismo y su capacidad de relacion con su entorno.</t>
  </si>
  <si>
    <t>(-) Negativo</t>
  </si>
  <si>
    <t>(+) Positivo</t>
  </si>
  <si>
    <t>Rango</t>
  </si>
  <si>
    <t>(-) 1-3</t>
  </si>
  <si>
    <t>(+) 8-10</t>
  </si>
  <si>
    <t>Poca fortaleza interior, inconstante, poca energia, infiel.</t>
  </si>
  <si>
    <t>Tolera la frustación, trabaja bajo presión, poca estabilidad, resuelve problemas, logra éxito frente a las dificultades.</t>
  </si>
  <si>
    <t>Dificultad para lograr empatía, puede mostrarse duro ya que no logra ponerse en el lugar del otro.</t>
  </si>
  <si>
    <t>Alta empatía, es capaz de sentir lo del otro, sensible.</t>
  </si>
  <si>
    <t>Dificultad para preocuparse, bajo compromiso.</t>
  </si>
  <si>
    <t>Alta carga emocional y dolor, sentido alto de la obligación.</t>
  </si>
  <si>
    <t>Dificil de motivar, indiferente, sin miedo especifico, vive el presente, pasivo, poco ambicioso, sin tensiones.</t>
  </si>
  <si>
    <t>Tiene fobias especificas, explosivos, tenso, impaciente.</t>
  </si>
  <si>
    <t>Logra lo que le parece importante, falta motivación para las tareas dificiles.</t>
  </si>
  <si>
    <t>Alto nivel de ansiedad que bloquea su desempeño.</t>
  </si>
  <si>
    <t>Sana</t>
  </si>
  <si>
    <t>Perfil parecido al neurotico.</t>
  </si>
  <si>
    <t>Las personas con altas competencias emocionales se encuentran en medio de O (-) y O (+).</t>
  </si>
  <si>
    <t>FACTOR B,F,H,M,Q1</t>
  </si>
  <si>
    <t>Bajo nivel intelectual y comprensión.</t>
  </si>
  <si>
    <t>Pensamiento abstracto, capacidad de análisis, comprensión, asociación, reconoce analogías y similitudes.</t>
  </si>
  <si>
    <t>Es mas lógico, prudente, da mucha vuelta a las cosas y no logra facilmente llegar a algo concreto, reflexivo, analítico.</t>
  </si>
  <si>
    <t>Pensamiento divergente, más rápido y efectivo.</t>
  </si>
  <si>
    <t>Se concentra mucho en su trabajo, en su tarea.</t>
  </si>
  <si>
    <t>Espontáneo, charlador, disperso en la tarea.</t>
  </si>
  <si>
    <t>Inteligencia práctica.</t>
  </si>
  <si>
    <t>Visionario, permanece filosofando.</t>
  </si>
  <si>
    <t>Conservador, tradicionalista, cuadriculado, psicorigido.</t>
  </si>
  <si>
    <t>Pensamiento critico, ideas de cambio.</t>
  </si>
  <si>
    <t>Debe tener un CRE alto y para cargos altos un A equilibrado.</t>
  </si>
  <si>
    <t>COMPETENCIAS SOCIALES</t>
  </si>
  <si>
    <t>FACTOR A,E,H,L,N,Q2,LID,EXT,IND</t>
  </si>
  <si>
    <t>Se mantiene en sus ideas, evita el contacto humano, poco afectuoso, prefiere el trabajo individual, reservado, distante.</t>
  </si>
  <si>
    <t>Cooperador, participativo, competente afectivamente, establece relaciones interpersonales fácilmente.</t>
  </si>
  <si>
    <t>Sumiso, poco exigente, se acomoda a los deseos de los demás, evita el conflicto y hace sentir bien a los demás.</t>
  </si>
  <si>
    <t>Defiende su punto de vista, presiona a otros, es competente y dominante.</t>
  </si>
  <si>
    <t>Tímido, retraído, busca lo seguro, le teme a lo nuevo y no gusta de ambientes agresivos.</t>
  </si>
  <si>
    <t>Hábil para cargos sociales, amigable, coqueto.</t>
  </si>
  <si>
    <t>Perdonador profesional, ingenuo, no competitivo a nivel social.</t>
  </si>
  <si>
    <t>Suspicaz y desconfiado, celoso, tirano.</t>
  </si>
  <si>
    <t>Ingenuo, social, silvestre, socialmente no asertivo, transparente, franco, no prevee el impacto de sus palabras en el otro.</t>
  </si>
  <si>
    <t>Exitoso en influencias sociales, diplomático, no ofende, elocuente, piensa antes de hablar.</t>
  </si>
  <si>
    <t>Dependiente del grupo, es influenciable, no toma una decisión sin saber que piensan otros, poco criterio, es presionado.</t>
  </si>
  <si>
    <t>Toma su decisión, su postura aunque vaya en contra de la corriente, no es bueno para trabajar en equipo.</t>
  </si>
  <si>
    <t>Le falta fuera interior, no logra las metas, descuidado socialmente.</t>
  </si>
  <si>
    <t>Persigue metas de manera metódica, preeditor laboral de buen empleado, perfeccionista, cumplidor.</t>
  </si>
  <si>
    <t>Participa poco en su ambiente y poco contacto social, introvertido. Bueno para trabajo individual, como investigador, o encargado de stmas.</t>
  </si>
  <si>
    <t>Alto nivel social, extrovertido, volcado hacia afuera.</t>
  </si>
  <si>
    <t>Actúa siguiendo normas, depende de modelos convencionales, poca seguridad.</t>
  </si>
  <si>
    <t>Independiente, seguro de si mismo.</t>
  </si>
  <si>
    <t>Presenta deficientemente competencias de liderazgo.</t>
  </si>
  <si>
    <t>Volcado a los demás, tiene en cuenta las necesidades de otros.</t>
  </si>
  <si>
    <t>Una persona de servicio al cliente no puede ser L +.</t>
  </si>
  <si>
    <t>COMPETENCIAS ÉTICAS</t>
  </si>
  <si>
    <t>FACTOR G,C,O,B,H</t>
  </si>
  <si>
    <t>Inconstante, abandonador, descuida sus obligaciones, poco perseverante, casi no cumple la norma, poco eficiente laboralmente.</t>
  </si>
  <si>
    <t>Persistente, dominado por el deber, moralista, cumple con más de lo que le ponen.</t>
  </si>
  <si>
    <t>Baja estabilidad emocional que perjudica sus compromisos morales.</t>
  </si>
  <si>
    <t>Alta estabilidad emocional, por lo tanto nivel alto de competencia moral en general. Tiene más aguante y habilidad para: Identificar problemas, buscar alternativas, escoger la mejor y aplicarla.</t>
  </si>
  <si>
    <t>No sufre por las faltas.</t>
  </si>
  <si>
    <t>Cumple sus deberes por miedo o amenazas.</t>
  </si>
  <si>
    <t>Su pensamiento concreto no le ayuda en las competencias para interpretar las normas.</t>
  </si>
  <si>
    <t>Su inteligencia ayuda en las competencias para interpretar normas (compasión - lógica).</t>
  </si>
  <si>
    <t>Buena concentración.</t>
  </si>
  <si>
    <t>Dispersión en el trabajo.</t>
  </si>
  <si>
    <t>Digite un nombre</t>
  </si>
  <si>
    <t>P.D.</t>
  </si>
  <si>
    <t>Fecha de la prueba</t>
  </si>
  <si>
    <t>Normal</t>
  </si>
  <si>
    <t>Dentro de los márgenes intermedios.</t>
  </si>
  <si>
    <t>Por favor, llene manualmente solo las celdas en azul, gracias</t>
  </si>
  <si>
    <t>MANEJO DE LA IMAGEN  (MI):</t>
  </si>
  <si>
    <t>a cargo de</t>
  </si>
  <si>
    <t>Digite el nombre de quién dirige la 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</si>
</sst>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General_)"/>
    <numFmt numFmtId="165" formatCode="d\-mmm\-yyyy"/>
    <numFmt numFmtId="166" formatCode="[$-F800]dddd\,\ mmmm\ dd\,\ yyyy"/>
    <numFmt numFmtId="167" formatCode="0.0"/>
    <numFmt numFmtId="168" formatCode="#,##0.0\ _p_t_a;[Red]\-#,##0.0\ _p_t_a"/>
    <numFmt numFmtId="169" formatCode="0.0_)"/>
    <numFmt numFmtId="170" formatCode="0.00000_)"/>
    <numFmt numFmtId="171" formatCode="_(* #,##0.00_);_(* \(#,##0.00\);_(* &quot;-&quot;_);_(@_)"/>
    <numFmt numFmtId="172" formatCode="#.00000"/>
  </numFmts>
  <fonts count="45">
    <font>
      <sz val="10"/>
      <color rgb="FF000000"/>
      <name val="Calibri"/>
      <scheme val="minor"/>
    </font>
    <font>
      <sz val="10"/>
      <color theme="1"/>
      <name val="Arial"/>
    </font>
    <font>
      <sz val="10"/>
      <color rgb="FF0000FF"/>
      <name val="Arial Narrow"/>
    </font>
    <font>
      <b/>
      <sz val="10"/>
      <color rgb="FF0000FF"/>
      <name val="Arial"/>
    </font>
    <font>
      <sz val="10"/>
      <name val="Calibri"/>
    </font>
    <font>
      <b/>
      <sz val="10"/>
      <color theme="1"/>
      <name val="Arial"/>
    </font>
    <font>
      <sz val="7"/>
      <color rgb="FF000000"/>
      <name val="Verdana"/>
    </font>
    <font>
      <sz val="10"/>
      <color rgb="FFFFFFFF"/>
      <name val="Arial"/>
    </font>
    <font>
      <b/>
      <sz val="13"/>
      <color rgb="FF000000"/>
      <name val="Verdana"/>
    </font>
    <font>
      <sz val="8"/>
      <color theme="1"/>
      <name val="Arial"/>
    </font>
    <font>
      <sz val="9"/>
      <color theme="1"/>
      <name val="Arial"/>
    </font>
    <font>
      <sz val="7"/>
      <color theme="1"/>
      <name val="Arial"/>
    </font>
    <font>
      <b/>
      <sz val="6"/>
      <color rgb="FFFF0000"/>
      <name val="Arial"/>
    </font>
    <font>
      <b/>
      <sz val="8"/>
      <color theme="1"/>
      <name val="Arial"/>
    </font>
    <font>
      <sz val="10"/>
      <color rgb="FF0000FF"/>
      <name val="Arial"/>
    </font>
    <font>
      <sz val="10"/>
      <color rgb="FF000000"/>
      <name val="Arial"/>
    </font>
    <font>
      <b/>
      <sz val="12"/>
      <color theme="1"/>
      <name val="Arial"/>
    </font>
    <font>
      <sz val="8"/>
      <color rgb="FFFFFFFF"/>
      <name val="Arial"/>
    </font>
    <font>
      <sz val="8"/>
      <color rgb="FF0000FF"/>
      <name val="Arial"/>
    </font>
    <font>
      <b/>
      <sz val="10"/>
      <color rgb="FFFF0000"/>
      <name val="Arial"/>
    </font>
    <font>
      <sz val="6"/>
      <color rgb="FFFF0000"/>
      <name val="Arial"/>
    </font>
    <font>
      <sz val="8"/>
      <color rgb="FFFF0000"/>
      <name val="Arial"/>
    </font>
    <font>
      <sz val="12"/>
      <color theme="1"/>
      <name val="Arial"/>
    </font>
    <font>
      <sz val="10"/>
      <color theme="1"/>
      <name val="Courier"/>
    </font>
    <font>
      <sz val="10"/>
      <color rgb="FF800080"/>
      <name val="Arial"/>
    </font>
    <font>
      <sz val="10"/>
      <color rgb="FFFF00FF"/>
      <name val="Arial"/>
    </font>
    <font>
      <sz val="10"/>
      <color rgb="FFFF0000"/>
      <name val="Arial"/>
    </font>
    <font>
      <sz val="8"/>
      <color rgb="FF008000"/>
      <name val="Arial"/>
    </font>
    <font>
      <sz val="10"/>
      <color rgb="FF008000"/>
      <name val="Arial"/>
    </font>
    <font>
      <sz val="16"/>
      <color theme="1"/>
      <name val="101 puppies sw"/>
    </font>
    <font>
      <sz val="12"/>
      <color rgb="FF3333CC"/>
      <name val="Arial"/>
    </font>
    <font>
      <sz val="10"/>
      <color theme="1"/>
      <name val="Calibri"/>
      <scheme val="minor"/>
    </font>
    <font>
      <b/>
      <sz val="8"/>
      <color rgb="FFFF0000"/>
      <name val="Arial"/>
    </font>
    <font>
      <b/>
      <sz val="10"/>
      <color rgb="FF0000FF"/>
      <name val="Courier"/>
    </font>
    <font>
      <sz val="10"/>
      <color rgb="FF3366FF"/>
      <name val="Arial"/>
    </font>
    <font>
      <b/>
      <sz val="10"/>
      <color rgb="FF0000FF"/>
      <name val="Arial"/>
      <family val="2"/>
    </font>
    <font>
      <sz val="10"/>
      <color theme="1"/>
      <name val="Arial"/>
      <family val="2"/>
    </font>
    <font>
      <b/>
      <sz val="10"/>
      <color theme="1"/>
      <name val="Arial"/>
      <family val="2"/>
    </font>
    <font>
      <b/>
      <sz val="11"/>
      <color theme="1"/>
      <name val="Calibri"/>
      <family val="2"/>
      <scheme val="minor"/>
    </font>
    <font>
      <b/>
      <u/>
      <sz val="11"/>
      <color theme="1"/>
      <name val="Calibri"/>
      <family val="2"/>
      <scheme val="minor"/>
    </font>
    <font>
      <b/>
      <sz val="8"/>
      <color theme="1"/>
      <name val="Arial"/>
      <family val="2"/>
    </font>
    <font>
      <sz val="8"/>
      <name val="Calibri"/>
      <family val="2"/>
    </font>
    <font>
      <sz val="10"/>
      <name val="Calibri"/>
      <family val="2"/>
    </font>
    <font>
      <b/>
      <sz val="10"/>
      <name val="Arial"/>
      <family val="2"/>
    </font>
    <font>
      <sz val="8"/>
      <color theme="1"/>
      <name val="Arial"/>
      <family val="2"/>
    </font>
  </fonts>
  <fills count="7">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rgb="FFFFFF99"/>
        <bgColor rgb="FFFFFF99"/>
      </patternFill>
    </fill>
    <fill>
      <patternFill patternType="solid">
        <fgColor theme="4" tint="0.59999389629810485"/>
        <bgColor indexed="64"/>
      </patternFill>
    </fill>
    <fill>
      <patternFill patternType="solid">
        <fgColor theme="4" tint="0.59999389629810485"/>
        <bgColor rgb="FFFFFFFF"/>
      </patternFill>
    </fill>
  </fills>
  <borders count="73">
    <border>
      <left/>
      <right/>
      <top/>
      <bottom/>
      <diagonal/>
    </border>
    <border>
      <left/>
      <right/>
      <top/>
      <bottom/>
      <diagonal/>
    </border>
    <border>
      <left style="medium">
        <color rgb="FF000000"/>
      </left>
      <right style="medium">
        <color rgb="FF000000"/>
      </right>
      <top style="medium">
        <color rgb="FF000000"/>
      </top>
      <bottom/>
      <diagonal/>
    </border>
    <border>
      <left/>
      <right/>
      <top/>
      <bottom/>
      <diagonal/>
    </border>
    <border>
      <left/>
      <right/>
      <top/>
      <bottom/>
      <diagonal/>
    </border>
    <border>
      <left/>
      <right/>
      <top/>
      <bottom/>
      <diagonal/>
    </border>
    <border>
      <left style="medium">
        <color rgb="FF000000"/>
      </left>
      <right style="medium">
        <color rgb="FF000000"/>
      </right>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medium">
        <color rgb="FF000000"/>
      </top>
      <bottom/>
      <diagonal/>
    </border>
    <border>
      <left/>
      <right/>
      <top/>
      <bottom/>
      <diagonal/>
    </border>
    <border>
      <left/>
      <right/>
      <top/>
      <bottom/>
      <diagonal/>
    </border>
    <border>
      <left/>
      <right/>
      <top/>
      <bottom style="thin">
        <color rgb="FF000000"/>
      </bottom>
      <diagonal/>
    </border>
    <border>
      <left/>
      <right/>
      <top/>
      <bottom/>
      <diagonal/>
    </border>
    <border>
      <left style="thin">
        <color rgb="FF000000"/>
      </left>
      <right/>
      <top style="thin">
        <color rgb="FF000000"/>
      </top>
      <bottom style="thin">
        <color rgb="FF000000"/>
      </bottom>
      <diagonal/>
    </border>
    <border>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rgb="FF000000"/>
      </right>
      <top/>
      <bottom style="medium">
        <color rgb="FF000000"/>
      </bottom>
      <diagonal/>
    </border>
    <border>
      <left style="medium">
        <color rgb="FF000000"/>
      </left>
      <right/>
      <top/>
      <bottom/>
      <diagonal/>
    </border>
    <border>
      <left style="medium">
        <color rgb="FF000000"/>
      </left>
      <right/>
      <top/>
      <bottom style="medium">
        <color rgb="FF000000"/>
      </bottom>
      <diagonal/>
    </border>
    <border>
      <left/>
      <right/>
      <top/>
      <bottom style="medium">
        <color rgb="FF000000"/>
      </bottom>
      <diagonal/>
    </border>
    <border>
      <left/>
      <right/>
      <top/>
      <bottom style="medium">
        <color rgb="FF000000"/>
      </bottom>
      <diagonal/>
    </border>
    <border>
      <left/>
      <right style="medium">
        <color rgb="FF000000"/>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style="medium">
        <color rgb="FF000000"/>
      </top>
      <bottom/>
      <diagonal/>
    </border>
    <border>
      <left style="thin">
        <color rgb="FF000000"/>
      </left>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rgb="FF000000"/>
      </right>
      <top/>
      <bottom style="thin">
        <color rgb="FF000000"/>
      </bottom>
      <diagonal/>
    </border>
  </borders>
  <cellStyleXfs count="1">
    <xf numFmtId="164" fontId="0" fillId="0" borderId="0"/>
  </cellStyleXfs>
  <cellXfs count="262">
    <xf numFmtId="164" fontId="0" fillId="0" borderId="0" xfId="0"/>
    <xf numFmtId="164" fontId="1" fillId="0" borderId="1" xfId="0" applyFont="1" applyBorder="1"/>
    <xf numFmtId="1" fontId="1" fillId="0" borderId="1" xfId="0" applyNumberFormat="1" applyFont="1" applyBorder="1" applyAlignment="1">
      <alignment horizontal="left"/>
    </xf>
    <xf numFmtId="1" fontId="1" fillId="0" borderId="1" xfId="0" applyNumberFormat="1" applyFont="1" applyBorder="1"/>
    <xf numFmtId="164" fontId="1" fillId="0" borderId="2" xfId="0" applyFont="1" applyBorder="1"/>
    <xf numFmtId="164" fontId="2" fillId="0" borderId="1" xfId="0" applyFont="1" applyBorder="1" applyAlignment="1">
      <alignment horizontal="left"/>
    </xf>
    <xf numFmtId="164" fontId="5" fillId="0" borderId="6" xfId="0" applyFont="1" applyBorder="1" applyAlignment="1">
      <alignment horizontal="right"/>
    </xf>
    <xf numFmtId="164" fontId="7" fillId="0" borderId="1" xfId="0" applyFont="1" applyBorder="1" applyAlignment="1">
      <alignment horizontal="center"/>
    </xf>
    <xf numFmtId="164" fontId="8" fillId="0" borderId="1" xfId="0" applyFont="1" applyBorder="1"/>
    <xf numFmtId="164" fontId="1" fillId="0" borderId="10" xfId="0" applyFont="1" applyBorder="1"/>
    <xf numFmtId="164" fontId="9" fillId="0" borderId="1" xfId="0" applyFont="1" applyBorder="1" applyAlignment="1">
      <alignment horizontal="left" vertical="center"/>
    </xf>
    <xf numFmtId="164" fontId="5" fillId="2" borderId="1" xfId="0" applyFont="1" applyFill="1" applyBorder="1" applyAlignment="1">
      <alignment horizontal="center" wrapText="1"/>
    </xf>
    <xf numFmtId="164" fontId="12" fillId="0" borderId="1" xfId="0" applyFont="1" applyBorder="1" applyAlignment="1">
      <alignment horizontal="center" shrinkToFit="1"/>
    </xf>
    <xf numFmtId="0" fontId="11" fillId="0" borderId="1" xfId="0" applyNumberFormat="1" applyFont="1" applyBorder="1" applyAlignment="1">
      <alignment horizontal="center"/>
    </xf>
    <xf numFmtId="165" fontId="14" fillId="0" borderId="1" xfId="0" applyNumberFormat="1" applyFont="1" applyBorder="1" applyAlignment="1">
      <alignment vertical="center"/>
    </xf>
    <xf numFmtId="164" fontId="1" fillId="0" borderId="1" xfId="0" applyFont="1" applyBorder="1" applyAlignment="1">
      <alignment horizontal="center"/>
    </xf>
    <xf numFmtId="164" fontId="9" fillId="0" borderId="1" xfId="0" applyFont="1" applyBorder="1" applyAlignment="1">
      <alignment horizontal="right"/>
    </xf>
    <xf numFmtId="164" fontId="13" fillId="0" borderId="10" xfId="0" applyFont="1" applyBorder="1" applyAlignment="1">
      <alignment horizontal="right"/>
    </xf>
    <xf numFmtId="164" fontId="15" fillId="0" borderId="22" xfId="0" applyFont="1" applyBorder="1" applyAlignment="1">
      <alignment horizontal="center"/>
    </xf>
    <xf numFmtId="1" fontId="16" fillId="3" borderId="12" xfId="0" applyNumberFormat="1" applyFont="1" applyFill="1" applyBorder="1" applyAlignment="1">
      <alignment horizontal="left" vertical="center"/>
    </xf>
    <xf numFmtId="164" fontId="9" fillId="0" borderId="1" xfId="0" applyFont="1" applyBorder="1" applyAlignment="1">
      <alignment horizontal="left"/>
    </xf>
    <xf numFmtId="164" fontId="1" fillId="2" borderId="1" xfId="0" applyFont="1" applyFill="1" applyBorder="1"/>
    <xf numFmtId="164" fontId="17" fillId="2" borderId="1" xfId="0" applyFont="1" applyFill="1" applyBorder="1"/>
    <xf numFmtId="49" fontId="18" fillId="2" borderId="1" xfId="0" applyNumberFormat="1" applyFont="1" applyFill="1" applyBorder="1" applyAlignment="1">
      <alignment horizontal="center" wrapText="1"/>
    </xf>
    <xf numFmtId="164" fontId="1" fillId="2" borderId="1" xfId="0" applyFont="1" applyFill="1" applyBorder="1" applyAlignment="1">
      <alignment horizontal="center"/>
    </xf>
    <xf numFmtId="164" fontId="19" fillId="2" borderId="1" xfId="0" applyFont="1" applyFill="1" applyBorder="1" applyAlignment="1">
      <alignment horizontal="center" vertical="center" wrapText="1"/>
    </xf>
    <xf numFmtId="164" fontId="1" fillId="0" borderId="26" xfId="0" applyFont="1" applyBorder="1"/>
    <xf numFmtId="164" fontId="20" fillId="0" borderId="1" xfId="0" applyFont="1" applyBorder="1"/>
    <xf numFmtId="164" fontId="9" fillId="0" borderId="27" xfId="0" applyFont="1" applyBorder="1" applyAlignment="1">
      <alignment horizontal="left"/>
    </xf>
    <xf numFmtId="164" fontId="20" fillId="0" borderId="26" xfId="0" applyFont="1" applyBorder="1"/>
    <xf numFmtId="164" fontId="1" fillId="0" borderId="28" xfId="0" applyFont="1" applyBorder="1"/>
    <xf numFmtId="164" fontId="1" fillId="0" borderId="29" xfId="0" applyFont="1" applyBorder="1"/>
    <xf numFmtId="164" fontId="9" fillId="0" borderId="29" xfId="0" applyFont="1" applyBorder="1" applyAlignment="1">
      <alignment horizontal="right"/>
    </xf>
    <xf numFmtId="1" fontId="16" fillId="3" borderId="30" xfId="0" applyNumberFormat="1" applyFont="1" applyFill="1" applyBorder="1" applyAlignment="1">
      <alignment horizontal="left" vertical="center"/>
    </xf>
    <xf numFmtId="164" fontId="9" fillId="0" borderId="31" xfId="0" applyFont="1" applyBorder="1" applyAlignment="1">
      <alignment horizontal="left"/>
    </xf>
    <xf numFmtId="164" fontId="9" fillId="0" borderId="26" xfId="0" applyFont="1" applyBorder="1" applyAlignment="1">
      <alignment horizontal="center"/>
    </xf>
    <xf numFmtId="164" fontId="9" fillId="0" borderId="1" xfId="0" applyFont="1" applyBorder="1" applyAlignment="1">
      <alignment horizontal="center"/>
    </xf>
    <xf numFmtId="164" fontId="1" fillId="0" borderId="14" xfId="0" applyFont="1" applyBorder="1"/>
    <xf numFmtId="1" fontId="16" fillId="3" borderId="22" xfId="0" applyNumberFormat="1" applyFont="1" applyFill="1" applyBorder="1" applyAlignment="1">
      <alignment horizontal="left" vertical="center"/>
    </xf>
    <xf numFmtId="164" fontId="9" fillId="0" borderId="27" xfId="0" applyFont="1" applyBorder="1" applyAlignment="1">
      <alignment horizontal="left" shrinkToFit="1"/>
    </xf>
    <xf numFmtId="164" fontId="21" fillId="0" borderId="1" xfId="0" applyFont="1" applyBorder="1" applyAlignment="1">
      <alignment horizontal="right"/>
    </xf>
    <xf numFmtId="164" fontId="9" fillId="0" borderId="1" xfId="0" applyFont="1" applyBorder="1" applyAlignment="1">
      <alignment shrinkToFit="1"/>
    </xf>
    <xf numFmtId="164" fontId="9" fillId="0" borderId="31" xfId="0" applyFont="1" applyBorder="1" applyAlignment="1">
      <alignment horizontal="left" shrinkToFit="1"/>
    </xf>
    <xf numFmtId="164" fontId="1" fillId="0" borderId="31" xfId="0" applyFont="1" applyBorder="1"/>
    <xf numFmtId="164" fontId="1" fillId="0" borderId="37" xfId="0" applyFont="1" applyBorder="1"/>
    <xf numFmtId="164" fontId="9" fillId="0" borderId="38" xfId="0" applyFont="1" applyBorder="1" applyAlignment="1">
      <alignment horizontal="center"/>
    </xf>
    <xf numFmtId="164" fontId="9" fillId="0" borderId="38" xfId="0" applyFont="1" applyBorder="1" applyAlignment="1">
      <alignment horizontal="right"/>
    </xf>
    <xf numFmtId="1" fontId="1" fillId="0" borderId="38" xfId="0" applyNumberFormat="1" applyFont="1" applyBorder="1" applyAlignment="1">
      <alignment horizontal="center"/>
    </xf>
    <xf numFmtId="1" fontId="9" fillId="0" borderId="38" xfId="0" applyNumberFormat="1" applyFont="1" applyBorder="1" applyAlignment="1">
      <alignment horizontal="left"/>
    </xf>
    <xf numFmtId="1" fontId="9" fillId="0" borderId="38" xfId="0" applyNumberFormat="1" applyFont="1" applyBorder="1" applyAlignment="1">
      <alignment horizontal="center"/>
    </xf>
    <xf numFmtId="164" fontId="9" fillId="0" borderId="14" xfId="0" applyFont="1" applyBorder="1" applyAlignment="1">
      <alignment horizontal="left"/>
    </xf>
    <xf numFmtId="1" fontId="9" fillId="0" borderId="1" xfId="0" applyNumberFormat="1" applyFont="1" applyBorder="1" applyAlignment="1">
      <alignment horizontal="center"/>
    </xf>
    <xf numFmtId="1" fontId="1" fillId="0" borderId="1" xfId="0" applyNumberFormat="1" applyFont="1" applyBorder="1" applyAlignment="1">
      <alignment horizontal="center"/>
    </xf>
    <xf numFmtId="1" fontId="9" fillId="0" borderId="1" xfId="0" applyNumberFormat="1" applyFont="1" applyBorder="1" applyAlignment="1">
      <alignment horizontal="left"/>
    </xf>
    <xf numFmtId="164" fontId="9" fillId="0" borderId="27" xfId="0" applyFont="1" applyBorder="1" applyAlignment="1">
      <alignment horizontal="center"/>
    </xf>
    <xf numFmtId="164" fontId="9" fillId="0" borderId="37" xfId="0" applyFont="1" applyBorder="1" applyAlignment="1">
      <alignment horizontal="right"/>
    </xf>
    <xf numFmtId="1" fontId="16" fillId="3" borderId="42" xfId="0" applyNumberFormat="1" applyFont="1" applyFill="1" applyBorder="1" applyAlignment="1">
      <alignment horizontal="left" vertical="center"/>
    </xf>
    <xf numFmtId="1" fontId="16" fillId="3" borderId="43" xfId="0" applyNumberFormat="1" applyFont="1" applyFill="1" applyBorder="1" applyAlignment="1">
      <alignment horizontal="left" vertical="center"/>
    </xf>
    <xf numFmtId="164" fontId="9" fillId="0" borderId="28" xfId="0" applyFont="1" applyBorder="1" applyAlignment="1">
      <alignment horizontal="right"/>
    </xf>
    <xf numFmtId="1" fontId="16" fillId="3" borderId="45" xfId="0" applyNumberFormat="1" applyFont="1" applyFill="1" applyBorder="1" applyAlignment="1">
      <alignment horizontal="left" vertical="center"/>
    </xf>
    <xf numFmtId="164" fontId="9" fillId="0" borderId="26" xfId="0" applyFont="1" applyBorder="1" applyAlignment="1">
      <alignment horizontal="right"/>
    </xf>
    <xf numFmtId="1" fontId="16" fillId="3" borderId="10" xfId="0" applyNumberFormat="1" applyFont="1" applyFill="1" applyBorder="1" applyAlignment="1">
      <alignment horizontal="left" vertical="center"/>
    </xf>
    <xf numFmtId="164" fontId="9" fillId="0" borderId="28" xfId="0" applyFont="1" applyBorder="1" applyAlignment="1">
      <alignment horizontal="center"/>
    </xf>
    <xf numFmtId="164" fontId="9" fillId="0" borderId="29" xfId="0" applyFont="1" applyBorder="1" applyAlignment="1">
      <alignment horizontal="center"/>
    </xf>
    <xf numFmtId="164" fontId="1" fillId="0" borderId="0" xfId="0" applyFont="1" applyAlignment="1">
      <alignment wrapText="1"/>
    </xf>
    <xf numFmtId="164" fontId="19" fillId="0" borderId="0" xfId="0" applyFont="1" applyAlignment="1">
      <alignment horizontal="center" wrapText="1"/>
    </xf>
    <xf numFmtId="164" fontId="23" fillId="0" borderId="0" xfId="0" applyFont="1" applyAlignment="1">
      <alignment horizontal="center"/>
    </xf>
    <xf numFmtId="1" fontId="23" fillId="0" borderId="0" xfId="0" applyNumberFormat="1" applyFont="1" applyAlignment="1">
      <alignment horizontal="center"/>
    </xf>
    <xf numFmtId="164" fontId="23" fillId="0" borderId="12" xfId="0" applyFont="1" applyBorder="1" applyAlignment="1">
      <alignment horizontal="center"/>
    </xf>
    <xf numFmtId="164" fontId="14" fillId="0" borderId="0" xfId="0" applyFont="1" applyAlignment="1">
      <alignment horizontal="center"/>
    </xf>
    <xf numFmtId="164" fontId="24" fillId="4" borderId="1" xfId="0" applyFont="1" applyFill="1" applyBorder="1" applyAlignment="1">
      <alignment horizontal="center"/>
    </xf>
    <xf numFmtId="164" fontId="25" fillId="0" borderId="0" xfId="0" applyFont="1" applyAlignment="1">
      <alignment horizontal="center"/>
    </xf>
    <xf numFmtId="167" fontId="23" fillId="0" borderId="0" xfId="0" applyNumberFormat="1" applyFont="1" applyAlignment="1">
      <alignment horizontal="center"/>
    </xf>
    <xf numFmtId="164" fontId="26" fillId="0" borderId="0" xfId="0" applyFont="1"/>
    <xf numFmtId="164" fontId="21" fillId="0" borderId="0" xfId="0" applyFont="1"/>
    <xf numFmtId="164" fontId="21" fillId="0" borderId="0" xfId="0" applyFont="1" applyAlignment="1">
      <alignment horizontal="center"/>
    </xf>
    <xf numFmtId="164" fontId="21" fillId="0" borderId="0" xfId="0" applyFont="1" applyAlignment="1">
      <alignment horizontal="left"/>
    </xf>
    <xf numFmtId="164" fontId="27" fillId="0" borderId="0" xfId="0" applyFont="1" applyAlignment="1">
      <alignment vertical="top" wrapText="1"/>
    </xf>
    <xf numFmtId="164" fontId="9" fillId="0" borderId="0" xfId="0" applyFont="1"/>
    <xf numFmtId="164" fontId="1" fillId="0" borderId="0" xfId="0" applyFont="1"/>
    <xf numFmtId="164" fontId="1" fillId="0" borderId="0" xfId="0" applyFont="1" applyAlignment="1">
      <alignment horizontal="center"/>
    </xf>
    <xf numFmtId="164" fontId="1" fillId="0" borderId="0" xfId="0" applyFont="1" applyAlignment="1">
      <alignment horizontal="left"/>
    </xf>
    <xf numFmtId="164" fontId="27" fillId="0" borderId="0" xfId="0" applyFont="1" applyAlignment="1">
      <alignment wrapText="1"/>
    </xf>
    <xf numFmtId="164" fontId="27" fillId="0" borderId="0" xfId="0" applyFont="1" applyAlignment="1">
      <alignment horizontal="left" wrapText="1"/>
    </xf>
    <xf numFmtId="164" fontId="27" fillId="0" borderId="0" xfId="0" applyFont="1" applyAlignment="1">
      <alignment horizontal="center" wrapText="1"/>
    </xf>
    <xf numFmtId="164" fontId="9" fillId="0" borderId="0" xfId="0" applyFont="1" applyAlignment="1">
      <alignment horizontal="center"/>
    </xf>
    <xf numFmtId="164" fontId="28" fillId="0" borderId="0" xfId="0" applyFont="1" applyAlignment="1">
      <alignment horizontal="center" wrapText="1"/>
    </xf>
    <xf numFmtId="164" fontId="28" fillId="0" borderId="0" xfId="0" applyFont="1" applyAlignment="1">
      <alignment horizontal="left" wrapText="1"/>
    </xf>
    <xf numFmtId="164" fontId="28" fillId="0" borderId="0" xfId="0" applyFont="1" applyAlignment="1">
      <alignment wrapText="1"/>
    </xf>
    <xf numFmtId="164" fontId="28" fillId="0" borderId="0" xfId="0" applyFont="1" applyAlignment="1">
      <alignment horizontal="center"/>
    </xf>
    <xf numFmtId="164" fontId="26" fillId="0" borderId="0" xfId="0" applyFont="1" applyAlignment="1">
      <alignment horizontal="center"/>
    </xf>
    <xf numFmtId="166" fontId="1" fillId="0" borderId="0" xfId="0" applyNumberFormat="1" applyFont="1"/>
    <xf numFmtId="1" fontId="1" fillId="0" borderId="0" xfId="0" applyNumberFormat="1" applyFont="1" applyAlignment="1">
      <alignment horizontal="center"/>
    </xf>
    <xf numFmtId="1" fontId="11" fillId="0" borderId="0" xfId="0" applyNumberFormat="1" applyFont="1" applyAlignment="1">
      <alignment horizontal="left"/>
    </xf>
    <xf numFmtId="1" fontId="19" fillId="0" borderId="0" xfId="0" applyNumberFormat="1" applyFont="1" applyAlignment="1">
      <alignment horizontal="center"/>
    </xf>
    <xf numFmtId="1" fontId="1" fillId="0" borderId="48" xfId="0" applyNumberFormat="1" applyFont="1" applyBorder="1" applyAlignment="1">
      <alignment horizontal="center"/>
    </xf>
    <xf numFmtId="1" fontId="1" fillId="0" borderId="49" xfId="0" applyNumberFormat="1" applyFont="1" applyBorder="1" applyAlignment="1">
      <alignment horizontal="center"/>
    </xf>
    <xf numFmtId="40" fontId="1" fillId="0" borderId="50" xfId="0" applyNumberFormat="1" applyFont="1" applyBorder="1" applyAlignment="1">
      <alignment horizontal="center"/>
    </xf>
    <xf numFmtId="1" fontId="1" fillId="0" borderId="51" xfId="0" applyNumberFormat="1" applyFont="1" applyBorder="1" applyAlignment="1">
      <alignment horizontal="center"/>
    </xf>
    <xf numFmtId="0" fontId="1" fillId="0" borderId="0" xfId="0" applyNumberFormat="1" applyFont="1" applyAlignment="1">
      <alignment horizontal="center"/>
    </xf>
    <xf numFmtId="164" fontId="9" fillId="0" borderId="0" xfId="0" applyFont="1" applyAlignment="1">
      <alignment vertical="center" shrinkToFit="1"/>
    </xf>
    <xf numFmtId="1" fontId="29" fillId="0" borderId="0" xfId="0" applyNumberFormat="1" applyFont="1" applyAlignment="1">
      <alignment horizontal="left"/>
    </xf>
    <xf numFmtId="1" fontId="1" fillId="0" borderId="52" xfId="0" applyNumberFormat="1" applyFont="1" applyBorder="1" applyAlignment="1">
      <alignment horizontal="center"/>
    </xf>
    <xf numFmtId="40" fontId="1" fillId="0" borderId="53" xfId="0" applyNumberFormat="1" applyFont="1" applyBorder="1" applyAlignment="1">
      <alignment horizontal="center"/>
    </xf>
    <xf numFmtId="2" fontId="1" fillId="0" borderId="52" xfId="0" applyNumberFormat="1" applyFont="1" applyBorder="1" applyAlignment="1">
      <alignment horizontal="center"/>
    </xf>
    <xf numFmtId="2" fontId="1" fillId="0" borderId="53" xfId="0" applyNumberFormat="1" applyFont="1" applyBorder="1" applyAlignment="1">
      <alignment horizontal="center"/>
    </xf>
    <xf numFmtId="40" fontId="1" fillId="0" borderId="0" xfId="0" applyNumberFormat="1" applyFont="1" applyAlignment="1">
      <alignment horizontal="center"/>
    </xf>
    <xf numFmtId="168" fontId="1" fillId="0" borderId="0" xfId="0" applyNumberFormat="1" applyFont="1" applyAlignment="1">
      <alignment horizontal="center"/>
    </xf>
    <xf numFmtId="168" fontId="1" fillId="0" borderId="54" xfId="0" applyNumberFormat="1" applyFont="1" applyBorder="1" applyAlignment="1">
      <alignment horizontal="center"/>
    </xf>
    <xf numFmtId="1" fontId="1" fillId="0" borderId="55" xfId="0" applyNumberFormat="1" applyFont="1" applyBorder="1" applyAlignment="1">
      <alignment horizontal="center"/>
    </xf>
    <xf numFmtId="168" fontId="1" fillId="0" borderId="55" xfId="0" applyNumberFormat="1" applyFont="1" applyBorder="1" applyAlignment="1">
      <alignment horizontal="center"/>
    </xf>
    <xf numFmtId="168" fontId="1" fillId="0" borderId="56" xfId="0" applyNumberFormat="1" applyFont="1" applyBorder="1" applyAlignment="1">
      <alignment horizontal="center"/>
    </xf>
    <xf numFmtId="1" fontId="1" fillId="0" borderId="57" xfId="0" applyNumberFormat="1" applyFont="1" applyBorder="1" applyAlignment="1">
      <alignment horizontal="center"/>
    </xf>
    <xf numFmtId="1" fontId="1" fillId="0" borderId="58" xfId="0" applyNumberFormat="1" applyFont="1" applyBorder="1" applyAlignment="1">
      <alignment horizontal="center"/>
    </xf>
    <xf numFmtId="1" fontId="1" fillId="0" borderId="59" xfId="0" applyNumberFormat="1" applyFont="1" applyBorder="1" applyAlignment="1">
      <alignment horizontal="center"/>
    </xf>
    <xf numFmtId="1" fontId="1" fillId="0" borderId="60" xfId="0" applyNumberFormat="1" applyFont="1" applyBorder="1" applyAlignment="1">
      <alignment horizontal="center"/>
    </xf>
    <xf numFmtId="1" fontId="1" fillId="0" borderId="61" xfId="0" applyNumberFormat="1" applyFont="1" applyBorder="1" applyAlignment="1">
      <alignment horizontal="center"/>
    </xf>
    <xf numFmtId="164" fontId="30" fillId="0" borderId="0" xfId="0" applyFont="1" applyAlignment="1">
      <alignment horizontal="left"/>
    </xf>
    <xf numFmtId="164" fontId="9" fillId="0" borderId="51" xfId="0" applyFont="1" applyBorder="1" applyAlignment="1">
      <alignment horizontal="left"/>
    </xf>
    <xf numFmtId="169" fontId="9" fillId="0" borderId="51" xfId="0" applyNumberFormat="1" applyFont="1" applyBorder="1" applyAlignment="1">
      <alignment horizontal="left"/>
    </xf>
    <xf numFmtId="164" fontId="9" fillId="0" borderId="0" xfId="0" applyFont="1" applyAlignment="1">
      <alignment horizontal="right"/>
    </xf>
    <xf numFmtId="1" fontId="5" fillId="0" borderId="0" xfId="0" applyNumberFormat="1" applyFont="1" applyAlignment="1">
      <alignment horizontal="center" vertical="center"/>
    </xf>
    <xf numFmtId="1" fontId="5" fillId="0" borderId="0" xfId="0" applyNumberFormat="1" applyFont="1" applyAlignment="1">
      <alignment horizontal="center"/>
    </xf>
    <xf numFmtId="164" fontId="9" fillId="0" borderId="62" xfId="0" applyFont="1" applyBorder="1" applyAlignment="1">
      <alignment horizontal="right"/>
    </xf>
    <xf numFmtId="1" fontId="5" fillId="0" borderId="62" xfId="0" applyNumberFormat="1" applyFont="1" applyBorder="1" applyAlignment="1">
      <alignment horizontal="center"/>
    </xf>
    <xf numFmtId="38" fontId="1" fillId="0" borderId="0" xfId="0" applyNumberFormat="1" applyFont="1" applyAlignment="1">
      <alignment horizontal="center"/>
    </xf>
    <xf numFmtId="164" fontId="9" fillId="0" borderId="53" xfId="0" applyFont="1" applyBorder="1" applyAlignment="1">
      <alignment horizontal="left"/>
    </xf>
    <xf numFmtId="0" fontId="31" fillId="0" borderId="0" xfId="0" applyNumberFormat="1" applyFont="1"/>
    <xf numFmtId="164" fontId="23" fillId="0" borderId="44" xfId="0" applyFont="1" applyBorder="1"/>
    <xf numFmtId="164" fontId="23" fillId="0" borderId="0" xfId="0" applyFont="1"/>
    <xf numFmtId="164" fontId="3" fillId="0" borderId="47" xfId="0" applyFont="1" applyBorder="1"/>
    <xf numFmtId="164" fontId="3" fillId="0" borderId="0" xfId="0" applyFont="1"/>
    <xf numFmtId="164" fontId="32" fillId="0" borderId="0" xfId="0" applyFont="1"/>
    <xf numFmtId="170" fontId="1" fillId="0" borderId="0" xfId="0" applyNumberFormat="1" applyFont="1"/>
    <xf numFmtId="164" fontId="23" fillId="0" borderId="0" xfId="0" applyFont="1" applyAlignment="1">
      <alignment wrapText="1"/>
    </xf>
    <xf numFmtId="9" fontId="23" fillId="0" borderId="0" xfId="0" applyNumberFormat="1" applyFont="1"/>
    <xf numFmtId="164" fontId="31" fillId="0" borderId="0" xfId="0" applyFont="1"/>
    <xf numFmtId="164" fontId="33" fillId="0" borderId="0" xfId="0" applyFont="1"/>
    <xf numFmtId="1" fontId="23" fillId="0" borderId="0" xfId="0" applyNumberFormat="1" applyFont="1" applyAlignment="1">
      <alignment wrapText="1"/>
    </xf>
    <xf numFmtId="2" fontId="23" fillId="0" borderId="0" xfId="0" applyNumberFormat="1" applyFont="1"/>
    <xf numFmtId="1" fontId="23" fillId="0" borderId="0" xfId="0" applyNumberFormat="1" applyFont="1"/>
    <xf numFmtId="171" fontId="23" fillId="0" borderId="0" xfId="0" applyNumberFormat="1" applyFont="1" applyAlignment="1">
      <alignment horizontal="center" wrapText="1"/>
    </xf>
    <xf numFmtId="2" fontId="23" fillId="0" borderId="0" xfId="0" applyNumberFormat="1" applyFont="1" applyAlignment="1">
      <alignment horizontal="center" wrapText="1"/>
    </xf>
    <xf numFmtId="171" fontId="23" fillId="0" borderId="0" xfId="0" applyNumberFormat="1" applyFont="1" applyAlignment="1">
      <alignment horizontal="right"/>
    </xf>
    <xf numFmtId="2" fontId="23" fillId="0" borderId="0" xfId="0" applyNumberFormat="1" applyFont="1" applyAlignment="1">
      <alignment horizontal="right"/>
    </xf>
    <xf numFmtId="1" fontId="34" fillId="0" borderId="19" xfId="0" applyNumberFormat="1" applyFont="1" applyBorder="1"/>
    <xf numFmtId="2" fontId="34" fillId="0" borderId="13" xfId="0" applyNumberFormat="1" applyFont="1" applyBorder="1"/>
    <xf numFmtId="38" fontId="23" fillId="0" borderId="0" xfId="0" applyNumberFormat="1" applyFont="1"/>
    <xf numFmtId="2" fontId="33" fillId="0" borderId="0" xfId="0" applyNumberFormat="1" applyFont="1"/>
    <xf numFmtId="0" fontId="23" fillId="0" borderId="0" xfId="0" applyNumberFormat="1" applyFont="1" applyAlignment="1">
      <alignment horizontal="right"/>
    </xf>
    <xf numFmtId="172" fontId="23" fillId="0" borderId="0" xfId="0" applyNumberFormat="1" applyFont="1" applyAlignment="1">
      <alignment horizontal="right"/>
    </xf>
    <xf numFmtId="172" fontId="31" fillId="0" borderId="0" xfId="0" applyNumberFormat="1" applyFont="1"/>
    <xf numFmtId="39" fontId="23" fillId="0" borderId="0" xfId="0" applyNumberFormat="1" applyFont="1" applyAlignment="1">
      <alignment horizontal="right"/>
    </xf>
    <xf numFmtId="39" fontId="23" fillId="0" borderId="0" xfId="0" applyNumberFormat="1" applyFont="1"/>
    <xf numFmtId="39" fontId="31" fillId="0" borderId="0" xfId="0" applyNumberFormat="1" applyFont="1"/>
    <xf numFmtId="40" fontId="23" fillId="0" borderId="0" xfId="0" applyNumberFormat="1" applyFont="1" applyAlignment="1">
      <alignment wrapText="1"/>
    </xf>
    <xf numFmtId="40" fontId="23" fillId="0" borderId="0" xfId="0" applyNumberFormat="1" applyFont="1" applyAlignment="1">
      <alignment horizontal="right" wrapText="1"/>
    </xf>
    <xf numFmtId="40" fontId="23" fillId="0" borderId="0" xfId="0" applyNumberFormat="1" applyFont="1" applyAlignment="1">
      <alignment horizontal="right"/>
    </xf>
    <xf numFmtId="40" fontId="23" fillId="0" borderId="0" xfId="0" applyNumberFormat="1" applyFont="1"/>
    <xf numFmtId="40" fontId="33" fillId="0" borderId="0" xfId="0" applyNumberFormat="1" applyFont="1"/>
    <xf numFmtId="164" fontId="6" fillId="0" borderId="6" xfId="0" applyFont="1" applyBorder="1" applyAlignment="1">
      <alignment horizontal="center" wrapText="1"/>
    </xf>
    <xf numFmtId="164" fontId="0" fillId="0" borderId="63" xfId="0" applyBorder="1" applyAlignment="1">
      <alignment horizontal="left" vertical="top" wrapText="1"/>
    </xf>
    <xf numFmtId="164" fontId="0" fillId="0" borderId="63" xfId="0" applyBorder="1" applyAlignment="1">
      <alignment horizontal="center" vertical="center" wrapText="1"/>
    </xf>
    <xf numFmtId="164" fontId="0" fillId="0" borderId="0" xfId="0" applyAlignment="1">
      <alignment wrapText="1"/>
    </xf>
    <xf numFmtId="164" fontId="0" fillId="0" borderId="63" xfId="0" applyBorder="1" applyAlignment="1">
      <alignment horizontal="center" vertical="center"/>
    </xf>
    <xf numFmtId="164" fontId="0" fillId="0" borderId="0" xfId="0" applyAlignment="1">
      <alignment vertical="top" wrapText="1"/>
    </xf>
    <xf numFmtId="164" fontId="3" fillId="5" borderId="22" xfId="0" applyFont="1" applyFill="1" applyBorder="1" applyAlignment="1">
      <alignment horizontal="center"/>
    </xf>
    <xf numFmtId="14" fontId="3" fillId="5" borderId="22" xfId="0" applyNumberFormat="1" applyFont="1" applyFill="1" applyBorder="1" applyAlignment="1">
      <alignment horizontal="center"/>
    </xf>
    <xf numFmtId="164" fontId="3" fillId="5" borderId="12" xfId="0" applyFont="1" applyFill="1" applyBorder="1" applyAlignment="1">
      <alignment horizontal="center" vertical="center"/>
    </xf>
    <xf numFmtId="164" fontId="36" fillId="0" borderId="63" xfId="0" applyFont="1" applyBorder="1" applyAlignment="1">
      <alignment horizontal="center"/>
    </xf>
    <xf numFmtId="164" fontId="36" fillId="0" borderId="38" xfId="0" applyFont="1" applyBorder="1" applyAlignment="1">
      <alignment horizontal="right" vertical="center"/>
    </xf>
    <xf numFmtId="166" fontId="9" fillId="0" borderId="27" xfId="0" applyNumberFormat="1" applyFont="1" applyBorder="1" applyAlignment="1">
      <alignment horizontal="left"/>
    </xf>
    <xf numFmtId="164" fontId="1" fillId="0" borderId="18" xfId="0" applyFont="1" applyBorder="1" applyAlignment="1">
      <alignment horizontal="center"/>
    </xf>
    <xf numFmtId="0" fontId="3" fillId="5" borderId="64" xfId="0" applyNumberFormat="1" applyFont="1" applyFill="1" applyBorder="1" applyAlignment="1">
      <alignment horizontal="center" vertical="center" shrinkToFit="1"/>
    </xf>
    <xf numFmtId="0" fontId="3" fillId="5" borderId="65" xfId="0" applyNumberFormat="1" applyFont="1" applyFill="1" applyBorder="1" applyAlignment="1">
      <alignment horizontal="center" vertical="center" shrinkToFit="1"/>
    </xf>
    <xf numFmtId="0" fontId="3" fillId="5" borderId="66" xfId="0" applyNumberFormat="1" applyFont="1" applyFill="1" applyBorder="1" applyAlignment="1">
      <alignment horizontal="center" vertical="center" shrinkToFit="1"/>
    </xf>
    <xf numFmtId="164" fontId="5" fillId="0" borderId="39" xfId="0" applyFont="1" applyBorder="1" applyAlignment="1">
      <alignment horizontal="center"/>
    </xf>
    <xf numFmtId="0" fontId="4" fillId="0" borderId="40" xfId="0" applyNumberFormat="1" applyFont="1" applyBorder="1"/>
    <xf numFmtId="0" fontId="4" fillId="0" borderId="41" xfId="0" applyNumberFormat="1" applyFont="1" applyBorder="1"/>
    <xf numFmtId="9" fontId="40" fillId="0" borderId="15" xfId="0" applyNumberFormat="1" applyFont="1" applyBorder="1" applyAlignment="1">
      <alignment horizontal="left" shrinkToFit="1"/>
    </xf>
    <xf numFmtId="0" fontId="41" fillId="0" borderId="18" xfId="0" applyNumberFormat="1" applyFont="1" applyBorder="1"/>
    <xf numFmtId="0" fontId="41" fillId="0" borderId="36" xfId="0" applyNumberFormat="1" applyFont="1" applyBorder="1"/>
    <xf numFmtId="164" fontId="9" fillId="0" borderId="39" xfId="0" applyFont="1" applyBorder="1" applyAlignment="1">
      <alignment horizontal="center" vertical="center" shrinkToFit="1"/>
    </xf>
    <xf numFmtId="164" fontId="16" fillId="0" borderId="32" xfId="0" applyFont="1" applyBorder="1" applyAlignment="1">
      <alignment horizontal="center"/>
    </xf>
    <xf numFmtId="0" fontId="4" fillId="0" borderId="18" xfId="0" applyNumberFormat="1" applyFont="1" applyBorder="1"/>
    <xf numFmtId="0" fontId="4" fillId="0" borderId="36" xfId="0" applyNumberFormat="1" applyFont="1" applyBorder="1"/>
    <xf numFmtId="164" fontId="22" fillId="0" borderId="44" xfId="0" applyFont="1" applyBorder="1" applyAlignment="1">
      <alignment horizontal="center" vertical="center"/>
    </xf>
    <xf numFmtId="0" fontId="4" fillId="0" borderId="46" xfId="0" applyNumberFormat="1" applyFont="1" applyBorder="1"/>
    <xf numFmtId="164" fontId="22" fillId="0" borderId="44" xfId="0" applyFont="1" applyBorder="1" applyAlignment="1">
      <alignment horizontal="center" wrapText="1"/>
    </xf>
    <xf numFmtId="0" fontId="4" fillId="0" borderId="47" xfId="0" applyNumberFormat="1" applyFont="1" applyBorder="1"/>
    <xf numFmtId="164" fontId="9" fillId="0" borderId="32" xfId="0" applyFont="1" applyBorder="1" applyAlignment="1">
      <alignment horizontal="right" shrinkToFit="1"/>
    </xf>
    <xf numFmtId="0" fontId="4" fillId="0" borderId="16" xfId="0" applyNumberFormat="1" applyFont="1" applyBorder="1"/>
    <xf numFmtId="164" fontId="9" fillId="0" borderId="33" xfId="0" applyFont="1" applyBorder="1" applyAlignment="1">
      <alignment horizontal="right" shrinkToFit="1"/>
    </xf>
    <xf numFmtId="0" fontId="4" fillId="0" borderId="34" xfId="0" applyNumberFormat="1" applyFont="1" applyBorder="1"/>
    <xf numFmtId="0" fontId="4" fillId="0" borderId="35" xfId="0" applyNumberFormat="1" applyFont="1" applyBorder="1"/>
    <xf numFmtId="1" fontId="5" fillId="0" borderId="32" xfId="0" applyNumberFormat="1" applyFont="1" applyBorder="1" applyAlignment="1">
      <alignment horizontal="center" shrinkToFit="1"/>
    </xf>
    <xf numFmtId="164" fontId="5" fillId="0" borderId="32" xfId="0" applyFont="1" applyBorder="1" applyAlignment="1">
      <alignment horizontal="right" shrinkToFit="1"/>
    </xf>
    <xf numFmtId="1" fontId="5" fillId="0" borderId="23" xfId="0" applyNumberFormat="1" applyFont="1" applyBorder="1" applyAlignment="1">
      <alignment horizontal="center"/>
    </xf>
    <xf numFmtId="0" fontId="4" fillId="0" borderId="24" xfId="0" applyNumberFormat="1" applyFont="1" applyBorder="1"/>
    <xf numFmtId="0" fontId="4" fillId="0" borderId="25" xfId="0" applyNumberFormat="1" applyFont="1" applyBorder="1"/>
    <xf numFmtId="164" fontId="36" fillId="0" borderId="59" xfId="0" applyFont="1" applyBorder="1" applyAlignment="1">
      <alignment horizontal="center" shrinkToFit="1"/>
    </xf>
    <xf numFmtId="0" fontId="42" fillId="0" borderId="61" xfId="0" applyNumberFormat="1" applyFont="1" applyBorder="1" applyAlignment="1">
      <alignment horizontal="center"/>
    </xf>
    <xf numFmtId="1" fontId="13" fillId="0" borderId="20" xfId="0" applyNumberFormat="1" applyFont="1" applyBorder="1" applyAlignment="1">
      <alignment horizontal="center"/>
    </xf>
    <xf numFmtId="0" fontId="4" fillId="0" borderId="21" xfId="0" applyNumberFormat="1" applyFont="1" applyBorder="1"/>
    <xf numFmtId="1" fontId="19" fillId="0" borderId="15" xfId="0" applyNumberFormat="1" applyFont="1" applyBorder="1" applyAlignment="1">
      <alignment horizontal="center"/>
    </xf>
    <xf numFmtId="1" fontId="16" fillId="0" borderId="23" xfId="0" applyNumberFormat="1" applyFont="1" applyBorder="1" applyAlignment="1">
      <alignment horizontal="center"/>
    </xf>
    <xf numFmtId="1" fontId="1" fillId="0" borderId="55" xfId="0" applyNumberFormat="1" applyFont="1" applyBorder="1" applyAlignment="1">
      <alignment vertical="center"/>
    </xf>
    <xf numFmtId="0" fontId="4" fillId="0" borderId="55" xfId="0" applyNumberFormat="1" applyFont="1" applyBorder="1"/>
    <xf numFmtId="1" fontId="10" fillId="0" borderId="55" xfId="0" applyNumberFormat="1" applyFont="1" applyBorder="1" applyAlignment="1">
      <alignment horizontal="center" vertical="center" wrapText="1"/>
    </xf>
    <xf numFmtId="164" fontId="36" fillId="0" borderId="63" xfId="0" applyFont="1" applyBorder="1" applyAlignment="1">
      <alignment horizontal="center"/>
    </xf>
    <xf numFmtId="0" fontId="42" fillId="0" borderId="63" xfId="0" applyNumberFormat="1" applyFont="1" applyBorder="1"/>
    <xf numFmtId="164" fontId="35" fillId="6" borderId="60" xfId="0" applyFont="1" applyFill="1" applyBorder="1" applyAlignment="1">
      <alignment horizontal="center"/>
    </xf>
    <xf numFmtId="0" fontId="4" fillId="5" borderId="17" xfId="0" applyNumberFormat="1" applyFont="1" applyFill="1" applyBorder="1" applyAlignment="1">
      <alignment horizontal="center"/>
    </xf>
    <xf numFmtId="0" fontId="4" fillId="5" borderId="60" xfId="0" applyNumberFormat="1" applyFont="1" applyFill="1" applyBorder="1" applyAlignment="1">
      <alignment horizontal="center"/>
    </xf>
    <xf numFmtId="164" fontId="1" fillId="0" borderId="63" xfId="0" applyFont="1" applyBorder="1" applyAlignment="1">
      <alignment horizontal="center"/>
    </xf>
    <xf numFmtId="0" fontId="4" fillId="0" borderId="63" xfId="0" applyNumberFormat="1" applyFont="1" applyBorder="1"/>
    <xf numFmtId="164" fontId="0" fillId="0" borderId="63" xfId="0" applyBorder="1" applyAlignment="1">
      <alignment horizontal="left" vertical="top" wrapText="1"/>
    </xf>
    <xf numFmtId="164" fontId="0" fillId="0" borderId="63" xfId="0" applyBorder="1" applyAlignment="1">
      <alignment horizontal="left" vertical="top"/>
    </xf>
    <xf numFmtId="164" fontId="0" fillId="0" borderId="0" xfId="0" applyAlignment="1">
      <alignment horizontal="center" vertical="top"/>
    </xf>
    <xf numFmtId="164" fontId="39" fillId="0" borderId="0" xfId="0" applyFont="1" applyAlignment="1">
      <alignment horizontal="center"/>
    </xf>
    <xf numFmtId="164" fontId="0" fillId="0" borderId="0" xfId="0" applyAlignment="1">
      <alignment horizontal="left" vertical="top"/>
    </xf>
    <xf numFmtId="164" fontId="0" fillId="0" borderId="64" xfId="0" applyBorder="1" applyAlignment="1">
      <alignment horizontal="center"/>
    </xf>
    <xf numFmtId="164" fontId="0" fillId="0" borderId="65" xfId="0" applyBorder="1" applyAlignment="1">
      <alignment horizontal="center"/>
    </xf>
    <xf numFmtId="164" fontId="0" fillId="0" borderId="66" xfId="0" applyBorder="1" applyAlignment="1">
      <alignment horizontal="center"/>
    </xf>
    <xf numFmtId="164" fontId="0" fillId="0" borderId="63" xfId="0" applyBorder="1" applyAlignment="1">
      <alignment horizontal="center"/>
    </xf>
    <xf numFmtId="164" fontId="0" fillId="0" borderId="0" xfId="0" applyAlignment="1">
      <alignment horizontal="center"/>
    </xf>
    <xf numFmtId="164" fontId="0" fillId="0" borderId="0" xfId="0" applyAlignment="1">
      <alignment horizontal="center" vertical="top" wrapText="1"/>
    </xf>
    <xf numFmtId="164" fontId="38" fillId="0" borderId="0" xfId="0" applyFont="1" applyAlignment="1">
      <alignment horizontal="center"/>
    </xf>
    <xf numFmtId="164" fontId="0" fillId="0" borderId="0" xfId="0" applyAlignment="1">
      <alignment horizontal="left"/>
    </xf>
    <xf numFmtId="164" fontId="0" fillId="0" borderId="67" xfId="0" applyBorder="1" applyAlignment="1">
      <alignment horizontal="left" vertical="top" wrapText="1"/>
    </xf>
    <xf numFmtId="164" fontId="0" fillId="0" borderId="68" xfId="0" applyBorder="1" applyAlignment="1">
      <alignment horizontal="left" vertical="top" wrapText="1"/>
    </xf>
    <xf numFmtId="164" fontId="0" fillId="0" borderId="69" xfId="0" applyBorder="1" applyAlignment="1">
      <alignment horizontal="left" vertical="top" wrapText="1"/>
    </xf>
    <xf numFmtId="164" fontId="0" fillId="0" borderId="0" xfId="0" applyAlignment="1">
      <alignment horizontal="left" vertical="top" wrapText="1"/>
    </xf>
    <xf numFmtId="164" fontId="0" fillId="0" borderId="63" xfId="0" applyBorder="1" applyAlignment="1">
      <alignment horizontal="center" vertical="top" wrapText="1"/>
    </xf>
    <xf numFmtId="164" fontId="0" fillId="0" borderId="64" xfId="0" applyBorder="1" applyAlignment="1">
      <alignment horizontal="center" vertical="top" wrapText="1"/>
    </xf>
    <xf numFmtId="164" fontId="0" fillId="0" borderId="65" xfId="0" applyBorder="1" applyAlignment="1">
      <alignment horizontal="center" vertical="top" wrapText="1"/>
    </xf>
    <xf numFmtId="164" fontId="0" fillId="0" borderId="66" xfId="0" applyBorder="1" applyAlignment="1">
      <alignment horizontal="center" vertical="top" wrapText="1"/>
    </xf>
    <xf numFmtId="164" fontId="21" fillId="0" borderId="0" xfId="0" applyFont="1" applyAlignment="1">
      <alignment horizontal="center" shrinkToFit="1"/>
    </xf>
    <xf numFmtId="164" fontId="0" fillId="0" borderId="0" xfId="0"/>
    <xf numFmtId="164" fontId="9" fillId="0" borderId="0" xfId="0" applyFont="1" applyAlignment="1">
      <alignment horizontal="center" vertical="center" shrinkToFit="1"/>
    </xf>
    <xf numFmtId="1" fontId="23" fillId="0" borderId="0" xfId="0" applyNumberFormat="1" applyFont="1" applyAlignment="1">
      <alignment horizontal="center"/>
    </xf>
    <xf numFmtId="164" fontId="0" fillId="0" borderId="64" xfId="0" applyBorder="1" applyAlignment="1">
      <alignment horizontal="center" vertical="center"/>
    </xf>
    <xf numFmtId="164" fontId="0" fillId="0" borderId="65" xfId="0" applyBorder="1" applyAlignment="1">
      <alignment horizontal="center" vertical="center"/>
    </xf>
    <xf numFmtId="164" fontId="0" fillId="0" borderId="66" xfId="0" applyBorder="1" applyAlignment="1">
      <alignment horizontal="center" vertical="center"/>
    </xf>
    <xf numFmtId="0" fontId="43" fillId="0" borderId="3" xfId="0" applyNumberFormat="1" applyFont="1" applyBorder="1" applyAlignment="1">
      <alignment horizontal="center" vertical="center" shrinkToFit="1"/>
    </xf>
    <xf numFmtId="0" fontId="42" fillId="0" borderId="4" xfId="0" applyNumberFormat="1" applyFont="1" applyBorder="1"/>
    <xf numFmtId="0" fontId="42" fillId="0" borderId="5" xfId="0" applyNumberFormat="1" applyFont="1" applyBorder="1"/>
    <xf numFmtId="0" fontId="42" fillId="0" borderId="7" xfId="0" applyNumberFormat="1" applyFont="1" applyBorder="1"/>
    <xf numFmtId="0" fontId="42" fillId="0" borderId="8" xfId="0" applyNumberFormat="1" applyFont="1" applyBorder="1"/>
    <xf numFmtId="0" fontId="42" fillId="0" borderId="9" xfId="0" applyNumberFormat="1" applyFont="1" applyBorder="1"/>
    <xf numFmtId="164" fontId="44" fillId="0" borderId="11" xfId="0" applyFont="1" applyBorder="1" applyAlignment="1">
      <alignment horizontal="right" vertical="center"/>
    </xf>
    <xf numFmtId="164" fontId="37" fillId="0" borderId="71" xfId="0" applyFont="1" applyBorder="1" applyAlignment="1">
      <alignment wrapText="1"/>
    </xf>
    <xf numFmtId="164" fontId="5" fillId="0" borderId="71" xfId="0" applyFont="1" applyBorder="1" applyAlignment="1">
      <alignment wrapText="1"/>
    </xf>
    <xf numFmtId="164" fontId="36" fillId="0" borderId="71" xfId="0" applyFont="1" applyBorder="1" applyAlignment="1">
      <alignment wrapText="1"/>
    </xf>
    <xf numFmtId="166" fontId="1" fillId="0" borderId="71" xfId="0" applyNumberFormat="1" applyFont="1" applyBorder="1" applyAlignment="1">
      <alignment horizontal="left" wrapText="1"/>
    </xf>
    <xf numFmtId="166" fontId="1" fillId="0" borderId="71" xfId="0" applyNumberFormat="1" applyFont="1" applyBorder="1" applyAlignment="1">
      <alignment wrapText="1"/>
    </xf>
    <xf numFmtId="164" fontId="1" fillId="0" borderId="71" xfId="0" applyFont="1" applyBorder="1" applyAlignment="1">
      <alignment wrapText="1"/>
    </xf>
    <xf numFmtId="164" fontId="3" fillId="5" borderId="59" xfId="0" applyFont="1" applyFill="1" applyBorder="1" applyAlignment="1">
      <alignment horizontal="center"/>
    </xf>
    <xf numFmtId="164" fontId="3" fillId="5" borderId="60" xfId="0" applyFont="1" applyFill="1" applyBorder="1" applyAlignment="1">
      <alignment horizontal="center"/>
    </xf>
    <xf numFmtId="164" fontId="3" fillId="5" borderId="72" xfId="0" applyFont="1" applyFill="1" applyBorder="1" applyAlignment="1">
      <alignment horizontal="center"/>
    </xf>
    <xf numFmtId="164" fontId="1" fillId="0" borderId="70" xfId="0" applyFont="1" applyBorder="1" applyAlignment="1">
      <alignment horizontal="right" wrapText="1"/>
    </xf>
    <xf numFmtId="164" fontId="1" fillId="0" borderId="71" xfId="0" applyFont="1" applyFill="1" applyBorder="1" applyAlignment="1">
      <alignment wrapText="1"/>
    </xf>
  </cellXfs>
  <cellStyles count="1">
    <cellStyle name="Normal" xfId="0" builtinId="0"/>
  </cellStyles>
  <dxfs count="78">
    <dxf>
      <font>
        <b/>
        <color rgb="FFFF0000"/>
      </font>
      <fill>
        <patternFill patternType="none"/>
      </fill>
      <border>
        <left style="thin">
          <color rgb="FF000000"/>
        </left>
        <right style="thin">
          <color rgb="FF000000"/>
        </right>
        <top style="thin">
          <color rgb="FF000000"/>
        </top>
        <bottom style="thin">
          <color rgb="FF000000"/>
        </bottom>
      </border>
    </dxf>
    <dxf>
      <font>
        <b/>
        <color rgb="FFFF0000"/>
      </font>
      <fill>
        <patternFill patternType="none"/>
      </fill>
    </dxf>
    <dxf>
      <font>
        <b/>
        <color rgb="FFFF0000"/>
      </font>
      <fill>
        <patternFill patternType="solid">
          <fgColor rgb="FFFFFF99"/>
          <bgColor rgb="FFFFFF99"/>
        </patternFill>
      </fill>
      <border>
        <left style="thin">
          <color rgb="FF000000"/>
        </left>
        <right style="thin">
          <color rgb="FF000000"/>
        </right>
        <top style="thin">
          <color rgb="FF000000"/>
        </top>
        <bottom style="thin">
          <color rgb="FF000000"/>
        </bottom>
      </border>
    </dxf>
    <dxf>
      <font>
        <b/>
        <color rgb="FF0000FF"/>
      </font>
      <fill>
        <patternFill patternType="none"/>
      </fill>
    </dxf>
    <dxf>
      <font>
        <b/>
        <color rgb="FFFF0000"/>
      </font>
      <fill>
        <patternFill patternType="none"/>
      </fill>
    </dxf>
    <dxf>
      <font>
        <b/>
        <color rgb="FF0000FF"/>
      </font>
      <fill>
        <patternFill patternType="none"/>
      </fill>
    </dxf>
    <dxf>
      <font>
        <b/>
        <color rgb="FFFF0000"/>
      </font>
      <fill>
        <patternFill patternType="solid">
          <fgColor rgb="FFFFFF00"/>
          <bgColor rgb="FFFFFF00"/>
        </patternFill>
      </fill>
    </dxf>
    <dxf>
      <font>
        <b/>
        <color rgb="FFFF0000"/>
      </font>
      <fill>
        <patternFill patternType="none"/>
      </fill>
    </dxf>
    <dxf>
      <font>
        <b/>
        <color rgb="FF0000FF"/>
      </font>
      <fill>
        <patternFill patternType="none"/>
      </fill>
    </dxf>
    <dxf>
      <font>
        <b/>
        <color rgb="FFFF0000"/>
      </font>
      <fill>
        <patternFill patternType="none"/>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ont>
        <color rgb="FFFFFFFF"/>
      </font>
      <fill>
        <patternFill patternType="none"/>
      </fill>
    </dxf>
    <dxf>
      <font>
        <b/>
        <color rgb="FF0000FF"/>
      </font>
      <fill>
        <patternFill patternType="solid">
          <fgColor rgb="FFFFFF00"/>
          <bgColor rgb="FFFFFF00"/>
        </patternFill>
      </fill>
    </dxf>
    <dxf>
      <font>
        <color rgb="FFFFFFFF"/>
      </font>
      <fill>
        <patternFill patternType="none"/>
      </fill>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color rgb="FFFFFFFF"/>
      </font>
      <fill>
        <patternFill patternType="none"/>
      </fill>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99"/>
          <bgColor rgb="FFFFFF99"/>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16</xdr:col>
      <xdr:colOff>419100</xdr:colOff>
      <xdr:row>0</xdr:row>
      <xdr:rowOff>47625</xdr:rowOff>
    </xdr:from>
    <xdr:ext cx="1428750" cy="304800"/>
    <xdr:pic>
      <xdr:nvPicPr>
        <xdr:cNvPr id="2" name="image1.png" descr="letex_pti16">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695325</xdr:colOff>
      <xdr:row>1</xdr:row>
      <xdr:rowOff>9525</xdr:rowOff>
    </xdr:from>
    <xdr:ext cx="104775" cy="152400"/>
    <xdr:sp macro="" textlink="">
      <xdr:nvSpPr>
        <xdr:cNvPr id="3" name="Shape 3">
          <a:extLst>
            <a:ext uri="{FF2B5EF4-FFF2-40B4-BE49-F238E27FC236}">
              <a16:creationId xmlns:a16="http://schemas.microsoft.com/office/drawing/2014/main" id="{00000000-0008-0000-0200-000003000000}"/>
            </a:ext>
          </a:extLst>
        </xdr:cNvPr>
        <xdr:cNvSpPr/>
      </xdr:nvSpPr>
      <xdr:spPr>
        <a:xfrm>
          <a:off x="5293613" y="3703800"/>
          <a:ext cx="104775" cy="152400"/>
        </a:xfrm>
        <a:prstGeom prst="downArrow">
          <a:avLst>
            <a:gd name="adj1" fmla="val 50000"/>
            <a:gd name="adj2" fmla="val 36364"/>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K1000"/>
  <sheetViews>
    <sheetView showGridLines="0" tabSelected="1" workbookViewId="0">
      <selection activeCell="R11" sqref="R11"/>
    </sheetView>
  </sheetViews>
  <sheetFormatPr baseColWidth="10" defaultColWidth="14.42578125" defaultRowHeight="15" customHeight="1"/>
  <cols>
    <col min="1" max="1" width="15.140625" customWidth="1"/>
    <col min="2" max="2" width="1.42578125" customWidth="1"/>
    <col min="3" max="3" width="7.5703125" customWidth="1"/>
    <col min="4" max="4" width="35.85546875" customWidth="1"/>
    <col min="5" max="5" width="4.42578125" customWidth="1"/>
    <col min="6" max="6" width="4.140625" customWidth="1"/>
    <col min="7" max="16" width="1.5703125" customWidth="1"/>
    <col min="17" max="17" width="38" customWidth="1"/>
    <col min="18" max="18" width="13" customWidth="1"/>
    <col min="19" max="20" width="4.85546875" hidden="1" customWidth="1"/>
    <col min="21" max="21" width="5.85546875" hidden="1" customWidth="1"/>
    <col min="22" max="22" width="4.85546875" hidden="1" customWidth="1"/>
    <col min="23" max="23" width="14.42578125" hidden="1" customWidth="1"/>
    <col min="24" max="24" width="4.85546875" hidden="1" customWidth="1"/>
    <col min="25" max="25" width="47.85546875" hidden="1" customWidth="1"/>
    <col min="26" max="37" width="3.85546875" hidden="1" customWidth="1"/>
  </cols>
  <sheetData>
    <row r="1" spans="1:37" ht="15.75" customHeight="1">
      <c r="A1" s="1"/>
      <c r="B1" s="172" t="s">
        <v>539</v>
      </c>
      <c r="C1" s="172"/>
      <c r="D1" s="257" t="s">
        <v>540</v>
      </c>
      <c r="E1" s="258"/>
      <c r="F1" s="258"/>
      <c r="G1" s="258"/>
      <c r="H1" s="258"/>
      <c r="I1" s="258"/>
      <c r="J1" s="258"/>
      <c r="K1" s="258"/>
      <c r="L1" s="258"/>
      <c r="M1" s="258"/>
      <c r="N1" s="258"/>
      <c r="O1" s="258"/>
      <c r="P1" s="259"/>
      <c r="Q1" s="4"/>
      <c r="R1" s="1"/>
      <c r="S1" s="1"/>
      <c r="T1" s="1"/>
      <c r="U1" s="1"/>
      <c r="V1" s="1"/>
      <c r="W1" s="1"/>
      <c r="X1" s="1"/>
      <c r="Y1" s="1"/>
      <c r="Z1" s="1"/>
      <c r="AA1" s="1"/>
      <c r="AB1" s="1"/>
      <c r="AC1" s="1"/>
      <c r="AD1" s="1"/>
      <c r="AE1" s="1"/>
      <c r="AF1" s="1"/>
      <c r="AG1" s="1"/>
      <c r="AH1" s="1"/>
      <c r="AI1" s="1"/>
      <c r="AJ1" s="1"/>
      <c r="AK1" s="1"/>
    </row>
    <row r="2" spans="1:37" ht="12.75" customHeight="1">
      <c r="A2" s="5"/>
      <c r="B2" s="244" t="s">
        <v>537</v>
      </c>
      <c r="C2" s="245"/>
      <c r="D2" s="245"/>
      <c r="E2" s="245"/>
      <c r="F2" s="245"/>
      <c r="G2" s="245"/>
      <c r="H2" s="245"/>
      <c r="I2" s="245"/>
      <c r="J2" s="245"/>
      <c r="K2" s="245"/>
      <c r="L2" s="245"/>
      <c r="M2" s="245"/>
      <c r="N2" s="245"/>
      <c r="O2" s="245"/>
      <c r="P2" s="246"/>
      <c r="Q2" s="6"/>
      <c r="R2" s="1"/>
      <c r="S2" s="1"/>
      <c r="T2" s="1"/>
      <c r="U2" s="1"/>
      <c r="V2" s="1"/>
      <c r="W2" s="1"/>
      <c r="X2" s="1"/>
      <c r="Y2" s="1"/>
      <c r="Z2" s="1"/>
      <c r="AA2" s="1"/>
      <c r="AB2" s="1"/>
      <c r="AC2" s="1"/>
      <c r="AD2" s="1"/>
      <c r="AE2" s="1"/>
      <c r="AF2" s="1"/>
      <c r="AG2" s="1"/>
      <c r="AH2" s="1"/>
      <c r="AI2" s="1"/>
      <c r="AJ2" s="1"/>
      <c r="AK2" s="1"/>
    </row>
    <row r="3" spans="1:37" ht="43.5" customHeight="1">
      <c r="A3" s="1"/>
      <c r="B3" s="247"/>
      <c r="C3" s="248"/>
      <c r="D3" s="248"/>
      <c r="E3" s="248"/>
      <c r="F3" s="248"/>
      <c r="G3" s="248"/>
      <c r="H3" s="248"/>
      <c r="I3" s="248"/>
      <c r="J3" s="248"/>
      <c r="K3" s="248"/>
      <c r="L3" s="248"/>
      <c r="M3" s="248"/>
      <c r="N3" s="248"/>
      <c r="O3" s="248"/>
      <c r="P3" s="249"/>
      <c r="Q3" s="160" t="s">
        <v>0</v>
      </c>
      <c r="R3" s="1"/>
      <c r="S3" s="1"/>
      <c r="T3" s="1"/>
      <c r="U3" s="1"/>
      <c r="V3" s="1"/>
      <c r="W3" s="1"/>
      <c r="X3" s="1"/>
      <c r="Y3" s="1"/>
      <c r="Z3" s="1"/>
      <c r="AA3" s="1"/>
      <c r="AB3" s="1"/>
      <c r="AC3" s="1"/>
      <c r="AD3" s="1"/>
      <c r="AE3" s="1"/>
      <c r="AF3" s="1"/>
      <c r="AG3" s="1"/>
      <c r="AH3" s="1"/>
      <c r="AI3" s="1"/>
      <c r="AJ3" s="1"/>
      <c r="AK3" s="1"/>
    </row>
    <row r="4" spans="1:37" ht="22.5" customHeight="1">
      <c r="A4" s="1"/>
      <c r="B4" s="7">
        <f>F4</f>
        <v>1</v>
      </c>
      <c r="C4" s="8"/>
      <c r="D4" s="9"/>
      <c r="E4" s="250" t="s">
        <v>538</v>
      </c>
      <c r="F4" s="168">
        <v>1</v>
      </c>
      <c r="G4" s="206"/>
      <c r="H4" s="207"/>
      <c r="I4" s="208" t="str">
        <f>HLOOKUP(F4,Cálculos!AZ10:BE11,2,TRUE)</f>
        <v>Muy Sincero</v>
      </c>
      <c r="J4" s="207"/>
      <c r="K4" s="207"/>
      <c r="L4" s="207"/>
      <c r="M4" s="207"/>
      <c r="N4" s="207"/>
      <c r="O4" s="207"/>
      <c r="P4" s="207"/>
      <c r="Q4" s="169" t="s">
        <v>534</v>
      </c>
      <c r="R4" s="10"/>
      <c r="S4" s="10"/>
      <c r="T4" s="10"/>
      <c r="U4" s="10"/>
      <c r="V4" s="10"/>
      <c r="W4" s="10"/>
      <c r="X4" s="10"/>
      <c r="Y4" s="10"/>
      <c r="Z4" s="10"/>
      <c r="AA4" s="1"/>
      <c r="AB4" s="1"/>
      <c r="AC4" s="1"/>
      <c r="AD4" s="1"/>
      <c r="AE4" s="1"/>
      <c r="AF4" s="1"/>
      <c r="AG4" s="1"/>
      <c r="AH4" s="1"/>
      <c r="AI4" s="1"/>
      <c r="AJ4" s="1"/>
      <c r="AK4" s="1"/>
    </row>
    <row r="5" spans="1:37" ht="13.5" customHeight="1">
      <c r="A5" s="11"/>
      <c r="B5" s="209" t="s">
        <v>1</v>
      </c>
      <c r="C5" s="210"/>
      <c r="D5" s="211" t="s">
        <v>532</v>
      </c>
      <c r="E5" s="212"/>
      <c r="F5" s="213"/>
      <c r="G5" s="214" t="s">
        <v>2</v>
      </c>
      <c r="H5" s="215"/>
      <c r="I5" s="215"/>
      <c r="J5" s="215"/>
      <c r="K5" s="215"/>
      <c r="L5" s="173">
        <v>18</v>
      </c>
      <c r="M5" s="174"/>
      <c r="N5" s="174"/>
      <c r="O5" s="174"/>
      <c r="P5" s="175"/>
      <c r="Q5" s="167">
        <v>46326</v>
      </c>
      <c r="R5" s="1"/>
      <c r="S5" s="1"/>
      <c r="T5" s="1"/>
      <c r="U5" s="1"/>
      <c r="V5" s="1"/>
      <c r="W5" s="1"/>
      <c r="X5" s="1"/>
      <c r="Y5" s="1"/>
      <c r="Z5" s="1"/>
      <c r="AA5" s="1"/>
      <c r="AB5" s="1"/>
      <c r="AC5" s="1"/>
      <c r="AD5" s="1"/>
      <c r="AE5" s="1"/>
      <c r="AF5" s="1"/>
      <c r="AG5" s="1"/>
      <c r="AH5" s="1"/>
      <c r="AI5" s="1"/>
      <c r="AJ5" s="1"/>
      <c r="AK5" s="1"/>
    </row>
    <row r="6" spans="1:37" ht="18.75" customHeight="1">
      <c r="A6" s="11"/>
      <c r="B6" s="200" t="s">
        <v>533</v>
      </c>
      <c r="C6" s="201"/>
      <c r="D6" s="12"/>
      <c r="E6" s="202" t="s">
        <v>3</v>
      </c>
      <c r="F6" s="203"/>
      <c r="G6" s="13">
        <v>1</v>
      </c>
      <c r="H6" s="13">
        <v>2</v>
      </c>
      <c r="I6" s="13">
        <v>3</v>
      </c>
      <c r="J6" s="13">
        <v>4</v>
      </c>
      <c r="K6" s="13">
        <v>5</v>
      </c>
      <c r="L6" s="13">
        <v>6</v>
      </c>
      <c r="M6" s="13">
        <v>7</v>
      </c>
      <c r="N6" s="13">
        <v>8</v>
      </c>
      <c r="O6" s="13">
        <v>9</v>
      </c>
      <c r="P6" s="13">
        <v>0</v>
      </c>
      <c r="Q6" s="14"/>
      <c r="R6" s="1"/>
      <c r="S6" s="1"/>
      <c r="T6" s="1"/>
      <c r="U6" s="1"/>
      <c r="V6" s="1"/>
      <c r="W6" s="1"/>
      <c r="X6" s="1"/>
      <c r="Y6" s="1"/>
      <c r="Z6" s="1"/>
      <c r="AA6" s="1"/>
      <c r="AB6" s="1"/>
      <c r="AC6" s="1"/>
      <c r="AD6" s="1"/>
      <c r="AE6" s="1"/>
      <c r="AF6" s="1"/>
      <c r="AG6" s="1"/>
      <c r="AH6" s="1"/>
      <c r="AI6" s="1"/>
      <c r="AJ6" s="1"/>
      <c r="AK6" s="1"/>
    </row>
    <row r="7" spans="1:37" ht="11.25" customHeight="1">
      <c r="A7" s="11"/>
      <c r="B7" s="15"/>
      <c r="C7" s="166">
        <v>1</v>
      </c>
      <c r="D7" s="16" t="s">
        <v>4</v>
      </c>
      <c r="E7" s="17" t="s">
        <v>5</v>
      </c>
      <c r="F7" s="18">
        <f>Cálculos!E12</f>
        <v>1</v>
      </c>
      <c r="G7" s="19"/>
      <c r="H7" s="19"/>
      <c r="I7" s="19"/>
      <c r="J7" s="19"/>
      <c r="K7" s="19"/>
      <c r="L7" s="19"/>
      <c r="M7" s="19"/>
      <c r="N7" s="19"/>
      <c r="O7" s="19"/>
      <c r="P7" s="19"/>
      <c r="Q7" s="20" t="s">
        <v>6</v>
      </c>
      <c r="R7" s="1"/>
      <c r="S7" s="1"/>
      <c r="T7" s="1"/>
      <c r="U7" s="1"/>
      <c r="V7" s="1"/>
      <c r="W7" s="1"/>
      <c r="X7" s="1"/>
      <c r="Y7" s="1"/>
      <c r="Z7" s="1"/>
      <c r="AA7" s="1"/>
      <c r="AB7" s="1"/>
      <c r="AC7" s="1"/>
      <c r="AD7" s="1"/>
      <c r="AE7" s="1"/>
      <c r="AF7" s="1"/>
      <c r="AG7" s="1"/>
      <c r="AH7" s="1"/>
      <c r="AI7" s="1"/>
      <c r="AJ7" s="1"/>
      <c r="AK7" s="1"/>
    </row>
    <row r="8" spans="1:37" ht="11.25" customHeight="1">
      <c r="A8" s="11"/>
      <c r="B8" s="15"/>
      <c r="C8" s="166">
        <v>1</v>
      </c>
      <c r="D8" s="16" t="s">
        <v>7</v>
      </c>
      <c r="E8" s="17" t="s">
        <v>8</v>
      </c>
      <c r="F8" s="18">
        <f>Cálculos!E13</f>
        <v>1</v>
      </c>
      <c r="G8" s="19"/>
      <c r="H8" s="19"/>
      <c r="I8" s="19"/>
      <c r="J8" s="19"/>
      <c r="K8" s="19"/>
      <c r="L8" s="19"/>
      <c r="M8" s="19"/>
      <c r="N8" s="19"/>
      <c r="O8" s="19"/>
      <c r="P8" s="19"/>
      <c r="Q8" s="20" t="s">
        <v>9</v>
      </c>
      <c r="R8" s="1"/>
      <c r="S8" s="1"/>
      <c r="T8" s="1"/>
      <c r="U8" s="1"/>
      <c r="V8" s="1"/>
      <c r="W8" s="1"/>
      <c r="X8" s="1"/>
      <c r="Y8" s="1"/>
      <c r="Z8" s="1"/>
      <c r="AA8" s="1"/>
      <c r="AB8" s="1"/>
      <c r="AC8" s="1"/>
      <c r="AD8" s="1"/>
      <c r="AE8" s="1"/>
      <c r="AF8" s="1"/>
      <c r="AG8" s="1"/>
      <c r="AH8" s="1"/>
      <c r="AI8" s="1"/>
      <c r="AJ8" s="1"/>
      <c r="AK8" s="1"/>
    </row>
    <row r="9" spans="1:37" ht="11.25" customHeight="1">
      <c r="A9" s="21"/>
      <c r="B9" s="15"/>
      <c r="C9" s="166">
        <v>1</v>
      </c>
      <c r="D9" s="16" t="s">
        <v>10</v>
      </c>
      <c r="E9" s="17" t="s">
        <v>11</v>
      </c>
      <c r="F9" s="18">
        <f>Cálculos!E14</f>
        <v>1</v>
      </c>
      <c r="G9" s="19"/>
      <c r="H9" s="19"/>
      <c r="I9" s="19"/>
      <c r="J9" s="19"/>
      <c r="K9" s="19"/>
      <c r="L9" s="19"/>
      <c r="M9" s="19"/>
      <c r="N9" s="19"/>
      <c r="O9" s="19"/>
      <c r="P9" s="19"/>
      <c r="Q9" s="20" t="s">
        <v>12</v>
      </c>
      <c r="R9" s="1"/>
      <c r="S9" s="1"/>
      <c r="T9" s="1"/>
      <c r="U9" s="1"/>
      <c r="V9" s="1"/>
      <c r="W9" s="1"/>
      <c r="X9" s="1"/>
      <c r="Y9" s="1"/>
      <c r="Z9" s="1"/>
      <c r="AA9" s="1"/>
      <c r="AB9" s="1"/>
      <c r="AC9" s="1"/>
      <c r="AD9" s="1"/>
      <c r="AE9" s="1"/>
      <c r="AF9" s="1"/>
      <c r="AG9" s="1"/>
      <c r="AH9" s="1"/>
      <c r="AI9" s="1"/>
      <c r="AJ9" s="1"/>
      <c r="AK9" s="1"/>
    </row>
    <row r="10" spans="1:37" ht="11.25" customHeight="1">
      <c r="A10" s="21"/>
      <c r="B10" s="15"/>
      <c r="C10" s="166">
        <v>1</v>
      </c>
      <c r="D10" s="16" t="s">
        <v>13</v>
      </c>
      <c r="E10" s="17" t="s">
        <v>14</v>
      </c>
      <c r="F10" s="18">
        <f>Cálculos!E15</f>
        <v>1</v>
      </c>
      <c r="G10" s="19"/>
      <c r="H10" s="19"/>
      <c r="I10" s="19"/>
      <c r="J10" s="19"/>
      <c r="K10" s="19"/>
      <c r="L10" s="19"/>
      <c r="M10" s="19"/>
      <c r="N10" s="19"/>
      <c r="O10" s="19"/>
      <c r="P10" s="19"/>
      <c r="Q10" s="20" t="s">
        <v>15</v>
      </c>
      <c r="R10" s="1"/>
      <c r="S10" s="1"/>
      <c r="T10" s="1"/>
      <c r="U10" s="1"/>
      <c r="V10" s="1"/>
      <c r="W10" s="1"/>
      <c r="X10" s="1"/>
      <c r="Y10" s="1"/>
      <c r="Z10" s="1"/>
      <c r="AA10" s="1"/>
      <c r="AB10" s="1"/>
      <c r="AC10" s="1"/>
      <c r="AD10" s="1"/>
      <c r="AE10" s="1"/>
      <c r="AF10" s="1"/>
      <c r="AG10" s="1"/>
      <c r="AH10" s="1"/>
      <c r="AI10" s="1"/>
      <c r="AJ10" s="1"/>
      <c r="AK10" s="1"/>
    </row>
    <row r="11" spans="1:37" ht="11.25" customHeight="1">
      <c r="A11" s="22"/>
      <c r="B11" s="15"/>
      <c r="C11" s="166">
        <v>1</v>
      </c>
      <c r="D11" s="16" t="s">
        <v>16</v>
      </c>
      <c r="E11" s="17" t="s">
        <v>17</v>
      </c>
      <c r="F11" s="18">
        <f>Cálculos!E16</f>
        <v>1</v>
      </c>
      <c r="G11" s="19"/>
      <c r="H11" s="19"/>
      <c r="I11" s="19"/>
      <c r="J11" s="19"/>
      <c r="K11" s="19"/>
      <c r="L11" s="19"/>
      <c r="M11" s="19"/>
      <c r="N11" s="19"/>
      <c r="O11" s="19"/>
      <c r="P11" s="19"/>
      <c r="Q11" s="20" t="s">
        <v>18</v>
      </c>
      <c r="R11" s="1"/>
      <c r="S11" s="1"/>
      <c r="T11" s="1"/>
      <c r="U11" s="1"/>
      <c r="V11" s="1"/>
      <c r="W11" s="1"/>
      <c r="X11" s="1"/>
      <c r="Y11" s="1"/>
      <c r="Z11" s="1"/>
      <c r="AA11" s="1"/>
      <c r="AB11" s="1"/>
      <c r="AC11" s="1"/>
      <c r="AD11" s="1"/>
      <c r="AE11" s="1"/>
      <c r="AF11" s="1"/>
      <c r="AG11" s="1"/>
      <c r="AH11" s="1"/>
      <c r="AI11" s="1"/>
      <c r="AJ11" s="1"/>
      <c r="AK11" s="1"/>
    </row>
    <row r="12" spans="1:37" ht="11.25" customHeight="1">
      <c r="A12" s="23"/>
      <c r="B12" s="15"/>
      <c r="C12" s="166">
        <v>1</v>
      </c>
      <c r="D12" s="16" t="s">
        <v>19</v>
      </c>
      <c r="E12" s="17" t="s">
        <v>20</v>
      </c>
      <c r="F12" s="18">
        <f>Cálculos!E17</f>
        <v>1</v>
      </c>
      <c r="G12" s="19"/>
      <c r="H12" s="19"/>
      <c r="I12" s="19"/>
      <c r="J12" s="19"/>
      <c r="K12" s="19"/>
      <c r="L12" s="19"/>
      <c r="M12" s="19"/>
      <c r="N12" s="19"/>
      <c r="O12" s="19"/>
      <c r="P12" s="19"/>
      <c r="Q12" s="20" t="s">
        <v>21</v>
      </c>
      <c r="R12" s="1"/>
      <c r="S12" s="1"/>
      <c r="T12" s="1"/>
      <c r="U12" s="1"/>
      <c r="V12" s="1"/>
      <c r="W12" s="1"/>
      <c r="X12" s="1"/>
      <c r="Y12" s="1"/>
      <c r="Z12" s="1"/>
      <c r="AA12" s="1"/>
      <c r="AB12" s="1"/>
      <c r="AC12" s="1"/>
      <c r="AD12" s="1"/>
      <c r="AE12" s="1"/>
      <c r="AF12" s="1"/>
      <c r="AG12" s="1"/>
      <c r="AH12" s="1"/>
      <c r="AI12" s="1"/>
      <c r="AJ12" s="1"/>
      <c r="AK12" s="1"/>
    </row>
    <row r="13" spans="1:37" ht="11.25" customHeight="1">
      <c r="A13" s="23"/>
      <c r="B13" s="15"/>
      <c r="C13" s="166">
        <v>1</v>
      </c>
      <c r="D13" s="16" t="s">
        <v>22</v>
      </c>
      <c r="E13" s="17" t="s">
        <v>23</v>
      </c>
      <c r="F13" s="18">
        <f>Cálculos!E18</f>
        <v>1</v>
      </c>
      <c r="G13" s="19"/>
      <c r="H13" s="19"/>
      <c r="I13" s="19"/>
      <c r="J13" s="19"/>
      <c r="K13" s="19"/>
      <c r="L13" s="19"/>
      <c r="M13" s="19"/>
      <c r="N13" s="19"/>
      <c r="O13" s="19"/>
      <c r="P13" s="19"/>
      <c r="Q13" s="20" t="s">
        <v>24</v>
      </c>
      <c r="R13" s="1"/>
      <c r="S13" s="1"/>
      <c r="T13" s="1"/>
      <c r="U13" s="1"/>
      <c r="V13" s="1"/>
      <c r="W13" s="1"/>
      <c r="X13" s="1"/>
      <c r="Y13" s="1"/>
      <c r="Z13" s="1"/>
      <c r="AA13" s="1"/>
      <c r="AB13" s="1"/>
      <c r="AC13" s="1"/>
      <c r="AD13" s="1"/>
      <c r="AE13" s="1"/>
      <c r="AF13" s="1"/>
      <c r="AG13" s="1"/>
      <c r="AH13" s="1"/>
      <c r="AI13" s="1"/>
      <c r="AJ13" s="1"/>
      <c r="AK13" s="1"/>
    </row>
    <row r="14" spans="1:37" ht="11.25" customHeight="1">
      <c r="A14" s="23"/>
      <c r="B14" s="15"/>
      <c r="C14" s="166">
        <v>1</v>
      </c>
      <c r="D14" s="16" t="s">
        <v>25</v>
      </c>
      <c r="E14" s="17" t="s">
        <v>26</v>
      </c>
      <c r="F14" s="18">
        <f>Cálculos!E19</f>
        <v>1</v>
      </c>
      <c r="G14" s="19"/>
      <c r="H14" s="19"/>
      <c r="I14" s="19"/>
      <c r="J14" s="19"/>
      <c r="K14" s="19"/>
      <c r="L14" s="19"/>
      <c r="M14" s="19"/>
      <c r="N14" s="19"/>
      <c r="O14" s="19"/>
      <c r="P14" s="19"/>
      <c r="Q14" s="20" t="s">
        <v>27</v>
      </c>
      <c r="R14" s="1"/>
      <c r="S14" s="1"/>
      <c r="T14" s="1"/>
      <c r="U14" s="1"/>
      <c r="V14" s="1"/>
      <c r="W14" s="1"/>
      <c r="X14" s="1"/>
      <c r="Y14" s="1"/>
      <c r="Z14" s="1"/>
      <c r="AA14" s="1"/>
      <c r="AB14" s="1"/>
      <c r="AC14" s="1"/>
      <c r="AD14" s="1"/>
      <c r="AE14" s="1"/>
      <c r="AF14" s="1"/>
      <c r="AG14" s="1"/>
      <c r="AH14" s="1"/>
      <c r="AI14" s="1"/>
      <c r="AJ14" s="1"/>
      <c r="AK14" s="1"/>
    </row>
    <row r="15" spans="1:37" ht="11.25" customHeight="1">
      <c r="A15" s="23"/>
      <c r="B15" s="15"/>
      <c r="C15" s="166">
        <v>1</v>
      </c>
      <c r="D15" s="16" t="s">
        <v>28</v>
      </c>
      <c r="E15" s="17" t="s">
        <v>29</v>
      </c>
      <c r="F15" s="18">
        <f>Cálculos!E20</f>
        <v>1</v>
      </c>
      <c r="G15" s="19"/>
      <c r="H15" s="19"/>
      <c r="I15" s="19"/>
      <c r="J15" s="19"/>
      <c r="K15" s="19"/>
      <c r="L15" s="19"/>
      <c r="M15" s="19"/>
      <c r="N15" s="19"/>
      <c r="O15" s="19"/>
      <c r="P15" s="19"/>
      <c r="Q15" s="20" t="s">
        <v>30</v>
      </c>
      <c r="R15" s="1"/>
      <c r="S15" s="1"/>
      <c r="T15" s="1"/>
      <c r="U15" s="1"/>
      <c r="V15" s="1"/>
      <c r="W15" s="1"/>
      <c r="X15" s="1"/>
      <c r="Y15" s="1"/>
      <c r="Z15" s="1"/>
      <c r="AA15" s="1"/>
      <c r="AB15" s="1"/>
      <c r="AC15" s="1"/>
      <c r="AD15" s="1"/>
      <c r="AE15" s="1"/>
      <c r="AF15" s="1"/>
      <c r="AG15" s="1"/>
      <c r="AH15" s="1"/>
      <c r="AI15" s="1"/>
      <c r="AJ15" s="1"/>
      <c r="AK15" s="1"/>
    </row>
    <row r="16" spans="1:37" ht="11.25" customHeight="1">
      <c r="A16" s="23"/>
      <c r="B16" s="15"/>
      <c r="C16" s="166">
        <v>1</v>
      </c>
      <c r="D16" s="16" t="s">
        <v>31</v>
      </c>
      <c r="E16" s="17" t="s">
        <v>32</v>
      </c>
      <c r="F16" s="18">
        <f>Cálculos!E21</f>
        <v>1</v>
      </c>
      <c r="G16" s="19"/>
      <c r="H16" s="19"/>
      <c r="I16" s="19"/>
      <c r="J16" s="19"/>
      <c r="K16" s="19"/>
      <c r="L16" s="19"/>
      <c r="M16" s="19"/>
      <c r="N16" s="19"/>
      <c r="O16" s="19"/>
      <c r="P16" s="19"/>
      <c r="Q16" s="20" t="s">
        <v>33</v>
      </c>
      <c r="R16" s="1"/>
      <c r="S16" s="1"/>
      <c r="T16" s="1"/>
      <c r="U16" s="1"/>
      <c r="V16" s="1"/>
      <c r="W16" s="1"/>
      <c r="X16" s="1"/>
      <c r="Y16" s="1"/>
      <c r="Z16" s="1"/>
      <c r="AA16" s="1"/>
      <c r="AB16" s="1"/>
      <c r="AC16" s="1"/>
      <c r="AD16" s="1"/>
      <c r="AE16" s="1"/>
      <c r="AF16" s="1"/>
      <c r="AG16" s="1"/>
      <c r="AH16" s="1"/>
      <c r="AI16" s="1"/>
      <c r="AJ16" s="1"/>
      <c r="AK16" s="1"/>
    </row>
    <row r="17" spans="1:37" ht="11.25" customHeight="1">
      <c r="A17" s="23"/>
      <c r="B17" s="15"/>
      <c r="C17" s="166">
        <v>1</v>
      </c>
      <c r="D17" s="16" t="s">
        <v>34</v>
      </c>
      <c r="E17" s="17" t="s">
        <v>35</v>
      </c>
      <c r="F17" s="18">
        <f>Cálculos!E22</f>
        <v>1</v>
      </c>
      <c r="G17" s="19"/>
      <c r="H17" s="19"/>
      <c r="I17" s="19"/>
      <c r="J17" s="19"/>
      <c r="K17" s="19"/>
      <c r="L17" s="19"/>
      <c r="M17" s="19"/>
      <c r="N17" s="19"/>
      <c r="O17" s="19"/>
      <c r="P17" s="19"/>
      <c r="Q17" s="20" t="s">
        <v>36</v>
      </c>
      <c r="R17" s="1"/>
      <c r="S17" s="1"/>
      <c r="T17" s="1"/>
      <c r="U17" s="1"/>
      <c r="V17" s="1"/>
      <c r="W17" s="1"/>
      <c r="X17" s="1"/>
      <c r="Y17" s="1"/>
      <c r="Z17" s="1"/>
      <c r="AA17" s="1"/>
      <c r="AB17" s="1"/>
      <c r="AC17" s="1"/>
      <c r="AD17" s="1"/>
      <c r="AE17" s="1"/>
      <c r="AF17" s="1"/>
      <c r="AG17" s="1"/>
      <c r="AH17" s="1"/>
      <c r="AI17" s="1"/>
      <c r="AJ17" s="1"/>
      <c r="AK17" s="1"/>
    </row>
    <row r="18" spans="1:37" ht="11.25" customHeight="1">
      <c r="A18" s="23"/>
      <c r="B18" s="15"/>
      <c r="C18" s="166">
        <v>1</v>
      </c>
      <c r="D18" s="16" t="s">
        <v>37</v>
      </c>
      <c r="E18" s="17" t="s">
        <v>38</v>
      </c>
      <c r="F18" s="18">
        <f>Cálculos!E23</f>
        <v>2</v>
      </c>
      <c r="G18" s="19"/>
      <c r="H18" s="19"/>
      <c r="I18" s="19"/>
      <c r="J18" s="19"/>
      <c r="K18" s="19"/>
      <c r="L18" s="19"/>
      <c r="M18" s="19"/>
      <c r="N18" s="19"/>
      <c r="O18" s="19"/>
      <c r="P18" s="19"/>
      <c r="Q18" s="20" t="s">
        <v>39</v>
      </c>
      <c r="R18" s="1"/>
      <c r="S18" s="1"/>
      <c r="T18" s="1"/>
      <c r="U18" s="1"/>
      <c r="V18" s="1"/>
      <c r="W18" s="1"/>
      <c r="X18" s="1"/>
      <c r="Y18" s="1"/>
      <c r="Z18" s="1"/>
      <c r="AA18" s="1"/>
      <c r="AB18" s="1"/>
      <c r="AC18" s="1"/>
      <c r="AD18" s="1"/>
      <c r="AE18" s="1"/>
      <c r="AF18" s="1"/>
      <c r="AG18" s="1"/>
      <c r="AH18" s="1"/>
      <c r="AI18" s="1"/>
      <c r="AJ18" s="1"/>
      <c r="AK18" s="1"/>
    </row>
    <row r="19" spans="1:37" ht="11.25" customHeight="1">
      <c r="A19" s="23"/>
      <c r="B19" s="15"/>
      <c r="C19" s="166">
        <v>1</v>
      </c>
      <c r="D19" s="16" t="s">
        <v>40</v>
      </c>
      <c r="E19" s="17" t="s">
        <v>41</v>
      </c>
      <c r="F19" s="18">
        <f>Cálculos!E24</f>
        <v>1</v>
      </c>
      <c r="G19" s="19"/>
      <c r="H19" s="19"/>
      <c r="I19" s="19"/>
      <c r="J19" s="19"/>
      <c r="K19" s="19"/>
      <c r="L19" s="19"/>
      <c r="M19" s="19"/>
      <c r="N19" s="19"/>
      <c r="O19" s="19"/>
      <c r="P19" s="19"/>
      <c r="Q19" s="20" t="s">
        <v>42</v>
      </c>
      <c r="R19" s="1"/>
      <c r="S19" s="1"/>
      <c r="T19" s="1"/>
      <c r="U19" s="1"/>
      <c r="V19" s="1"/>
      <c r="W19" s="1"/>
      <c r="X19" s="1"/>
      <c r="Y19" s="1"/>
      <c r="Z19" s="1"/>
      <c r="AA19" s="1"/>
      <c r="AB19" s="1"/>
      <c r="AC19" s="1"/>
      <c r="AD19" s="1"/>
      <c r="AE19" s="1"/>
      <c r="AF19" s="1"/>
      <c r="AG19" s="1"/>
      <c r="AH19" s="1"/>
      <c r="AI19" s="1"/>
      <c r="AJ19" s="1"/>
      <c r="AK19" s="1"/>
    </row>
    <row r="20" spans="1:37" ht="11.25" customHeight="1">
      <c r="A20" s="23"/>
      <c r="B20" s="15"/>
      <c r="C20" s="166">
        <v>1</v>
      </c>
      <c r="D20" s="16" t="s">
        <v>43</v>
      </c>
      <c r="E20" s="17" t="s">
        <v>44</v>
      </c>
      <c r="F20" s="18">
        <f>Cálculos!E25</f>
        <v>1</v>
      </c>
      <c r="G20" s="19"/>
      <c r="H20" s="19"/>
      <c r="I20" s="19"/>
      <c r="J20" s="19"/>
      <c r="K20" s="19"/>
      <c r="L20" s="19"/>
      <c r="M20" s="19"/>
      <c r="N20" s="19"/>
      <c r="O20" s="19"/>
      <c r="P20" s="19"/>
      <c r="Q20" s="20" t="s">
        <v>45</v>
      </c>
      <c r="R20" s="1"/>
      <c r="S20" s="1"/>
      <c r="T20" s="1"/>
      <c r="U20" s="1"/>
      <c r="V20" s="1"/>
      <c r="W20" s="1"/>
      <c r="X20" s="1"/>
      <c r="Y20" s="1"/>
      <c r="Z20" s="1"/>
      <c r="AA20" s="1"/>
      <c r="AB20" s="1"/>
      <c r="AC20" s="1"/>
      <c r="AD20" s="1"/>
      <c r="AE20" s="1"/>
      <c r="AF20" s="1"/>
      <c r="AG20" s="1"/>
      <c r="AH20" s="1"/>
      <c r="AI20" s="1"/>
      <c r="AJ20" s="1"/>
      <c r="AK20" s="1"/>
    </row>
    <row r="21" spans="1:37" ht="11.25" customHeight="1">
      <c r="A21" s="23"/>
      <c r="B21" s="15"/>
      <c r="C21" s="166">
        <v>1</v>
      </c>
      <c r="D21" s="16" t="s">
        <v>46</v>
      </c>
      <c r="E21" s="17" t="s">
        <v>47</v>
      </c>
      <c r="F21" s="18">
        <f>Cálculos!E26</f>
        <v>1</v>
      </c>
      <c r="G21" s="19"/>
      <c r="H21" s="19"/>
      <c r="I21" s="19"/>
      <c r="J21" s="19"/>
      <c r="K21" s="19"/>
      <c r="L21" s="19"/>
      <c r="M21" s="19"/>
      <c r="N21" s="19"/>
      <c r="O21" s="19"/>
      <c r="P21" s="19"/>
      <c r="Q21" s="20" t="s">
        <v>48</v>
      </c>
      <c r="R21" s="1"/>
      <c r="S21" s="1"/>
      <c r="T21" s="1"/>
      <c r="U21" s="1"/>
      <c r="V21" s="1"/>
      <c r="W21" s="1"/>
      <c r="X21" s="1"/>
      <c r="Y21" s="1"/>
      <c r="Z21" s="1"/>
      <c r="AA21" s="1"/>
      <c r="AB21" s="1"/>
      <c r="AC21" s="1"/>
      <c r="AD21" s="1"/>
      <c r="AE21" s="1"/>
      <c r="AF21" s="1"/>
      <c r="AG21" s="1"/>
      <c r="AH21" s="1"/>
      <c r="AI21" s="1"/>
      <c r="AJ21" s="1"/>
      <c r="AK21" s="1"/>
    </row>
    <row r="22" spans="1:37" ht="11.25" customHeight="1">
      <c r="A22" s="24"/>
      <c r="B22" s="15"/>
      <c r="C22" s="166">
        <v>1</v>
      </c>
      <c r="D22" s="16" t="s">
        <v>49</v>
      </c>
      <c r="E22" s="17" t="s">
        <v>50</v>
      </c>
      <c r="F22" s="18">
        <f>Cálculos!E27</f>
        <v>2</v>
      </c>
      <c r="G22" s="19"/>
      <c r="H22" s="19"/>
      <c r="I22" s="19"/>
      <c r="J22" s="19"/>
      <c r="K22" s="19"/>
      <c r="L22" s="19"/>
      <c r="M22" s="19"/>
      <c r="N22" s="19"/>
      <c r="O22" s="19"/>
      <c r="P22" s="19"/>
      <c r="Q22" s="20" t="s">
        <v>51</v>
      </c>
      <c r="R22" s="1"/>
      <c r="S22" s="1"/>
      <c r="T22" s="1"/>
      <c r="U22" s="1"/>
      <c r="V22" s="1"/>
      <c r="W22" s="1"/>
      <c r="X22" s="1"/>
      <c r="Y22" s="1"/>
      <c r="Z22" s="1"/>
      <c r="AA22" s="1"/>
      <c r="AB22" s="1"/>
      <c r="AC22" s="1"/>
      <c r="AD22" s="1"/>
      <c r="AE22" s="1"/>
      <c r="AF22" s="1"/>
      <c r="AG22" s="1"/>
      <c r="AH22" s="1"/>
      <c r="AI22" s="1"/>
      <c r="AJ22" s="1"/>
      <c r="AK22" s="1"/>
    </row>
    <row r="23" spans="1:37" ht="12.75" customHeight="1">
      <c r="A23" s="24"/>
      <c r="B23" s="204" t="s">
        <v>52</v>
      </c>
      <c r="C23" s="184"/>
      <c r="D23" s="184"/>
      <c r="E23" s="184"/>
      <c r="F23" s="184"/>
      <c r="G23" s="184"/>
      <c r="H23" s="184"/>
      <c r="I23" s="184"/>
      <c r="J23" s="184"/>
      <c r="K23" s="184"/>
      <c r="L23" s="184"/>
      <c r="M23" s="184"/>
      <c r="N23" s="184"/>
      <c r="O23" s="184"/>
      <c r="P23" s="184"/>
      <c r="Q23" s="191"/>
      <c r="R23" s="1"/>
      <c r="S23" s="1"/>
      <c r="T23" s="1"/>
      <c r="U23" s="1"/>
      <c r="V23" s="1"/>
      <c r="W23" s="1"/>
      <c r="X23" s="1"/>
      <c r="Y23" s="1"/>
      <c r="Z23" s="1"/>
      <c r="AA23" s="1"/>
      <c r="AB23" s="1"/>
      <c r="AC23" s="1"/>
      <c r="AD23" s="1"/>
      <c r="AE23" s="1"/>
      <c r="AF23" s="1"/>
      <c r="AG23" s="1"/>
      <c r="AH23" s="1"/>
      <c r="AI23" s="1"/>
      <c r="AJ23" s="1"/>
      <c r="AK23" s="1"/>
    </row>
    <row r="24" spans="1:37" ht="12.75" customHeight="1">
      <c r="A24" s="25"/>
      <c r="B24" s="205" t="s">
        <v>53</v>
      </c>
      <c r="C24" s="198"/>
      <c r="D24" s="198"/>
      <c r="E24" s="198"/>
      <c r="F24" s="198"/>
      <c r="G24" s="198"/>
      <c r="H24" s="198"/>
      <c r="I24" s="198"/>
      <c r="J24" s="198"/>
      <c r="K24" s="198"/>
      <c r="L24" s="198"/>
      <c r="M24" s="198"/>
      <c r="N24" s="198"/>
      <c r="O24" s="198"/>
      <c r="P24" s="198"/>
      <c r="Q24" s="199"/>
      <c r="R24" s="1"/>
      <c r="S24" s="1"/>
      <c r="T24" s="1"/>
      <c r="U24" s="1"/>
      <c r="V24" s="1"/>
      <c r="W24" s="1"/>
      <c r="X24" s="1"/>
      <c r="Y24" s="1"/>
      <c r="Z24" s="1"/>
      <c r="AA24" s="1"/>
      <c r="AB24" s="1"/>
      <c r="AC24" s="1"/>
      <c r="AD24" s="1"/>
      <c r="AE24" s="1"/>
      <c r="AF24" s="1"/>
      <c r="AG24" s="1"/>
      <c r="AH24" s="1"/>
      <c r="AI24" s="1"/>
      <c r="AJ24" s="1"/>
      <c r="AK24" s="1"/>
    </row>
    <row r="25" spans="1:37" ht="12" customHeight="1">
      <c r="A25" s="25"/>
      <c r="B25" s="26"/>
      <c r="C25" s="27"/>
      <c r="D25" s="16" t="s">
        <v>54</v>
      </c>
      <c r="E25" s="16"/>
      <c r="F25" s="18">
        <f>Cálculos!E53</f>
        <v>5.3100000000000005</v>
      </c>
      <c r="G25" s="19"/>
      <c r="H25" s="19"/>
      <c r="I25" s="19"/>
      <c r="J25" s="19"/>
      <c r="K25" s="19"/>
      <c r="L25" s="19"/>
      <c r="M25" s="19"/>
      <c r="N25" s="19"/>
      <c r="O25" s="19"/>
      <c r="P25" s="19"/>
      <c r="Q25" s="28" t="s">
        <v>55</v>
      </c>
      <c r="R25" s="1"/>
      <c r="S25" s="1"/>
      <c r="T25" s="1"/>
      <c r="U25" s="1"/>
      <c r="V25" s="1"/>
      <c r="W25" s="1"/>
      <c r="X25" s="1"/>
      <c r="Y25" s="1"/>
      <c r="Z25" s="1"/>
      <c r="AA25" s="1"/>
      <c r="AB25" s="1"/>
      <c r="AC25" s="1"/>
      <c r="AD25" s="1"/>
      <c r="AE25" s="1"/>
      <c r="AF25" s="1"/>
      <c r="AG25" s="1"/>
      <c r="AH25" s="1"/>
      <c r="AI25" s="1"/>
      <c r="AJ25" s="1"/>
      <c r="AK25" s="1"/>
    </row>
    <row r="26" spans="1:37" ht="12" customHeight="1">
      <c r="A26" s="21"/>
      <c r="B26" s="29"/>
      <c r="C26" s="27"/>
      <c r="D26" s="16" t="s">
        <v>56</v>
      </c>
      <c r="E26" s="16"/>
      <c r="F26" s="18">
        <f>Cálculos!E54</f>
        <v>1.2400000000000002</v>
      </c>
      <c r="G26" s="19"/>
      <c r="H26" s="19"/>
      <c r="I26" s="19"/>
      <c r="J26" s="19"/>
      <c r="K26" s="19"/>
      <c r="L26" s="19"/>
      <c r="M26" s="19"/>
      <c r="N26" s="19"/>
      <c r="O26" s="19"/>
      <c r="P26" s="19"/>
      <c r="Q26" s="28" t="s">
        <v>57</v>
      </c>
      <c r="R26" s="1"/>
      <c r="S26" s="1"/>
      <c r="T26" s="1"/>
      <c r="U26" s="1"/>
      <c r="V26" s="1"/>
      <c r="W26" s="1"/>
      <c r="X26" s="1"/>
      <c r="Y26" s="1"/>
      <c r="Z26" s="1"/>
      <c r="AA26" s="1"/>
      <c r="AB26" s="1"/>
      <c r="AC26" s="1"/>
      <c r="AD26" s="1"/>
      <c r="AE26" s="1"/>
      <c r="AF26" s="1"/>
      <c r="AG26" s="1"/>
      <c r="AH26" s="1"/>
      <c r="AI26" s="1"/>
      <c r="AJ26" s="1"/>
      <c r="AK26" s="1"/>
    </row>
    <row r="27" spans="1:37" ht="12" customHeight="1">
      <c r="A27" s="21"/>
      <c r="B27" s="26"/>
      <c r="C27" s="1"/>
      <c r="D27" s="16" t="s">
        <v>58</v>
      </c>
      <c r="E27" s="16"/>
      <c r="F27" s="18">
        <f>Cálculos!E55</f>
        <v>3.0100000000000002</v>
      </c>
      <c r="G27" s="19"/>
      <c r="H27" s="19"/>
      <c r="I27" s="19"/>
      <c r="J27" s="19"/>
      <c r="K27" s="19"/>
      <c r="L27" s="19"/>
      <c r="M27" s="19"/>
      <c r="N27" s="19"/>
      <c r="O27" s="19"/>
      <c r="P27" s="19"/>
      <c r="Q27" s="28" t="s">
        <v>59</v>
      </c>
      <c r="R27" s="1"/>
      <c r="S27" s="1"/>
      <c r="T27" s="1"/>
      <c r="U27" s="1"/>
      <c r="V27" s="1"/>
      <c r="W27" s="1"/>
      <c r="X27" s="1"/>
      <c r="Y27" s="1"/>
      <c r="Z27" s="1"/>
      <c r="AA27" s="1"/>
      <c r="AB27" s="1"/>
      <c r="AC27" s="1"/>
      <c r="AD27" s="1"/>
      <c r="AE27" s="1"/>
      <c r="AF27" s="1"/>
      <c r="AG27" s="1"/>
      <c r="AH27" s="1"/>
      <c r="AI27" s="1"/>
      <c r="AJ27" s="1"/>
      <c r="AK27" s="1"/>
    </row>
    <row r="28" spans="1:37" ht="12" customHeight="1">
      <c r="A28" s="21"/>
      <c r="B28" s="26"/>
      <c r="C28" s="1"/>
      <c r="D28" s="16" t="s">
        <v>60</v>
      </c>
      <c r="E28" s="16"/>
      <c r="F28" s="18">
        <f>Cálculos!E56</f>
        <v>1</v>
      </c>
      <c r="G28" s="19"/>
      <c r="H28" s="19"/>
      <c r="I28" s="19"/>
      <c r="J28" s="19"/>
      <c r="K28" s="19"/>
      <c r="L28" s="19"/>
      <c r="M28" s="19"/>
      <c r="N28" s="19"/>
      <c r="O28" s="19"/>
      <c r="P28" s="19"/>
      <c r="Q28" s="28" t="s">
        <v>61</v>
      </c>
      <c r="R28" s="1"/>
      <c r="S28" s="1"/>
      <c r="T28" s="1"/>
      <c r="U28" s="1"/>
      <c r="V28" s="1"/>
      <c r="W28" s="1"/>
      <c r="X28" s="1"/>
      <c r="Y28" s="1"/>
      <c r="Z28" s="1"/>
      <c r="AA28" s="1"/>
      <c r="AB28" s="1"/>
      <c r="AC28" s="1"/>
      <c r="AD28" s="1"/>
      <c r="AE28" s="1"/>
      <c r="AF28" s="1"/>
      <c r="AG28" s="1"/>
      <c r="AH28" s="1"/>
      <c r="AI28" s="1"/>
      <c r="AJ28" s="1"/>
      <c r="AK28" s="1"/>
    </row>
    <row r="29" spans="1:37" ht="12" customHeight="1">
      <c r="A29" s="21"/>
      <c r="B29" s="30"/>
      <c r="C29" s="31"/>
      <c r="D29" s="32" t="s">
        <v>62</v>
      </c>
      <c r="E29" s="32"/>
      <c r="F29" s="18">
        <f>Cálculos!BU8</f>
        <v>10</v>
      </c>
      <c r="G29" s="33"/>
      <c r="H29" s="33"/>
      <c r="I29" s="33"/>
      <c r="J29" s="33"/>
      <c r="K29" s="33"/>
      <c r="L29" s="33"/>
      <c r="M29" s="33"/>
      <c r="N29" s="33"/>
      <c r="O29" s="33"/>
      <c r="P29" s="33"/>
      <c r="Q29" s="34" t="s">
        <v>63</v>
      </c>
      <c r="R29" s="1"/>
      <c r="S29" s="1"/>
      <c r="T29" s="1"/>
      <c r="U29" s="1"/>
      <c r="V29" s="1"/>
      <c r="W29" s="1"/>
      <c r="X29" s="1"/>
      <c r="Y29" s="1"/>
      <c r="Z29" s="1"/>
      <c r="AA29" s="1"/>
      <c r="AB29" s="1"/>
      <c r="AC29" s="1"/>
      <c r="AD29" s="1"/>
      <c r="AE29" s="1"/>
      <c r="AF29" s="1"/>
      <c r="AG29" s="1"/>
      <c r="AH29" s="1"/>
      <c r="AI29" s="1"/>
      <c r="AJ29" s="1"/>
      <c r="AK29" s="1"/>
    </row>
    <row r="30" spans="1:37" ht="15" customHeight="1">
      <c r="A30" s="1"/>
      <c r="B30" s="205" t="s">
        <v>64</v>
      </c>
      <c r="C30" s="198"/>
      <c r="D30" s="198"/>
      <c r="E30" s="198"/>
      <c r="F30" s="198"/>
      <c r="G30" s="198"/>
      <c r="H30" s="198"/>
      <c r="I30" s="198"/>
      <c r="J30" s="198"/>
      <c r="K30" s="198"/>
      <c r="L30" s="198"/>
      <c r="M30" s="198"/>
      <c r="N30" s="198"/>
      <c r="O30" s="198"/>
      <c r="P30" s="198"/>
      <c r="Q30" s="199"/>
      <c r="R30" s="1"/>
      <c r="S30" s="1"/>
      <c r="T30" s="1"/>
      <c r="U30" s="1"/>
      <c r="V30" s="1"/>
      <c r="W30" s="1"/>
      <c r="X30" s="1"/>
      <c r="Y30" s="1"/>
      <c r="Z30" s="1"/>
      <c r="AA30" s="1"/>
      <c r="AB30" s="1"/>
      <c r="AC30" s="1"/>
      <c r="AD30" s="1"/>
      <c r="AE30" s="1"/>
      <c r="AF30" s="1"/>
      <c r="AG30" s="1"/>
      <c r="AH30" s="1"/>
      <c r="AI30" s="1"/>
      <c r="AJ30" s="1"/>
      <c r="AK30" s="1"/>
    </row>
    <row r="31" spans="1:37" ht="12" customHeight="1">
      <c r="A31" s="1"/>
      <c r="B31" s="26"/>
      <c r="C31" s="1"/>
      <c r="D31" s="16" t="s">
        <v>65</v>
      </c>
      <c r="E31" s="16"/>
      <c r="F31" s="18">
        <f>Cálculos!E57</f>
        <v>1.8200000000000003</v>
      </c>
      <c r="G31" s="19"/>
      <c r="H31" s="19"/>
      <c r="I31" s="19"/>
      <c r="J31" s="19"/>
      <c r="K31" s="19"/>
      <c r="L31" s="19"/>
      <c r="M31" s="19"/>
      <c r="N31" s="19"/>
      <c r="O31" s="19"/>
      <c r="P31" s="19"/>
      <c r="Q31" s="28" t="s">
        <v>66</v>
      </c>
      <c r="R31" s="1"/>
      <c r="S31" s="1"/>
      <c r="T31" s="1"/>
      <c r="U31" s="1"/>
      <c r="V31" s="1"/>
      <c r="W31" s="1"/>
      <c r="X31" s="1"/>
      <c r="Y31" s="1"/>
      <c r="Z31" s="1"/>
      <c r="AA31" s="1"/>
      <c r="AB31" s="1"/>
      <c r="AC31" s="1"/>
      <c r="AD31" s="1"/>
      <c r="AE31" s="1"/>
      <c r="AF31" s="1"/>
      <c r="AG31" s="1"/>
      <c r="AH31" s="1"/>
      <c r="AI31" s="1"/>
      <c r="AJ31" s="1"/>
      <c r="AK31" s="1"/>
    </row>
    <row r="32" spans="1:37" ht="12" customHeight="1">
      <c r="A32" s="1"/>
      <c r="B32" s="35"/>
      <c r="C32" s="36"/>
      <c r="D32" s="16" t="s">
        <v>67</v>
      </c>
      <c r="E32" s="16"/>
      <c r="F32" s="18">
        <f>0.99-0.33*F7+0.33*F8+0.17*F10-0.33*F11+0.16*F13+0.33*F14+0.16*F16-0.16*F17+0.16*F19+0.33*F20</f>
        <v>1.8099999999999998</v>
      </c>
      <c r="G32" s="19"/>
      <c r="H32" s="19"/>
      <c r="I32" s="19"/>
      <c r="J32" s="19"/>
      <c r="K32" s="19"/>
      <c r="L32" s="19"/>
      <c r="M32" s="19"/>
      <c r="N32" s="19"/>
      <c r="O32" s="19"/>
      <c r="P32" s="19"/>
      <c r="Q32" s="28" t="s">
        <v>68</v>
      </c>
      <c r="R32" s="1"/>
      <c r="S32" s="1"/>
      <c r="T32" s="1"/>
      <c r="U32" s="1"/>
      <c r="V32" s="1"/>
      <c r="W32" s="1"/>
      <c r="X32" s="1"/>
      <c r="Y32" s="1"/>
      <c r="Z32" s="1"/>
      <c r="AA32" s="1"/>
      <c r="AB32" s="1"/>
      <c r="AC32" s="1"/>
      <c r="AD32" s="1"/>
      <c r="AE32" s="1"/>
      <c r="AF32" s="1"/>
      <c r="AG32" s="1"/>
      <c r="AH32" s="1"/>
      <c r="AI32" s="1"/>
      <c r="AJ32" s="1"/>
      <c r="AK32" s="1"/>
    </row>
    <row r="33" spans="1:37" ht="12" customHeight="1">
      <c r="A33" s="1"/>
      <c r="B33" s="35"/>
      <c r="C33" s="36"/>
      <c r="D33" s="16" t="s">
        <v>69</v>
      </c>
      <c r="E33" s="16"/>
      <c r="F33" s="18">
        <f>6.27-0.07*F8-0.26*F9-0.17*F10-0.38*F11-0.1*F12+0.1*F13+0.22*F14+0.26*F18-0.09*F19+0.35*F22</f>
        <v>6.7399999999999993</v>
      </c>
      <c r="G33" s="19"/>
      <c r="H33" s="19"/>
      <c r="I33" s="19"/>
      <c r="J33" s="19"/>
      <c r="K33" s="19"/>
      <c r="L33" s="19"/>
      <c r="M33" s="19"/>
      <c r="N33" s="19"/>
      <c r="O33" s="19"/>
      <c r="P33" s="19"/>
      <c r="Q33" s="28" t="s">
        <v>70</v>
      </c>
      <c r="R33" s="1"/>
      <c r="S33" s="1"/>
      <c r="T33" s="1"/>
      <c r="U33" s="1"/>
      <c r="V33" s="1"/>
      <c r="W33" s="1"/>
      <c r="X33" s="1"/>
      <c r="Y33" s="1"/>
      <c r="Z33" s="1"/>
      <c r="AA33" s="1"/>
      <c r="AB33" s="1"/>
      <c r="AC33" s="1"/>
      <c r="AD33" s="1"/>
      <c r="AE33" s="1"/>
      <c r="AF33" s="1"/>
      <c r="AG33" s="1"/>
      <c r="AH33" s="1"/>
      <c r="AI33" s="1"/>
      <c r="AJ33" s="1"/>
      <c r="AK33" s="1"/>
    </row>
    <row r="34" spans="1:37" ht="12" customHeight="1">
      <c r="A34" s="1"/>
      <c r="B34" s="35"/>
      <c r="C34" s="36"/>
      <c r="D34" s="16" t="s">
        <v>71</v>
      </c>
      <c r="E34" s="16"/>
      <c r="F34" s="18">
        <f>5.2-0.2*F7-0.2*F8+0.1*F9-0.4*F11+0.1*F12+0.2*F14-0.3*F15+0.4*F16+0.1*F17-0.1*F18+0.1*F19-0.1*F20-0.4*F21+0.7*F22</f>
        <v>5.7999999999999989</v>
      </c>
      <c r="G34" s="19"/>
      <c r="H34" s="19"/>
      <c r="I34" s="19"/>
      <c r="J34" s="19"/>
      <c r="K34" s="19"/>
      <c r="L34" s="19"/>
      <c r="M34" s="19"/>
      <c r="N34" s="19"/>
      <c r="O34" s="19"/>
      <c r="P34" s="19"/>
      <c r="Q34" s="28" t="s">
        <v>72</v>
      </c>
      <c r="R34" s="1"/>
      <c r="S34" s="1"/>
      <c r="T34" s="1"/>
      <c r="U34" s="1"/>
      <c r="V34" s="1"/>
      <c r="W34" s="1"/>
      <c r="X34" s="1"/>
      <c r="Y34" s="1"/>
      <c r="Z34" s="1"/>
      <c r="AA34" s="1"/>
      <c r="AB34" s="1"/>
      <c r="AC34" s="1"/>
      <c r="AD34" s="1"/>
      <c r="AE34" s="1"/>
      <c r="AF34" s="1"/>
      <c r="AG34" s="1"/>
      <c r="AH34" s="1"/>
      <c r="AI34" s="1"/>
      <c r="AJ34" s="1"/>
      <c r="AK34" s="1"/>
    </row>
    <row r="35" spans="1:37" ht="12" customHeight="1">
      <c r="A35" s="1"/>
      <c r="B35" s="26"/>
      <c r="C35" s="1"/>
      <c r="D35" s="16" t="s">
        <v>73</v>
      </c>
      <c r="E35" s="16"/>
      <c r="F35" s="18">
        <f>F8*0.12+F9*0.12+F10*0.05+F11*0.24+F12*0.24+F13*0.24-F14*0.12-F16*0.12+F17*0.05-F18*0.24+F21*0.24-F22*0.12+1.65</f>
        <v>1.99</v>
      </c>
      <c r="G35" s="19"/>
      <c r="H35" s="19"/>
      <c r="I35" s="19"/>
      <c r="J35" s="19"/>
      <c r="K35" s="19"/>
      <c r="L35" s="19"/>
      <c r="M35" s="19"/>
      <c r="N35" s="19"/>
      <c r="O35" s="19"/>
      <c r="P35" s="19"/>
      <c r="Q35" s="28" t="s">
        <v>74</v>
      </c>
      <c r="R35" s="1"/>
      <c r="S35" s="1"/>
      <c r="T35" s="1"/>
      <c r="U35" s="1"/>
      <c r="V35" s="1"/>
      <c r="W35" s="1"/>
      <c r="X35" s="1"/>
      <c r="Y35" s="1"/>
      <c r="Z35" s="1"/>
      <c r="AA35" s="1"/>
      <c r="AB35" s="1"/>
      <c r="AC35" s="1"/>
      <c r="AD35" s="1"/>
      <c r="AE35" s="1"/>
      <c r="AF35" s="1"/>
      <c r="AG35" s="1"/>
      <c r="AH35" s="1"/>
      <c r="AI35" s="1"/>
      <c r="AJ35" s="1"/>
      <c r="AK35" s="1"/>
    </row>
    <row r="36" spans="1:37" ht="12" customHeight="1">
      <c r="A36" s="1"/>
      <c r="B36" s="30"/>
      <c r="C36" s="31"/>
      <c r="D36" s="32" t="s">
        <v>75</v>
      </c>
      <c r="E36" s="32"/>
      <c r="F36" s="18">
        <f>0.12*F8+0.18*F9-0.12*F10-0.12*F11+0.3*F12-0.3*F16-0.18*F18+0.18*F21-0.18*F22+6.16</f>
        <v>5.68</v>
      </c>
      <c r="G36" s="33"/>
      <c r="H36" s="33"/>
      <c r="I36" s="33"/>
      <c r="J36" s="33"/>
      <c r="K36" s="33"/>
      <c r="L36" s="33"/>
      <c r="M36" s="33"/>
      <c r="N36" s="33"/>
      <c r="O36" s="33"/>
      <c r="P36" s="33"/>
      <c r="Q36" s="34" t="s">
        <v>76</v>
      </c>
      <c r="R36" s="1"/>
      <c r="S36" s="1"/>
      <c r="T36" s="1"/>
      <c r="U36" s="1"/>
      <c r="V36" s="1"/>
      <c r="W36" s="1"/>
      <c r="X36" s="1"/>
      <c r="Y36" s="1"/>
      <c r="Z36" s="1"/>
      <c r="AA36" s="1"/>
      <c r="AB36" s="1"/>
      <c r="AC36" s="1"/>
      <c r="AD36" s="1"/>
      <c r="AE36" s="1"/>
      <c r="AF36" s="1"/>
      <c r="AG36" s="1"/>
      <c r="AH36" s="1"/>
      <c r="AI36" s="1"/>
      <c r="AJ36" s="1"/>
      <c r="AK36" s="1"/>
    </row>
    <row r="37" spans="1:37" ht="12.75" customHeight="1">
      <c r="A37" s="1"/>
      <c r="B37" s="197" t="s">
        <v>77</v>
      </c>
      <c r="C37" s="198"/>
      <c r="D37" s="198"/>
      <c r="E37" s="198"/>
      <c r="F37" s="198"/>
      <c r="G37" s="198"/>
      <c r="H37" s="198"/>
      <c r="I37" s="198"/>
      <c r="J37" s="198"/>
      <c r="K37" s="198"/>
      <c r="L37" s="198"/>
      <c r="M37" s="198"/>
      <c r="N37" s="198"/>
      <c r="O37" s="198"/>
      <c r="P37" s="198"/>
      <c r="Q37" s="199"/>
      <c r="R37" s="1"/>
      <c r="S37" s="37"/>
      <c r="T37" s="1"/>
      <c r="U37" s="1"/>
      <c r="V37" s="1"/>
      <c r="W37" s="1"/>
      <c r="X37" s="1"/>
      <c r="Y37" s="1"/>
      <c r="Z37" s="1"/>
      <c r="AA37" s="1"/>
      <c r="AB37" s="1"/>
      <c r="AC37" s="1"/>
      <c r="AD37" s="1"/>
      <c r="AE37" s="1"/>
      <c r="AF37" s="1"/>
      <c r="AG37" s="1"/>
      <c r="AH37" s="1"/>
      <c r="AI37" s="1"/>
      <c r="AJ37" s="1"/>
      <c r="AK37" s="1"/>
    </row>
    <row r="38" spans="1:37" ht="12" customHeight="1">
      <c r="A38" s="1"/>
      <c r="B38" s="190" t="s">
        <v>78</v>
      </c>
      <c r="C38" s="184"/>
      <c r="D38" s="191"/>
      <c r="E38" s="16"/>
      <c r="F38" s="18">
        <f>MED!E35</f>
        <v>1</v>
      </c>
      <c r="G38" s="38"/>
      <c r="H38" s="38"/>
      <c r="I38" s="38"/>
      <c r="J38" s="38"/>
      <c r="K38" s="38"/>
      <c r="L38" s="38"/>
      <c r="M38" s="38"/>
      <c r="N38" s="38"/>
      <c r="O38" s="38"/>
      <c r="P38" s="19"/>
      <c r="Q38" s="39" t="s">
        <v>79</v>
      </c>
      <c r="R38" s="20"/>
      <c r="S38" s="20"/>
      <c r="T38" s="1"/>
      <c r="U38" s="1"/>
      <c r="V38" s="1"/>
      <c r="W38" s="1"/>
      <c r="X38" s="1"/>
      <c r="Y38" s="1"/>
      <c r="Z38" s="1"/>
      <c r="AA38" s="1"/>
      <c r="AB38" s="1"/>
      <c r="AC38" s="1"/>
      <c r="AD38" s="1"/>
      <c r="AE38" s="1"/>
      <c r="AF38" s="1"/>
      <c r="AG38" s="1"/>
      <c r="AH38" s="1"/>
      <c r="AI38" s="1"/>
      <c r="AJ38" s="1"/>
      <c r="AK38" s="1"/>
    </row>
    <row r="39" spans="1:37" ht="12" customHeight="1">
      <c r="A39" s="1"/>
      <c r="B39" s="190" t="s">
        <v>80</v>
      </c>
      <c r="C39" s="184"/>
      <c r="D39" s="191"/>
      <c r="E39" s="40"/>
      <c r="F39" s="18">
        <f>'SEM-ESP'!D26</f>
        <v>10</v>
      </c>
      <c r="G39" s="19"/>
      <c r="H39" s="19"/>
      <c r="I39" s="19"/>
      <c r="J39" s="19"/>
      <c r="K39" s="19"/>
      <c r="L39" s="19"/>
      <c r="M39" s="19"/>
      <c r="N39" s="19"/>
      <c r="O39" s="19"/>
      <c r="P39" s="19"/>
      <c r="Q39" s="39" t="s">
        <v>81</v>
      </c>
      <c r="R39" s="20"/>
      <c r="S39" s="20"/>
      <c r="T39" s="1"/>
      <c r="U39" s="1"/>
      <c r="V39" s="1"/>
      <c r="W39" s="1"/>
      <c r="X39" s="1"/>
      <c r="Y39" s="1"/>
      <c r="Z39" s="1"/>
      <c r="AA39" s="1"/>
      <c r="AB39" s="1"/>
      <c r="AC39" s="1"/>
      <c r="AD39" s="1"/>
      <c r="AE39" s="1"/>
      <c r="AF39" s="1"/>
      <c r="AG39" s="1"/>
      <c r="AH39" s="1"/>
      <c r="AI39" s="1"/>
      <c r="AJ39" s="1"/>
      <c r="AK39" s="1"/>
    </row>
    <row r="40" spans="1:37" ht="12" customHeight="1">
      <c r="A40" s="1"/>
      <c r="B40" s="190" t="s">
        <v>82</v>
      </c>
      <c r="C40" s="184"/>
      <c r="D40" s="191"/>
      <c r="E40" s="16"/>
      <c r="F40" s="18">
        <f>EMPRES!D24</f>
        <v>9</v>
      </c>
      <c r="G40" s="19"/>
      <c r="H40" s="19"/>
      <c r="I40" s="19"/>
      <c r="J40" s="19"/>
      <c r="K40" s="19"/>
      <c r="L40" s="19"/>
      <c r="M40" s="19"/>
      <c r="N40" s="19"/>
      <c r="O40" s="19"/>
      <c r="P40" s="19"/>
      <c r="Q40" s="39" t="s">
        <v>83</v>
      </c>
      <c r="R40" s="20"/>
      <c r="S40" s="20"/>
      <c r="T40" s="1"/>
      <c r="U40" s="1"/>
      <c r="V40" s="1"/>
      <c r="W40" s="1"/>
      <c r="X40" s="1"/>
      <c r="Y40" s="1"/>
      <c r="Z40" s="1"/>
      <c r="AA40" s="1"/>
      <c r="AB40" s="1"/>
      <c r="AC40" s="1"/>
      <c r="AD40" s="1"/>
      <c r="AE40" s="1"/>
      <c r="AF40" s="1"/>
      <c r="AG40" s="1"/>
      <c r="AH40" s="1"/>
      <c r="AI40" s="1"/>
      <c r="AJ40" s="1"/>
      <c r="AK40" s="1"/>
    </row>
    <row r="41" spans="1:37" ht="12" customHeight="1">
      <c r="A41" s="1"/>
      <c r="B41" s="190" t="s">
        <v>84</v>
      </c>
      <c r="C41" s="184"/>
      <c r="D41" s="191"/>
      <c r="E41" s="16"/>
      <c r="F41" s="18">
        <f>CIENT!D28</f>
        <v>10</v>
      </c>
      <c r="G41" s="19"/>
      <c r="H41" s="19"/>
      <c r="I41" s="19"/>
      <c r="J41" s="19"/>
      <c r="K41" s="19"/>
      <c r="L41" s="19"/>
      <c r="M41" s="19"/>
      <c r="N41" s="19"/>
      <c r="O41" s="19"/>
      <c r="P41" s="19"/>
      <c r="Q41" s="39" t="s">
        <v>85</v>
      </c>
      <c r="R41" s="20"/>
      <c r="S41" s="20"/>
      <c r="T41" s="1"/>
      <c r="U41" s="1"/>
      <c r="V41" s="1"/>
      <c r="W41" s="1"/>
      <c r="X41" s="1"/>
      <c r="Y41" s="1"/>
      <c r="Z41" s="1"/>
      <c r="AA41" s="1"/>
      <c r="AB41" s="1"/>
      <c r="AC41" s="1"/>
      <c r="AD41" s="1"/>
      <c r="AE41" s="1"/>
      <c r="AF41" s="1"/>
      <c r="AG41" s="1"/>
      <c r="AH41" s="1"/>
      <c r="AI41" s="1"/>
      <c r="AJ41" s="1"/>
      <c r="AK41" s="1"/>
    </row>
    <row r="42" spans="1:37" ht="12" customHeight="1">
      <c r="A42" s="1"/>
      <c r="B42" s="190" t="s">
        <v>86</v>
      </c>
      <c r="C42" s="184"/>
      <c r="D42" s="191"/>
      <c r="E42" s="41"/>
      <c r="F42" s="18">
        <f>CIENT!G28</f>
        <v>1</v>
      </c>
      <c r="G42" s="19"/>
      <c r="H42" s="19"/>
      <c r="I42" s="19"/>
      <c r="J42" s="19"/>
      <c r="K42" s="19"/>
      <c r="L42" s="19"/>
      <c r="M42" s="19"/>
      <c r="N42" s="19"/>
      <c r="O42" s="19"/>
      <c r="P42" s="19"/>
      <c r="Q42" s="39" t="s">
        <v>87</v>
      </c>
      <c r="R42" s="20"/>
      <c r="S42" s="20"/>
      <c r="T42" s="1"/>
      <c r="U42" s="1"/>
      <c r="V42" s="1"/>
      <c r="W42" s="1"/>
      <c r="X42" s="1"/>
      <c r="Y42" s="1"/>
      <c r="Z42" s="1"/>
      <c r="AA42" s="1"/>
      <c r="AB42" s="1"/>
      <c r="AC42" s="1"/>
      <c r="AD42" s="1"/>
      <c r="AE42" s="1"/>
      <c r="AF42" s="1"/>
      <c r="AG42" s="1"/>
      <c r="AH42" s="1"/>
      <c r="AI42" s="1"/>
      <c r="AJ42" s="1"/>
      <c r="AK42" s="1"/>
    </row>
    <row r="43" spans="1:37" ht="12" customHeight="1">
      <c r="A43" s="1"/>
      <c r="B43" s="192" t="s">
        <v>88</v>
      </c>
      <c r="C43" s="193"/>
      <c r="D43" s="194"/>
      <c r="E43" s="32"/>
      <c r="F43" s="18">
        <f>CIENT!J28</f>
        <v>1</v>
      </c>
      <c r="G43" s="33"/>
      <c r="H43" s="33"/>
      <c r="I43" s="33"/>
      <c r="J43" s="33"/>
      <c r="K43" s="33"/>
      <c r="L43" s="33"/>
      <c r="M43" s="33"/>
      <c r="N43" s="33"/>
      <c r="O43" s="33"/>
      <c r="P43" s="33"/>
      <c r="Q43" s="42" t="s">
        <v>89</v>
      </c>
      <c r="R43" s="20"/>
      <c r="S43" s="20"/>
      <c r="T43" s="1"/>
      <c r="U43" s="1"/>
      <c r="V43" s="1"/>
      <c r="W43" s="1"/>
      <c r="X43" s="1"/>
      <c r="Y43" s="1"/>
      <c r="Z43" s="1"/>
      <c r="AA43" s="1"/>
      <c r="AB43" s="1"/>
      <c r="AC43" s="1"/>
      <c r="AD43" s="1"/>
      <c r="AE43" s="1"/>
      <c r="AF43" s="1"/>
      <c r="AG43" s="1"/>
      <c r="AH43" s="1"/>
      <c r="AI43" s="1"/>
      <c r="AJ43" s="1"/>
      <c r="AK43" s="1"/>
    </row>
    <row r="44" spans="1:37" ht="12" customHeight="1">
      <c r="A44" s="1"/>
      <c r="B44" s="195" t="s">
        <v>90</v>
      </c>
      <c r="C44" s="184"/>
      <c r="D44" s="184"/>
      <c r="E44" s="184"/>
      <c r="F44" s="184"/>
      <c r="G44" s="184"/>
      <c r="H44" s="184"/>
      <c r="I44" s="184"/>
      <c r="J44" s="184"/>
      <c r="K44" s="184"/>
      <c r="L44" s="184"/>
      <c r="M44" s="184"/>
      <c r="N44" s="184"/>
      <c r="O44" s="184"/>
      <c r="P44" s="184"/>
      <c r="Q44" s="185"/>
      <c r="R44" s="20"/>
      <c r="S44" s="20"/>
      <c r="T44" s="1"/>
      <c r="U44" s="1"/>
      <c r="V44" s="1"/>
      <c r="W44" s="1"/>
      <c r="X44" s="1"/>
      <c r="Y44" s="1"/>
      <c r="Z44" s="1"/>
      <c r="AA44" s="1"/>
      <c r="AB44" s="1"/>
      <c r="AC44" s="1"/>
      <c r="AD44" s="1"/>
      <c r="AE44" s="1"/>
      <c r="AF44" s="1"/>
      <c r="AG44" s="1"/>
      <c r="AH44" s="1"/>
      <c r="AI44" s="1"/>
      <c r="AJ44" s="1"/>
      <c r="AK44" s="1"/>
    </row>
    <row r="45" spans="1:37" ht="12" customHeight="1">
      <c r="A45" s="1"/>
      <c r="B45" s="196" t="s">
        <v>91</v>
      </c>
      <c r="C45" s="184"/>
      <c r="D45" s="184"/>
      <c r="E45" s="184"/>
      <c r="F45" s="184"/>
      <c r="G45" s="184"/>
      <c r="H45" s="184"/>
      <c r="I45" s="184"/>
      <c r="J45" s="184"/>
      <c r="K45" s="184"/>
      <c r="L45" s="191"/>
      <c r="M45" s="179">
        <f>'ADM CUOTA'!D19</f>
        <v>0.81866107999999993</v>
      </c>
      <c r="N45" s="180"/>
      <c r="O45" s="180"/>
      <c r="P45" s="180"/>
      <c r="Q45" s="181"/>
      <c r="R45" s="1"/>
      <c r="S45" s="43"/>
      <c r="T45" s="1"/>
      <c r="U45" s="1"/>
      <c r="V45" s="1"/>
      <c r="W45" s="1"/>
      <c r="X45" s="1"/>
      <c r="Y45" s="1"/>
      <c r="Z45" s="1"/>
      <c r="AA45" s="1"/>
      <c r="AB45" s="1"/>
      <c r="AC45" s="1"/>
      <c r="AD45" s="1"/>
      <c r="AE45" s="1"/>
      <c r="AF45" s="1"/>
      <c r="AG45" s="1"/>
      <c r="AH45" s="1"/>
      <c r="AI45" s="1"/>
      <c r="AJ45" s="1"/>
      <c r="AK45" s="1"/>
    </row>
    <row r="46" spans="1:37" ht="16.5" customHeight="1">
      <c r="A46" s="1"/>
      <c r="B46" s="44"/>
      <c r="C46" s="45"/>
      <c r="D46" s="170" t="str">
        <f>D5</f>
        <v>Digite un nombre</v>
      </c>
      <c r="E46" s="46"/>
      <c r="F46" s="47">
        <f>L5</f>
        <v>18</v>
      </c>
      <c r="G46" s="48" t="s">
        <v>92</v>
      </c>
      <c r="H46" s="48"/>
      <c r="I46" s="48"/>
      <c r="J46" s="48"/>
      <c r="K46" s="48"/>
      <c r="L46" s="48"/>
      <c r="M46" s="48"/>
      <c r="N46" s="49"/>
      <c r="O46" s="49"/>
      <c r="P46" s="49"/>
      <c r="Q46" s="50"/>
      <c r="R46" s="1"/>
      <c r="S46" s="1"/>
      <c r="T46" s="1"/>
      <c r="U46" s="1"/>
      <c r="V46" s="1"/>
      <c r="W46" s="1"/>
      <c r="X46" s="1"/>
      <c r="Y46" s="1"/>
      <c r="Z46" s="1"/>
      <c r="AA46" s="1"/>
      <c r="AB46" s="1"/>
      <c r="AC46" s="1"/>
      <c r="AD46" s="1"/>
      <c r="AE46" s="1"/>
      <c r="AF46" s="1"/>
      <c r="AG46" s="1"/>
      <c r="AH46" s="1"/>
      <c r="AI46" s="1"/>
      <c r="AJ46" s="1"/>
      <c r="AK46" s="1"/>
    </row>
    <row r="47" spans="1:37" ht="12.75" customHeight="1">
      <c r="A47" s="1"/>
      <c r="B47" s="26"/>
      <c r="C47" s="36"/>
      <c r="D47" s="16" t="s">
        <v>93</v>
      </c>
      <c r="E47" s="16"/>
      <c r="F47" s="18">
        <f>F4</f>
        <v>1</v>
      </c>
      <c r="G47" s="182" t="str">
        <f>I4</f>
        <v>Muy Sincero</v>
      </c>
      <c r="H47" s="177"/>
      <c r="I47" s="177"/>
      <c r="J47" s="177"/>
      <c r="K47" s="177"/>
      <c r="L47" s="177"/>
      <c r="M47" s="177"/>
      <c r="N47" s="177"/>
      <c r="O47" s="178"/>
      <c r="P47" s="51"/>
      <c r="Q47" s="171">
        <f>Q5</f>
        <v>46326</v>
      </c>
      <c r="R47" s="1"/>
      <c r="S47" s="1"/>
      <c r="T47" s="1"/>
      <c r="U47" s="1"/>
      <c r="V47" s="1"/>
      <c r="W47" s="1"/>
      <c r="X47" s="1"/>
      <c r="Y47" s="1"/>
      <c r="Z47" s="1"/>
      <c r="AA47" s="1"/>
      <c r="AB47" s="1"/>
      <c r="AC47" s="1"/>
      <c r="AD47" s="1"/>
      <c r="AE47" s="1"/>
      <c r="AF47" s="1"/>
      <c r="AG47" s="1"/>
      <c r="AH47" s="1"/>
      <c r="AI47" s="1"/>
      <c r="AJ47" s="1"/>
      <c r="AK47" s="1"/>
    </row>
    <row r="48" spans="1:37" ht="12.75" customHeight="1">
      <c r="A48" s="1"/>
      <c r="B48" s="183" t="s">
        <v>94</v>
      </c>
      <c r="C48" s="184"/>
      <c r="D48" s="184"/>
      <c r="E48" s="184"/>
      <c r="F48" s="184"/>
      <c r="G48" s="184"/>
      <c r="H48" s="184"/>
      <c r="I48" s="184"/>
      <c r="J48" s="184"/>
      <c r="K48" s="184"/>
      <c r="L48" s="184"/>
      <c r="M48" s="184"/>
      <c r="N48" s="184"/>
      <c r="O48" s="184"/>
      <c r="P48" s="184"/>
      <c r="Q48" s="185"/>
      <c r="R48" s="1"/>
      <c r="S48" s="1"/>
      <c r="T48" s="1"/>
      <c r="U48" s="1"/>
      <c r="V48" s="1"/>
      <c r="W48" s="1"/>
      <c r="X48" s="1"/>
      <c r="Y48" s="1"/>
      <c r="Z48" s="1"/>
      <c r="AA48" s="1"/>
      <c r="AB48" s="1"/>
      <c r="AC48" s="1"/>
      <c r="AD48" s="1"/>
      <c r="AE48" s="1"/>
      <c r="AF48" s="1"/>
      <c r="AG48" s="1"/>
      <c r="AH48" s="1"/>
      <c r="AI48" s="1"/>
      <c r="AJ48" s="1"/>
      <c r="AK48" s="1"/>
    </row>
    <row r="49" spans="1:37" ht="12" customHeight="1">
      <c r="A49" s="1"/>
      <c r="B49" s="35"/>
      <c r="C49" s="36"/>
      <c r="D49" s="16"/>
      <c r="E49" s="16"/>
      <c r="F49" s="52"/>
      <c r="G49" s="53"/>
      <c r="H49" s="53"/>
      <c r="I49" s="53"/>
      <c r="J49" s="53"/>
      <c r="K49" s="53"/>
      <c r="L49" s="53"/>
      <c r="M49" s="53"/>
      <c r="N49" s="51"/>
      <c r="O49" s="51"/>
      <c r="P49" s="51"/>
      <c r="Q49" s="54" t="s">
        <v>95</v>
      </c>
      <c r="R49" s="1"/>
      <c r="S49" s="1"/>
      <c r="T49" s="1"/>
      <c r="U49" s="1"/>
      <c r="V49" s="1"/>
      <c r="W49" s="1"/>
      <c r="X49" s="1"/>
      <c r="Y49" s="1"/>
      <c r="Z49" s="1"/>
      <c r="AA49" s="1"/>
      <c r="AB49" s="1"/>
      <c r="AC49" s="1"/>
      <c r="AD49" s="1"/>
      <c r="AE49" s="1"/>
      <c r="AF49" s="1"/>
      <c r="AG49" s="1"/>
      <c r="AH49" s="1"/>
      <c r="AI49" s="1"/>
      <c r="AJ49" s="1"/>
      <c r="AK49" s="1"/>
    </row>
    <row r="50" spans="1:37" ht="12" customHeight="1">
      <c r="A50" s="1"/>
      <c r="B50" s="35"/>
      <c r="C50" s="36"/>
      <c r="D50" s="55" t="str">
        <f>Cálculos!AL35</f>
        <v>ARTISTA</v>
      </c>
      <c r="E50" s="46"/>
      <c r="F50" s="18">
        <f>IF(+Cálculos!BU35&gt;10,10,IF(+Cálculos!BU35&lt;1,1,+Cálculos!BU35))</f>
        <v>1</v>
      </c>
      <c r="G50" s="56"/>
      <c r="H50" s="56"/>
      <c r="I50" s="56"/>
      <c r="J50" s="56"/>
      <c r="K50" s="56"/>
      <c r="L50" s="56"/>
      <c r="M50" s="56"/>
      <c r="N50" s="56"/>
      <c r="O50" s="56"/>
      <c r="P50" s="57"/>
      <c r="Q50" s="186" t="str">
        <f>CONCATENATE("ARTÍSTICA: ",Cálculos!BY35)</f>
        <v>ARTÍSTICA: 1</v>
      </c>
      <c r="R50" s="1"/>
      <c r="S50" s="1"/>
      <c r="T50" s="1"/>
      <c r="U50" s="1"/>
      <c r="V50" s="1"/>
      <c r="W50" s="1"/>
      <c r="X50" s="1"/>
      <c r="Y50" s="1"/>
      <c r="Z50" s="1"/>
      <c r="AA50" s="1"/>
      <c r="AB50" s="1"/>
      <c r="AC50" s="1"/>
      <c r="AD50" s="1"/>
      <c r="AE50" s="1"/>
      <c r="AF50" s="1"/>
      <c r="AG50" s="1"/>
      <c r="AH50" s="1"/>
      <c r="AI50" s="1"/>
      <c r="AJ50" s="1"/>
      <c r="AK50" s="1"/>
    </row>
    <row r="51" spans="1:37" ht="12" customHeight="1">
      <c r="A51" s="1"/>
      <c r="B51" s="35"/>
      <c r="C51" s="36"/>
      <c r="D51" s="58" t="str">
        <f>Cálculos!AL36</f>
        <v>ESCRITOR</v>
      </c>
      <c r="E51" s="32"/>
      <c r="F51" s="18">
        <f>IF(+Cálculos!BU36&gt;10,10,IF(+Cálculos!BU36&lt;1,1,+Cálculos!BU36))</f>
        <v>1</v>
      </c>
      <c r="G51" s="33"/>
      <c r="H51" s="33"/>
      <c r="I51" s="33"/>
      <c r="J51" s="33"/>
      <c r="K51" s="33"/>
      <c r="L51" s="33"/>
      <c r="M51" s="33"/>
      <c r="N51" s="33"/>
      <c r="O51" s="33"/>
      <c r="P51" s="59"/>
      <c r="Q51" s="187"/>
      <c r="R51" s="1"/>
      <c r="S51" s="1"/>
      <c r="T51" s="1"/>
      <c r="U51" s="1"/>
      <c r="V51" s="1"/>
      <c r="W51" s="1"/>
      <c r="X51" s="1"/>
      <c r="Y51" s="1"/>
      <c r="Z51" s="1"/>
      <c r="AA51" s="1"/>
      <c r="AB51" s="1"/>
      <c r="AC51" s="1"/>
      <c r="AD51" s="1"/>
      <c r="AE51" s="1"/>
      <c r="AF51" s="1"/>
      <c r="AG51" s="1"/>
      <c r="AH51" s="1"/>
      <c r="AI51" s="1"/>
      <c r="AJ51" s="1"/>
      <c r="AK51" s="1"/>
    </row>
    <row r="52" spans="1:37" ht="12" customHeight="1">
      <c r="A52" s="1"/>
      <c r="B52" s="35"/>
      <c r="C52" s="36"/>
      <c r="D52" s="55" t="str">
        <f>Cálculos!AL37</f>
        <v>ADM DE VENTAS</v>
      </c>
      <c r="E52" s="46"/>
      <c r="F52" s="18">
        <f>IF(+Cálculos!BU37&gt;10,10,IF(+Cálculos!BU37&lt;1,1,+Cálculos!BU37))</f>
        <v>3.21</v>
      </c>
      <c r="G52" s="56"/>
      <c r="H52" s="56"/>
      <c r="I52" s="56"/>
      <c r="J52" s="56"/>
      <c r="K52" s="56"/>
      <c r="L52" s="56"/>
      <c r="M52" s="56"/>
      <c r="N52" s="56"/>
      <c r="O52" s="56"/>
      <c r="P52" s="57"/>
      <c r="Q52" s="188" t="str">
        <f>CONCATENATE("COMERCIAL-ADMINISTRATIVA: ",Cálculos!BY37)</f>
        <v>COMERCIAL-ADMINISTRATIVA: 3</v>
      </c>
      <c r="R52" s="1"/>
      <c r="S52" s="1"/>
      <c r="T52" s="1"/>
      <c r="U52" s="1"/>
      <c r="V52" s="1"/>
      <c r="W52" s="1"/>
      <c r="X52" s="1"/>
      <c r="Y52" s="1"/>
      <c r="Z52" s="1"/>
      <c r="AA52" s="1"/>
      <c r="AB52" s="1"/>
      <c r="AC52" s="1"/>
      <c r="AD52" s="1"/>
      <c r="AE52" s="1"/>
      <c r="AF52" s="1"/>
      <c r="AG52" s="1"/>
      <c r="AH52" s="1"/>
      <c r="AI52" s="1"/>
      <c r="AJ52" s="1"/>
      <c r="AK52" s="1"/>
    </row>
    <row r="53" spans="1:37" ht="12" customHeight="1">
      <c r="A53" s="1"/>
      <c r="B53" s="35"/>
      <c r="C53" s="36"/>
      <c r="D53" s="60" t="str">
        <f>Cálculos!AL38</f>
        <v>ADM UNIVERSIDAD</v>
      </c>
      <c r="E53" s="16"/>
      <c r="F53" s="18">
        <f>IF(+Cálculos!BU38&gt;10,10,IF(+Cálculos!BU38&lt;1,1,+Cálculos!BU38))</f>
        <v>5.25</v>
      </c>
      <c r="G53" s="19"/>
      <c r="H53" s="19"/>
      <c r="I53" s="19"/>
      <c r="J53" s="19"/>
      <c r="K53" s="19"/>
      <c r="L53" s="19"/>
      <c r="M53" s="19"/>
      <c r="N53" s="19"/>
      <c r="O53" s="19"/>
      <c r="P53" s="61"/>
      <c r="Q53" s="189"/>
      <c r="R53" s="1"/>
      <c r="S53" s="1"/>
      <c r="T53" s="1"/>
      <c r="U53" s="1"/>
      <c r="V53" s="1"/>
      <c r="W53" s="1"/>
      <c r="X53" s="1"/>
      <c r="Y53" s="1"/>
      <c r="Z53" s="1"/>
      <c r="AA53" s="1"/>
      <c r="AB53" s="1"/>
      <c r="AC53" s="1"/>
      <c r="AD53" s="1"/>
      <c r="AE53" s="1"/>
      <c r="AF53" s="1"/>
      <c r="AG53" s="1"/>
      <c r="AH53" s="1"/>
      <c r="AI53" s="1"/>
      <c r="AJ53" s="1"/>
      <c r="AK53" s="1"/>
    </row>
    <row r="54" spans="1:37" ht="12" customHeight="1">
      <c r="A54" s="1"/>
      <c r="B54" s="35"/>
      <c r="C54" s="36"/>
      <c r="D54" s="58" t="str">
        <f>Cálculos!AL39</f>
        <v>EJECUTIVO DE NEGOCIOS</v>
      </c>
      <c r="E54" s="32"/>
      <c r="F54" s="18">
        <f>IF(+Cálculos!BU39&gt;10,10,IF(+Cálculos!BU39&lt;1,1,+Cálculos!BU39))</f>
        <v>1</v>
      </c>
      <c r="G54" s="33"/>
      <c r="H54" s="33"/>
      <c r="I54" s="33"/>
      <c r="J54" s="33"/>
      <c r="K54" s="33"/>
      <c r="L54" s="33"/>
      <c r="M54" s="33"/>
      <c r="N54" s="33"/>
      <c r="O54" s="33"/>
      <c r="P54" s="59"/>
      <c r="Q54" s="187"/>
      <c r="R54" s="1"/>
      <c r="S54" s="1"/>
      <c r="T54" s="1"/>
      <c r="U54" s="1"/>
      <c r="V54" s="1"/>
      <c r="W54" s="1"/>
      <c r="X54" s="1"/>
      <c r="Y54" s="1"/>
      <c r="Z54" s="1"/>
      <c r="AA54" s="1"/>
      <c r="AB54" s="1"/>
      <c r="AC54" s="1"/>
      <c r="AD54" s="1"/>
      <c r="AE54" s="1"/>
      <c r="AF54" s="1"/>
      <c r="AG54" s="1"/>
      <c r="AH54" s="1"/>
      <c r="AI54" s="1"/>
      <c r="AJ54" s="1"/>
      <c r="AK54" s="1"/>
    </row>
    <row r="55" spans="1:37" ht="12" customHeight="1">
      <c r="A55" s="1"/>
      <c r="B55" s="35"/>
      <c r="C55" s="36"/>
      <c r="D55" s="55" t="str">
        <f>Cálculos!AL40</f>
        <v>JUGADOR DE RUGBY</v>
      </c>
      <c r="E55" s="46"/>
      <c r="F55" s="18">
        <f>IF(+Cálculos!BU40&gt;10,10,IF(+Cálculos!BU40&lt;1,1,+Cálculos!BU40))</f>
        <v>1</v>
      </c>
      <c r="G55" s="56"/>
      <c r="H55" s="56"/>
      <c r="I55" s="56"/>
      <c r="J55" s="56"/>
      <c r="K55" s="56"/>
      <c r="L55" s="56"/>
      <c r="M55" s="56"/>
      <c r="N55" s="56"/>
      <c r="O55" s="56"/>
      <c r="P55" s="57"/>
      <c r="Q55" s="186" t="str">
        <f>CONCATENATE("DEPORTIVA: ",Cálculos!BY40)</f>
        <v>DEPORTIVA: 1</v>
      </c>
      <c r="R55" s="1"/>
      <c r="S55" s="1"/>
      <c r="T55" s="1"/>
      <c r="U55" s="1"/>
      <c r="V55" s="1"/>
      <c r="W55" s="1"/>
      <c r="X55" s="1"/>
      <c r="Y55" s="1"/>
      <c r="Z55" s="1"/>
      <c r="AA55" s="1"/>
      <c r="AB55" s="1"/>
      <c r="AC55" s="1"/>
      <c r="AD55" s="1"/>
      <c r="AE55" s="1"/>
      <c r="AF55" s="1"/>
      <c r="AG55" s="1"/>
      <c r="AH55" s="1"/>
      <c r="AI55" s="1"/>
      <c r="AJ55" s="1"/>
      <c r="AK55" s="1"/>
    </row>
    <row r="56" spans="1:37" ht="12" customHeight="1">
      <c r="A56" s="1"/>
      <c r="B56" s="35"/>
      <c r="C56" s="36"/>
      <c r="D56" s="60" t="str">
        <f>Cálculos!AL41</f>
        <v>NADADOR</v>
      </c>
      <c r="E56" s="16"/>
      <c r="F56" s="18">
        <f>IF(+Cálculos!BU41&gt;10,10,IF(+Cálculos!BU41&lt;1,1,+Cálculos!BU41))</f>
        <v>1</v>
      </c>
      <c r="G56" s="19"/>
      <c r="H56" s="19"/>
      <c r="I56" s="19"/>
      <c r="J56" s="19"/>
      <c r="K56" s="19"/>
      <c r="L56" s="19"/>
      <c r="M56" s="19"/>
      <c r="N56" s="19"/>
      <c r="O56" s="19"/>
      <c r="P56" s="61"/>
      <c r="Q56" s="189"/>
      <c r="R56" s="1"/>
      <c r="S56" s="1"/>
      <c r="T56" s="1"/>
      <c r="U56" s="1"/>
      <c r="V56" s="1"/>
      <c r="W56" s="1"/>
      <c r="X56" s="1"/>
      <c r="Y56" s="1"/>
      <c r="Z56" s="1"/>
      <c r="AA56" s="1"/>
      <c r="AB56" s="1"/>
      <c r="AC56" s="1"/>
      <c r="AD56" s="1"/>
      <c r="AE56" s="1"/>
      <c r="AF56" s="1"/>
      <c r="AG56" s="1"/>
      <c r="AH56" s="1"/>
      <c r="AI56" s="1"/>
      <c r="AJ56" s="1"/>
      <c r="AK56" s="1"/>
    </row>
    <row r="57" spans="1:37" ht="12" customHeight="1">
      <c r="A57" s="1"/>
      <c r="B57" s="35"/>
      <c r="C57" s="36"/>
      <c r="D57" s="58" t="str">
        <f>Cálculos!AL42</f>
        <v>NADADORA</v>
      </c>
      <c r="E57" s="32"/>
      <c r="F57" s="18">
        <f>IF(+Cálculos!BU42&gt;10,10,IF(+Cálculos!BU42&lt;1,1,+Cálculos!BU42))</f>
        <v>1</v>
      </c>
      <c r="G57" s="33"/>
      <c r="H57" s="33"/>
      <c r="I57" s="33"/>
      <c r="J57" s="33"/>
      <c r="K57" s="33"/>
      <c r="L57" s="33"/>
      <c r="M57" s="33"/>
      <c r="N57" s="33"/>
      <c r="O57" s="33"/>
      <c r="P57" s="59"/>
      <c r="Q57" s="187"/>
      <c r="R57" s="1"/>
      <c r="S57" s="1"/>
      <c r="T57" s="1"/>
      <c r="U57" s="1"/>
      <c r="V57" s="1"/>
      <c r="W57" s="1"/>
      <c r="X57" s="1"/>
      <c r="Y57" s="1"/>
      <c r="Z57" s="1"/>
      <c r="AA57" s="1"/>
      <c r="AB57" s="1"/>
      <c r="AC57" s="1"/>
      <c r="AD57" s="1"/>
      <c r="AE57" s="1"/>
      <c r="AF57" s="1"/>
      <c r="AG57" s="1"/>
      <c r="AH57" s="1"/>
      <c r="AI57" s="1"/>
      <c r="AJ57" s="1"/>
      <c r="AK57" s="1"/>
    </row>
    <row r="58" spans="1:37" ht="12" customHeight="1">
      <c r="A58" s="1"/>
      <c r="B58" s="35"/>
      <c r="C58" s="36"/>
      <c r="D58" s="55" t="str">
        <f>Cálculos!AL43</f>
        <v>CONSEJERA ESCOLAR</v>
      </c>
      <c r="E58" s="46"/>
      <c r="F58" s="18">
        <f>IF(+Cálculos!BU43&gt;10,10,IF(+Cálculos!BU43&lt;1,1,+Cálculos!BU43))</f>
        <v>8.23</v>
      </c>
      <c r="G58" s="56"/>
      <c r="H58" s="56"/>
      <c r="I58" s="56"/>
      <c r="J58" s="56"/>
      <c r="K58" s="56"/>
      <c r="L58" s="56"/>
      <c r="M58" s="56"/>
      <c r="N58" s="56"/>
      <c r="O58" s="56"/>
      <c r="P58" s="57"/>
      <c r="Q58" s="186" t="str">
        <f>CONCATENATE("SOCIO HUMANA: ",Cálculos!BY43)</f>
        <v>SOCIO HUMANA: 7</v>
      </c>
      <c r="R58" s="1"/>
      <c r="S58" s="1"/>
      <c r="T58" s="1"/>
      <c r="U58" s="1"/>
      <c r="V58" s="1"/>
      <c r="W58" s="1"/>
      <c r="X58" s="1"/>
      <c r="Y58" s="1"/>
      <c r="Z58" s="1"/>
      <c r="AA58" s="1"/>
      <c r="AB58" s="1"/>
      <c r="AC58" s="1"/>
      <c r="AD58" s="1"/>
      <c r="AE58" s="1"/>
      <c r="AF58" s="1"/>
      <c r="AG58" s="1"/>
      <c r="AH58" s="1"/>
      <c r="AI58" s="1"/>
      <c r="AJ58" s="1"/>
      <c r="AK58" s="1"/>
    </row>
    <row r="59" spans="1:37" ht="12" customHeight="1">
      <c r="A59" s="1"/>
      <c r="B59" s="35"/>
      <c r="C59" s="36"/>
      <c r="D59" s="60" t="str">
        <f>Cálculos!AL44</f>
        <v>CONSEJERO ESCOLAR</v>
      </c>
      <c r="E59" s="16"/>
      <c r="F59" s="18">
        <f>IF(+Cálculos!BU44&gt;10,10,IF(+Cálculos!BU44&lt;1,1,+Cálculos!BU44))</f>
        <v>7.23</v>
      </c>
      <c r="G59" s="19"/>
      <c r="H59" s="19"/>
      <c r="I59" s="19"/>
      <c r="J59" s="19"/>
      <c r="K59" s="19"/>
      <c r="L59" s="19"/>
      <c r="M59" s="19"/>
      <c r="N59" s="19"/>
      <c r="O59" s="19"/>
      <c r="P59" s="61"/>
      <c r="Q59" s="189"/>
      <c r="R59" s="1"/>
      <c r="S59" s="1"/>
      <c r="T59" s="1"/>
      <c r="U59" s="1"/>
      <c r="V59" s="1"/>
      <c r="W59" s="1"/>
      <c r="X59" s="1"/>
      <c r="Y59" s="1"/>
      <c r="Z59" s="1"/>
      <c r="AA59" s="1"/>
      <c r="AB59" s="1"/>
      <c r="AC59" s="1"/>
      <c r="AD59" s="1"/>
      <c r="AE59" s="1"/>
      <c r="AF59" s="1"/>
      <c r="AG59" s="1"/>
      <c r="AH59" s="1"/>
      <c r="AI59" s="1"/>
      <c r="AJ59" s="1"/>
      <c r="AK59" s="1"/>
    </row>
    <row r="60" spans="1:37" ht="12" customHeight="1">
      <c r="A60" s="1"/>
      <c r="B60" s="35"/>
      <c r="C60" s="36"/>
      <c r="D60" s="60" t="str">
        <f>Cálculos!AL45</f>
        <v>CONSULTOR DE EMPLEO (FEM)</v>
      </c>
      <c r="E60" s="16"/>
      <c r="F60" s="18">
        <f>IF(+Cálculos!BU45&gt;10,10,IF(+Cálculos!BU45&lt;1,1,+Cálculos!BU45))</f>
        <v>10</v>
      </c>
      <c r="G60" s="19"/>
      <c r="H60" s="19"/>
      <c r="I60" s="19"/>
      <c r="J60" s="19"/>
      <c r="K60" s="19"/>
      <c r="L60" s="19"/>
      <c r="M60" s="19"/>
      <c r="N60" s="19"/>
      <c r="O60" s="19"/>
      <c r="P60" s="61"/>
      <c r="Q60" s="189"/>
      <c r="R60" s="1"/>
      <c r="S60" s="1"/>
      <c r="T60" s="1"/>
      <c r="U60" s="1"/>
      <c r="V60" s="1"/>
      <c r="W60" s="1"/>
      <c r="X60" s="1"/>
      <c r="Y60" s="1"/>
      <c r="Z60" s="1"/>
      <c r="AA60" s="1"/>
      <c r="AB60" s="1"/>
      <c r="AC60" s="1"/>
      <c r="AD60" s="1"/>
      <c r="AE60" s="1"/>
      <c r="AF60" s="1"/>
      <c r="AG60" s="1"/>
      <c r="AH60" s="1"/>
      <c r="AI60" s="1"/>
      <c r="AJ60" s="1"/>
      <c r="AK60" s="1"/>
    </row>
    <row r="61" spans="1:37" ht="12" customHeight="1">
      <c r="A61" s="1"/>
      <c r="B61" s="35"/>
      <c r="C61" s="36"/>
      <c r="D61" s="60" t="str">
        <f>Cálculos!AL46</f>
        <v>CONSULTOR DE EMPLEO (MASC)</v>
      </c>
      <c r="E61" s="16"/>
      <c r="F61" s="18">
        <f>IF(+Cálculos!BU46&gt;10,10,IF(+Cálculos!BU46&lt;1,1,+Cálculos!BU46))</f>
        <v>5.83</v>
      </c>
      <c r="G61" s="19"/>
      <c r="H61" s="19"/>
      <c r="I61" s="19"/>
      <c r="J61" s="19"/>
      <c r="K61" s="19"/>
      <c r="L61" s="19"/>
      <c r="M61" s="19"/>
      <c r="N61" s="19"/>
      <c r="O61" s="19"/>
      <c r="P61" s="61"/>
      <c r="Q61" s="189"/>
      <c r="R61" s="1"/>
      <c r="S61" s="1"/>
      <c r="T61" s="1"/>
      <c r="U61" s="1"/>
      <c r="V61" s="1"/>
      <c r="W61" s="1"/>
      <c r="X61" s="1"/>
      <c r="Y61" s="1"/>
      <c r="Z61" s="1"/>
      <c r="AA61" s="1"/>
      <c r="AB61" s="1"/>
      <c r="AC61" s="1"/>
      <c r="AD61" s="1"/>
      <c r="AE61" s="1"/>
      <c r="AF61" s="1"/>
      <c r="AG61" s="1"/>
      <c r="AH61" s="1"/>
      <c r="AI61" s="1"/>
      <c r="AJ61" s="1"/>
      <c r="AK61" s="1"/>
    </row>
    <row r="62" spans="1:37" ht="12" customHeight="1">
      <c r="A62" s="1"/>
      <c r="B62" s="35"/>
      <c r="C62" s="36"/>
      <c r="D62" s="60" t="str">
        <f>Cálculos!AL47</f>
        <v>ENFERMERA</v>
      </c>
      <c r="E62" s="16"/>
      <c r="F62" s="18">
        <f>IF(+Cálculos!BU47&gt;10,10,IF(+Cálculos!BU47&lt;1,1,+Cálculos!BU47))</f>
        <v>6.67</v>
      </c>
      <c r="G62" s="19"/>
      <c r="H62" s="19"/>
      <c r="I62" s="19"/>
      <c r="J62" s="19"/>
      <c r="K62" s="19"/>
      <c r="L62" s="19"/>
      <c r="M62" s="19"/>
      <c r="N62" s="19"/>
      <c r="O62" s="19"/>
      <c r="P62" s="61"/>
      <c r="Q62" s="189"/>
      <c r="R62" s="1"/>
      <c r="S62" s="1"/>
      <c r="T62" s="1"/>
      <c r="U62" s="1"/>
      <c r="V62" s="1"/>
      <c r="W62" s="1"/>
      <c r="X62" s="1"/>
      <c r="Y62" s="1"/>
      <c r="Z62" s="1"/>
      <c r="AA62" s="1"/>
      <c r="AB62" s="1"/>
      <c r="AC62" s="1"/>
      <c r="AD62" s="1"/>
      <c r="AE62" s="1"/>
      <c r="AF62" s="1"/>
      <c r="AG62" s="1"/>
      <c r="AH62" s="1"/>
      <c r="AI62" s="1"/>
      <c r="AJ62" s="1"/>
      <c r="AK62" s="1"/>
    </row>
    <row r="63" spans="1:37" ht="12" customHeight="1">
      <c r="A63" s="1"/>
      <c r="B63" s="35"/>
      <c r="C63" s="36"/>
      <c r="D63" s="60" t="str">
        <f>Cálculos!AL48</f>
        <v>MAESTRA DE PRIMARIA</v>
      </c>
      <c r="E63" s="16"/>
      <c r="F63" s="18">
        <f>IF(+Cálculos!BU48&gt;10,10,IF(+Cálculos!BU48&lt;1,1,+Cálculos!BU48))</f>
        <v>10</v>
      </c>
      <c r="G63" s="19"/>
      <c r="H63" s="19"/>
      <c r="I63" s="19"/>
      <c r="J63" s="19"/>
      <c r="K63" s="19"/>
      <c r="L63" s="19"/>
      <c r="M63" s="19"/>
      <c r="N63" s="19"/>
      <c r="O63" s="19"/>
      <c r="P63" s="61"/>
      <c r="Q63" s="189"/>
      <c r="R63" s="1"/>
      <c r="S63" s="1"/>
      <c r="T63" s="1"/>
      <c r="U63" s="1"/>
      <c r="V63" s="1"/>
      <c r="W63" s="1"/>
      <c r="X63" s="1"/>
      <c r="Y63" s="1"/>
      <c r="Z63" s="1"/>
      <c r="AA63" s="1"/>
      <c r="AB63" s="1"/>
      <c r="AC63" s="1"/>
      <c r="AD63" s="1"/>
      <c r="AE63" s="1"/>
      <c r="AF63" s="1"/>
      <c r="AG63" s="1"/>
      <c r="AH63" s="1"/>
      <c r="AI63" s="1"/>
      <c r="AJ63" s="1"/>
      <c r="AK63" s="1"/>
    </row>
    <row r="64" spans="1:37" ht="12" customHeight="1">
      <c r="A64" s="1"/>
      <c r="B64" s="35"/>
      <c r="C64" s="36"/>
      <c r="D64" s="60" t="str">
        <f>Cálculos!AL49</f>
        <v>MAESTRO DE PRIMARIA</v>
      </c>
      <c r="E64" s="16"/>
      <c r="F64" s="18">
        <f>IF(+Cálculos!BU49&gt;10,10,IF(+Cálculos!BU49&lt;1,1,+Cálculos!BU49))</f>
        <v>2.2799999999999998</v>
      </c>
      <c r="G64" s="19"/>
      <c r="H64" s="19"/>
      <c r="I64" s="19"/>
      <c r="J64" s="19"/>
      <c r="K64" s="19"/>
      <c r="L64" s="19"/>
      <c r="M64" s="19"/>
      <c r="N64" s="19"/>
      <c r="O64" s="19"/>
      <c r="P64" s="61"/>
      <c r="Q64" s="189"/>
      <c r="R64" s="1"/>
      <c r="S64" s="1"/>
      <c r="T64" s="1"/>
      <c r="U64" s="1"/>
      <c r="V64" s="1"/>
      <c r="W64" s="1"/>
      <c r="X64" s="1"/>
      <c r="Y64" s="1"/>
      <c r="Z64" s="1"/>
      <c r="AA64" s="1"/>
      <c r="AB64" s="1"/>
      <c r="AC64" s="1"/>
      <c r="AD64" s="1"/>
      <c r="AE64" s="1"/>
      <c r="AF64" s="1"/>
      <c r="AG64" s="1"/>
      <c r="AH64" s="1"/>
      <c r="AI64" s="1"/>
      <c r="AJ64" s="1"/>
      <c r="AK64" s="1"/>
    </row>
    <row r="65" spans="1:37" ht="12" customHeight="1">
      <c r="A65" s="1"/>
      <c r="B65" s="35"/>
      <c r="C65" s="36"/>
      <c r="D65" s="60" t="str">
        <f>Cálculos!AL50</f>
        <v>MEDICO</v>
      </c>
      <c r="E65" s="16"/>
      <c r="F65" s="18">
        <f>IF(+Cálculos!BU50&gt;10,10,IF(+Cálculos!BU50&lt;1,1,+Cálculos!BU50))</f>
        <v>3.7299999999999995</v>
      </c>
      <c r="G65" s="19"/>
      <c r="H65" s="19"/>
      <c r="I65" s="19"/>
      <c r="J65" s="19"/>
      <c r="K65" s="19"/>
      <c r="L65" s="19"/>
      <c r="M65" s="19"/>
      <c r="N65" s="19"/>
      <c r="O65" s="19"/>
      <c r="P65" s="61"/>
      <c r="Q65" s="189"/>
      <c r="R65" s="1"/>
      <c r="S65" s="1"/>
      <c r="T65" s="1"/>
      <c r="U65" s="1"/>
      <c r="V65" s="1"/>
      <c r="W65" s="1"/>
      <c r="X65" s="1"/>
      <c r="Y65" s="1"/>
      <c r="Z65" s="1"/>
      <c r="AA65" s="1"/>
      <c r="AB65" s="1"/>
      <c r="AC65" s="1"/>
      <c r="AD65" s="1"/>
      <c r="AE65" s="1"/>
      <c r="AF65" s="1"/>
      <c r="AG65" s="1"/>
      <c r="AH65" s="1"/>
      <c r="AI65" s="1"/>
      <c r="AJ65" s="1"/>
      <c r="AK65" s="1"/>
    </row>
    <row r="66" spans="1:37" ht="12" customHeight="1">
      <c r="A66" s="1"/>
      <c r="B66" s="35"/>
      <c r="C66" s="36"/>
      <c r="D66" s="60" t="str">
        <f>Cálculos!AL51</f>
        <v>PROFESOR BACHILLERATO</v>
      </c>
      <c r="E66" s="16"/>
      <c r="F66" s="18">
        <f>IF(+Cálculos!BU51&gt;10,10,IF(+Cálculos!BU51&lt;1,1,+Cálculos!BU51))</f>
        <v>10</v>
      </c>
      <c r="G66" s="19"/>
      <c r="H66" s="19"/>
      <c r="I66" s="19"/>
      <c r="J66" s="19"/>
      <c r="K66" s="19"/>
      <c r="L66" s="19"/>
      <c r="M66" s="19"/>
      <c r="N66" s="19"/>
      <c r="O66" s="19"/>
      <c r="P66" s="61"/>
      <c r="Q66" s="189"/>
      <c r="R66" s="1"/>
      <c r="S66" s="1"/>
      <c r="T66" s="1"/>
      <c r="U66" s="1"/>
      <c r="V66" s="1"/>
      <c r="W66" s="1"/>
      <c r="X66" s="1"/>
      <c r="Y66" s="1"/>
      <c r="Z66" s="1"/>
      <c r="AA66" s="1"/>
      <c r="AB66" s="1"/>
      <c r="AC66" s="1"/>
      <c r="AD66" s="1"/>
      <c r="AE66" s="1"/>
      <c r="AF66" s="1"/>
      <c r="AG66" s="1"/>
      <c r="AH66" s="1"/>
      <c r="AI66" s="1"/>
      <c r="AJ66" s="1"/>
      <c r="AK66" s="1"/>
    </row>
    <row r="67" spans="1:37" ht="12" customHeight="1">
      <c r="A67" s="1"/>
      <c r="B67" s="35"/>
      <c r="C67" s="36"/>
      <c r="D67" s="60" t="str">
        <f>Cálculos!AL52</f>
        <v>PROFESOR BTO SUP</v>
      </c>
      <c r="E67" s="16"/>
      <c r="F67" s="18">
        <f>IF(+Cálculos!BU52&gt;10,10,IF(+Cálculos!BU52&lt;1,1,+Cálculos!BU52))</f>
        <v>10</v>
      </c>
      <c r="G67" s="19"/>
      <c r="H67" s="19"/>
      <c r="I67" s="19"/>
      <c r="J67" s="19"/>
      <c r="K67" s="19"/>
      <c r="L67" s="19"/>
      <c r="M67" s="19"/>
      <c r="N67" s="19"/>
      <c r="O67" s="19"/>
      <c r="P67" s="61"/>
      <c r="Q67" s="189"/>
      <c r="R67" s="1"/>
      <c r="S67" s="1"/>
      <c r="T67" s="1"/>
      <c r="U67" s="1"/>
      <c r="V67" s="1"/>
      <c r="W67" s="1"/>
      <c r="X67" s="1"/>
      <c r="Y67" s="1"/>
      <c r="Z67" s="1"/>
      <c r="AA67" s="1"/>
      <c r="AB67" s="1"/>
      <c r="AC67" s="1"/>
      <c r="AD67" s="1"/>
      <c r="AE67" s="1"/>
      <c r="AF67" s="1"/>
      <c r="AG67" s="1"/>
      <c r="AH67" s="1"/>
      <c r="AI67" s="1"/>
      <c r="AJ67" s="1"/>
      <c r="AK67" s="1"/>
    </row>
    <row r="68" spans="1:37" ht="12" customHeight="1">
      <c r="A68" s="1"/>
      <c r="B68" s="35"/>
      <c r="C68" s="36"/>
      <c r="D68" s="60" t="str">
        <f>Cálculos!AL53</f>
        <v>PROFESOR UNIV</v>
      </c>
      <c r="E68" s="16"/>
      <c r="F68" s="18">
        <f>IF(+Cálculos!BU53&gt;10,10,IF(+Cálculos!BU53&lt;1,1,+Cálculos!BU53))</f>
        <v>7.19</v>
      </c>
      <c r="G68" s="19"/>
      <c r="H68" s="19"/>
      <c r="I68" s="19"/>
      <c r="J68" s="19"/>
      <c r="K68" s="19"/>
      <c r="L68" s="19"/>
      <c r="M68" s="19"/>
      <c r="N68" s="19"/>
      <c r="O68" s="19"/>
      <c r="P68" s="61"/>
      <c r="Q68" s="189"/>
      <c r="R68" s="1"/>
      <c r="S68" s="1"/>
      <c r="T68" s="1"/>
      <c r="U68" s="1"/>
      <c r="V68" s="1"/>
      <c r="W68" s="1"/>
      <c r="X68" s="1"/>
      <c r="Y68" s="1"/>
      <c r="Z68" s="1"/>
      <c r="AA68" s="1"/>
      <c r="AB68" s="1"/>
      <c r="AC68" s="1"/>
      <c r="AD68" s="1"/>
      <c r="AE68" s="1"/>
      <c r="AF68" s="1"/>
      <c r="AG68" s="1"/>
      <c r="AH68" s="1"/>
      <c r="AI68" s="1"/>
      <c r="AJ68" s="1"/>
      <c r="AK68" s="1"/>
    </row>
    <row r="69" spans="1:37" ht="12" customHeight="1">
      <c r="A69" s="1"/>
      <c r="B69" s="35"/>
      <c r="C69" s="36"/>
      <c r="D69" s="60" t="str">
        <f>Cálculos!AL54</f>
        <v>PROFESORA BACHILLERATO</v>
      </c>
      <c r="E69" s="16"/>
      <c r="F69" s="18">
        <f>IF(+Cálculos!BU54&gt;10,10,IF(+Cálculos!BU54&lt;1,1,+Cálculos!BU54))</f>
        <v>10</v>
      </c>
      <c r="G69" s="19"/>
      <c r="H69" s="19"/>
      <c r="I69" s="19"/>
      <c r="J69" s="19"/>
      <c r="K69" s="19"/>
      <c r="L69" s="19"/>
      <c r="M69" s="19"/>
      <c r="N69" s="19"/>
      <c r="O69" s="19"/>
      <c r="P69" s="61"/>
      <c r="Q69" s="189"/>
      <c r="R69" s="1"/>
      <c r="S69" s="1"/>
      <c r="T69" s="1"/>
      <c r="U69" s="1"/>
      <c r="V69" s="1"/>
      <c r="W69" s="1"/>
      <c r="X69" s="1"/>
      <c r="Y69" s="1"/>
      <c r="Z69" s="1"/>
      <c r="AA69" s="1"/>
      <c r="AB69" s="1"/>
      <c r="AC69" s="1"/>
      <c r="AD69" s="1"/>
      <c r="AE69" s="1"/>
      <c r="AF69" s="1"/>
      <c r="AG69" s="1"/>
      <c r="AH69" s="1"/>
      <c r="AI69" s="1"/>
      <c r="AJ69" s="1"/>
      <c r="AK69" s="1"/>
    </row>
    <row r="70" spans="1:37" ht="12" customHeight="1">
      <c r="A70" s="1"/>
      <c r="B70" s="35"/>
      <c r="C70" s="36"/>
      <c r="D70" s="60" t="str">
        <f>Cálculos!AL55</f>
        <v>PROFESORA BTO SUP</v>
      </c>
      <c r="E70" s="16"/>
      <c r="F70" s="18">
        <f>IF(+Cálculos!BU55&gt;10,10,IF(+Cálculos!BU55&lt;1,1,+Cálculos!BU55))</f>
        <v>10</v>
      </c>
      <c r="G70" s="19"/>
      <c r="H70" s="19"/>
      <c r="I70" s="19"/>
      <c r="J70" s="19"/>
      <c r="K70" s="19"/>
      <c r="L70" s="19"/>
      <c r="M70" s="19"/>
      <c r="N70" s="19"/>
      <c r="O70" s="19"/>
      <c r="P70" s="61"/>
      <c r="Q70" s="189"/>
      <c r="R70" s="1"/>
      <c r="S70" s="1"/>
      <c r="T70" s="1"/>
      <c r="U70" s="1"/>
      <c r="V70" s="1"/>
      <c r="W70" s="1"/>
      <c r="X70" s="1"/>
      <c r="Y70" s="1"/>
      <c r="Z70" s="1"/>
      <c r="AA70" s="1"/>
      <c r="AB70" s="1"/>
      <c r="AC70" s="1"/>
      <c r="AD70" s="1"/>
      <c r="AE70" s="1"/>
      <c r="AF70" s="1"/>
      <c r="AG70" s="1"/>
      <c r="AH70" s="1"/>
      <c r="AI70" s="1"/>
      <c r="AJ70" s="1"/>
      <c r="AK70" s="1"/>
    </row>
    <row r="71" spans="1:37" ht="12" customHeight="1">
      <c r="A71" s="1"/>
      <c r="B71" s="35"/>
      <c r="C71" s="36"/>
      <c r="D71" s="60" t="str">
        <f>Cálculos!AL56</f>
        <v>PSICOLOGO</v>
      </c>
      <c r="E71" s="16"/>
      <c r="F71" s="18">
        <f>IF(+Cálculos!BU56&gt;10,10,IF(+Cálculos!BU56&lt;1,1,+Cálculos!BU56))</f>
        <v>7.5799999999999992</v>
      </c>
      <c r="G71" s="19"/>
      <c r="H71" s="19"/>
      <c r="I71" s="19"/>
      <c r="J71" s="19"/>
      <c r="K71" s="19"/>
      <c r="L71" s="19"/>
      <c r="M71" s="19"/>
      <c r="N71" s="19"/>
      <c r="O71" s="19"/>
      <c r="P71" s="61"/>
      <c r="Q71" s="189"/>
      <c r="R71" s="1"/>
      <c r="S71" s="1"/>
      <c r="T71" s="1"/>
      <c r="U71" s="1"/>
      <c r="V71" s="1"/>
      <c r="W71" s="1"/>
      <c r="X71" s="1"/>
      <c r="Y71" s="1"/>
      <c r="Z71" s="1"/>
      <c r="AA71" s="1"/>
      <c r="AB71" s="1"/>
      <c r="AC71" s="1"/>
      <c r="AD71" s="1"/>
      <c r="AE71" s="1"/>
      <c r="AF71" s="1"/>
      <c r="AG71" s="1"/>
      <c r="AH71" s="1"/>
      <c r="AI71" s="1"/>
      <c r="AJ71" s="1"/>
      <c r="AK71" s="1"/>
    </row>
    <row r="72" spans="1:37" ht="12" customHeight="1">
      <c r="A72" s="1"/>
      <c r="B72" s="35"/>
      <c r="C72" s="36"/>
      <c r="D72" s="60" t="str">
        <f>Cálculos!AL57</f>
        <v>SUPERINT ESCOLAR</v>
      </c>
      <c r="E72" s="16"/>
      <c r="F72" s="18">
        <f>IF(+Cálculos!BU57&gt;10,10,IF(+Cálculos!BU57&lt;1,1,+Cálculos!BU57))</f>
        <v>1</v>
      </c>
      <c r="G72" s="19"/>
      <c r="H72" s="19"/>
      <c r="I72" s="19"/>
      <c r="J72" s="19"/>
      <c r="K72" s="19"/>
      <c r="L72" s="19"/>
      <c r="M72" s="19"/>
      <c r="N72" s="19"/>
      <c r="O72" s="19"/>
      <c r="P72" s="61"/>
      <c r="Q72" s="189"/>
      <c r="R72" s="1"/>
      <c r="S72" s="1"/>
      <c r="T72" s="1"/>
      <c r="U72" s="1"/>
      <c r="V72" s="1"/>
      <c r="W72" s="1"/>
      <c r="X72" s="1"/>
      <c r="Y72" s="1"/>
      <c r="Z72" s="1"/>
      <c r="AA72" s="1"/>
      <c r="AB72" s="1"/>
      <c r="AC72" s="1"/>
      <c r="AD72" s="1"/>
      <c r="AE72" s="1"/>
      <c r="AF72" s="1"/>
      <c r="AG72" s="1"/>
      <c r="AH72" s="1"/>
      <c r="AI72" s="1"/>
      <c r="AJ72" s="1"/>
      <c r="AK72" s="1"/>
    </row>
    <row r="73" spans="1:37" ht="12" customHeight="1">
      <c r="A73" s="1"/>
      <c r="B73" s="35"/>
      <c r="C73" s="36"/>
      <c r="D73" s="60" t="str">
        <f>Cálculos!AL58</f>
        <v>TECNICO PSIQUIATRICO</v>
      </c>
      <c r="E73" s="16"/>
      <c r="F73" s="18">
        <f>IF(+Cálculos!BU58&gt;10,10,IF(+Cálculos!BU58&lt;1,1,+Cálculos!BU58))</f>
        <v>1.73</v>
      </c>
      <c r="G73" s="19"/>
      <c r="H73" s="19"/>
      <c r="I73" s="19"/>
      <c r="J73" s="19"/>
      <c r="K73" s="19"/>
      <c r="L73" s="19"/>
      <c r="M73" s="19"/>
      <c r="N73" s="19"/>
      <c r="O73" s="19"/>
      <c r="P73" s="61"/>
      <c r="Q73" s="189"/>
      <c r="R73" s="1"/>
      <c r="S73" s="1"/>
      <c r="T73" s="1"/>
      <c r="U73" s="1"/>
      <c r="V73" s="1"/>
      <c r="W73" s="1"/>
      <c r="X73" s="1"/>
      <c r="Y73" s="1"/>
      <c r="Z73" s="1"/>
      <c r="AA73" s="1"/>
      <c r="AB73" s="1"/>
      <c r="AC73" s="1"/>
      <c r="AD73" s="1"/>
      <c r="AE73" s="1"/>
      <c r="AF73" s="1"/>
      <c r="AG73" s="1"/>
      <c r="AH73" s="1"/>
      <c r="AI73" s="1"/>
      <c r="AJ73" s="1"/>
      <c r="AK73" s="1"/>
    </row>
    <row r="74" spans="1:37" ht="12" customHeight="1">
      <c r="A74" s="1"/>
      <c r="B74" s="35"/>
      <c r="C74" s="36"/>
      <c r="D74" s="60" t="str">
        <f>Cálculos!AL59</f>
        <v>TRABAJADOR SOCIAL</v>
      </c>
      <c r="E74" s="16"/>
      <c r="F74" s="18">
        <f>IF(+Cálculos!BU59&gt;10,10,IF(+Cálculos!BU59&lt;1,1,+Cálculos!BU59))</f>
        <v>6.71</v>
      </c>
      <c r="G74" s="19"/>
      <c r="H74" s="19"/>
      <c r="I74" s="19"/>
      <c r="J74" s="19"/>
      <c r="K74" s="19"/>
      <c r="L74" s="19"/>
      <c r="M74" s="19"/>
      <c r="N74" s="19"/>
      <c r="O74" s="19"/>
      <c r="P74" s="61"/>
      <c r="Q74" s="189"/>
      <c r="R74" s="1"/>
      <c r="S74" s="1"/>
      <c r="T74" s="1"/>
      <c r="U74" s="1"/>
      <c r="V74" s="1"/>
      <c r="W74" s="1"/>
      <c r="X74" s="1"/>
      <c r="Y74" s="1"/>
      <c r="Z74" s="1"/>
      <c r="AA74" s="1"/>
      <c r="AB74" s="1"/>
      <c r="AC74" s="1"/>
      <c r="AD74" s="1"/>
      <c r="AE74" s="1"/>
      <c r="AF74" s="1"/>
      <c r="AG74" s="1"/>
      <c r="AH74" s="1"/>
      <c r="AI74" s="1"/>
      <c r="AJ74" s="1"/>
      <c r="AK74" s="1"/>
    </row>
    <row r="75" spans="1:37" ht="12" customHeight="1">
      <c r="A75" s="1"/>
      <c r="B75" s="35"/>
      <c r="C75" s="36"/>
      <c r="D75" s="58" t="str">
        <f>Cálculos!AL60</f>
        <v>TRABAJADORA SOCIAL</v>
      </c>
      <c r="E75" s="32"/>
      <c r="F75" s="18">
        <f>IF(+Cálculos!BU60&gt;10,10,IF(+Cálculos!BU60&lt;1,1,+Cálculos!BU60))</f>
        <v>9.7200000000000006</v>
      </c>
      <c r="G75" s="33"/>
      <c r="H75" s="33"/>
      <c r="I75" s="33"/>
      <c r="J75" s="33"/>
      <c r="K75" s="33"/>
      <c r="L75" s="33"/>
      <c r="M75" s="33"/>
      <c r="N75" s="33"/>
      <c r="O75" s="33"/>
      <c r="P75" s="59"/>
      <c r="Q75" s="187"/>
      <c r="R75" s="1"/>
      <c r="S75" s="1"/>
      <c r="T75" s="1"/>
      <c r="U75" s="1"/>
      <c r="V75" s="1"/>
      <c r="W75" s="1"/>
      <c r="X75" s="1"/>
      <c r="Y75" s="1"/>
      <c r="Z75" s="1"/>
      <c r="AA75" s="1"/>
      <c r="AB75" s="1"/>
      <c r="AC75" s="1"/>
      <c r="AD75" s="1"/>
      <c r="AE75" s="1"/>
      <c r="AF75" s="1"/>
      <c r="AG75" s="1"/>
      <c r="AH75" s="1"/>
      <c r="AI75" s="1"/>
      <c r="AJ75" s="1"/>
      <c r="AK75" s="1"/>
    </row>
    <row r="76" spans="1:37" ht="12" customHeight="1">
      <c r="A76" s="1"/>
      <c r="B76" s="35"/>
      <c r="C76" s="36"/>
      <c r="D76" s="55" t="str">
        <f>Cálculos!AL61</f>
        <v>AZAFATA</v>
      </c>
      <c r="E76" s="46"/>
      <c r="F76" s="18">
        <f>IF(+Cálculos!BU61&gt;10,10,IF(+Cálculos!BU61&lt;1,1,+Cálculos!BU61))</f>
        <v>2.72</v>
      </c>
      <c r="G76" s="56"/>
      <c r="H76" s="56"/>
      <c r="I76" s="56"/>
      <c r="J76" s="56"/>
      <c r="K76" s="56"/>
      <c r="L76" s="56"/>
      <c r="M76" s="56"/>
      <c r="N76" s="56"/>
      <c r="O76" s="56"/>
      <c r="P76" s="57"/>
      <c r="Q76" s="186" t="str">
        <f>CONCATENATE("TÉCNICA-CIENTÍFICA: ",Cálculos!BY61)</f>
        <v>TÉCNICA-CIENTÍFICA: 5</v>
      </c>
      <c r="R76" s="1"/>
      <c r="S76" s="1"/>
      <c r="T76" s="1"/>
      <c r="U76" s="1"/>
      <c r="V76" s="1"/>
      <c r="W76" s="1"/>
      <c r="X76" s="1"/>
      <c r="Y76" s="1"/>
      <c r="Z76" s="1"/>
      <c r="AA76" s="1"/>
      <c r="AB76" s="1"/>
      <c r="AC76" s="1"/>
      <c r="AD76" s="1"/>
      <c r="AE76" s="1"/>
      <c r="AF76" s="1"/>
      <c r="AG76" s="1"/>
      <c r="AH76" s="1"/>
      <c r="AI76" s="1"/>
      <c r="AJ76" s="1"/>
      <c r="AK76" s="1"/>
    </row>
    <row r="77" spans="1:37" ht="12" customHeight="1">
      <c r="A77" s="1"/>
      <c r="B77" s="35"/>
      <c r="C77" s="36"/>
      <c r="D77" s="60" t="str">
        <f>Cálculos!AL62</f>
        <v>BIOLOGO</v>
      </c>
      <c r="E77" s="16"/>
      <c r="F77" s="18">
        <f>IF(+Cálculos!BU62&gt;10,10,IF(+Cálculos!BU62&lt;1,1,+Cálculos!BU62))</f>
        <v>4.93</v>
      </c>
      <c r="G77" s="19"/>
      <c r="H77" s="19"/>
      <c r="I77" s="19"/>
      <c r="J77" s="19"/>
      <c r="K77" s="19"/>
      <c r="L77" s="19"/>
      <c r="M77" s="19"/>
      <c r="N77" s="19"/>
      <c r="O77" s="19"/>
      <c r="P77" s="61"/>
      <c r="Q77" s="189"/>
      <c r="R77" s="1"/>
      <c r="S77" s="1"/>
      <c r="T77" s="1"/>
      <c r="U77" s="1"/>
      <c r="V77" s="1"/>
      <c r="W77" s="1"/>
      <c r="X77" s="1"/>
      <c r="Y77" s="1"/>
      <c r="Z77" s="1"/>
      <c r="AA77" s="1"/>
      <c r="AB77" s="1"/>
      <c r="AC77" s="1"/>
      <c r="AD77" s="1"/>
      <c r="AE77" s="1"/>
      <c r="AF77" s="1"/>
      <c r="AG77" s="1"/>
      <c r="AH77" s="1"/>
      <c r="AI77" s="1"/>
      <c r="AJ77" s="1"/>
      <c r="AK77" s="1"/>
    </row>
    <row r="78" spans="1:37" ht="12" customHeight="1">
      <c r="A78" s="1"/>
      <c r="B78" s="35"/>
      <c r="C78" s="36"/>
      <c r="D78" s="60" t="str">
        <f>Cálculos!AL63</f>
        <v>CIENTIFICO</v>
      </c>
      <c r="E78" s="16"/>
      <c r="F78" s="18">
        <f>IF(+Cálculos!BU63&gt;10,10,IF(+Cálculos!BU63&lt;1,1,+Cálculos!BU63))</f>
        <v>5.32</v>
      </c>
      <c r="G78" s="19"/>
      <c r="H78" s="19"/>
      <c r="I78" s="19"/>
      <c r="J78" s="19"/>
      <c r="K78" s="19"/>
      <c r="L78" s="19"/>
      <c r="M78" s="19"/>
      <c r="N78" s="19"/>
      <c r="O78" s="19"/>
      <c r="P78" s="61"/>
      <c r="Q78" s="189"/>
      <c r="R78" s="1"/>
      <c r="S78" s="1"/>
      <c r="T78" s="1"/>
      <c r="U78" s="1"/>
      <c r="V78" s="1"/>
      <c r="W78" s="1"/>
      <c r="X78" s="1"/>
      <c r="Y78" s="1"/>
      <c r="Z78" s="1"/>
      <c r="AA78" s="1"/>
      <c r="AB78" s="1"/>
      <c r="AC78" s="1"/>
      <c r="AD78" s="1"/>
      <c r="AE78" s="1"/>
      <c r="AF78" s="1"/>
      <c r="AG78" s="1"/>
      <c r="AH78" s="1"/>
      <c r="AI78" s="1"/>
      <c r="AJ78" s="1"/>
      <c r="AK78" s="1"/>
    </row>
    <row r="79" spans="1:37" ht="12" customHeight="1">
      <c r="A79" s="1"/>
      <c r="B79" s="35"/>
      <c r="C79" s="36"/>
      <c r="D79" s="60" t="str">
        <f>Cálculos!AL64</f>
        <v>COCINERO</v>
      </c>
      <c r="E79" s="16"/>
      <c r="F79" s="18">
        <f>IF(+Cálculos!BU64&gt;10,10,IF(+Cálculos!BU64&lt;1,1,+Cálculos!BU64))</f>
        <v>7.7899999999999991</v>
      </c>
      <c r="G79" s="19"/>
      <c r="H79" s="19"/>
      <c r="I79" s="19"/>
      <c r="J79" s="19"/>
      <c r="K79" s="19"/>
      <c r="L79" s="19"/>
      <c r="M79" s="19"/>
      <c r="N79" s="19"/>
      <c r="O79" s="19"/>
      <c r="P79" s="61"/>
      <c r="Q79" s="189"/>
      <c r="R79" s="1"/>
      <c r="S79" s="1"/>
      <c r="T79" s="1"/>
      <c r="U79" s="1"/>
      <c r="V79" s="1"/>
      <c r="W79" s="1"/>
      <c r="X79" s="1"/>
      <c r="Y79" s="1"/>
      <c r="Z79" s="1"/>
      <c r="AA79" s="1"/>
      <c r="AB79" s="1"/>
      <c r="AC79" s="1"/>
      <c r="AD79" s="1"/>
      <c r="AE79" s="1"/>
      <c r="AF79" s="1"/>
      <c r="AG79" s="1"/>
      <c r="AH79" s="1"/>
      <c r="AI79" s="1"/>
      <c r="AJ79" s="1"/>
      <c r="AK79" s="1"/>
    </row>
    <row r="80" spans="1:37" ht="12" customHeight="1">
      <c r="A80" s="1"/>
      <c r="B80" s="35"/>
      <c r="C80" s="36"/>
      <c r="D80" s="60" t="str">
        <f>Cálculos!AL65</f>
        <v>CONTADOR</v>
      </c>
      <c r="E80" s="16"/>
      <c r="F80" s="18">
        <f>IF(+Cálculos!BU65&gt;10,10,IF(+Cálculos!BU65&lt;1,1,+Cálculos!BU65))</f>
        <v>1</v>
      </c>
      <c r="G80" s="19"/>
      <c r="H80" s="19"/>
      <c r="I80" s="19"/>
      <c r="J80" s="19"/>
      <c r="K80" s="19"/>
      <c r="L80" s="19"/>
      <c r="M80" s="19"/>
      <c r="N80" s="19"/>
      <c r="O80" s="19"/>
      <c r="P80" s="61"/>
      <c r="Q80" s="189"/>
      <c r="R80" s="1"/>
      <c r="S80" s="1"/>
      <c r="T80" s="1"/>
      <c r="U80" s="1"/>
      <c r="V80" s="1"/>
      <c r="W80" s="1"/>
      <c r="X80" s="1"/>
      <c r="Y80" s="1"/>
      <c r="Z80" s="1"/>
      <c r="AA80" s="1"/>
      <c r="AB80" s="1"/>
      <c r="AC80" s="1"/>
      <c r="AD80" s="1"/>
      <c r="AE80" s="1"/>
      <c r="AF80" s="1"/>
      <c r="AG80" s="1"/>
      <c r="AH80" s="1"/>
      <c r="AI80" s="1"/>
      <c r="AJ80" s="1"/>
      <c r="AK80" s="1"/>
    </row>
    <row r="81" spans="1:37" ht="12" customHeight="1">
      <c r="A81" s="1"/>
      <c r="B81" s="35"/>
      <c r="C81" s="36"/>
      <c r="D81" s="60" t="str">
        <f>Cálculos!AL66</f>
        <v>ELECTRICISTA</v>
      </c>
      <c r="E81" s="16"/>
      <c r="F81" s="18">
        <f>IF(+Cálculos!BU66&gt;10,10,IF(+Cálculos!BU66&lt;1,1,+Cálculos!BU66))</f>
        <v>7.5299999999999994</v>
      </c>
      <c r="G81" s="19"/>
      <c r="H81" s="19"/>
      <c r="I81" s="19"/>
      <c r="J81" s="19"/>
      <c r="K81" s="19"/>
      <c r="L81" s="19"/>
      <c r="M81" s="19"/>
      <c r="N81" s="19"/>
      <c r="O81" s="19"/>
      <c r="P81" s="61"/>
      <c r="Q81" s="189"/>
      <c r="R81" s="1"/>
      <c r="S81" s="1"/>
      <c r="T81" s="1"/>
      <c r="U81" s="1"/>
      <c r="V81" s="1"/>
      <c r="W81" s="1"/>
      <c r="X81" s="1"/>
      <c r="Y81" s="1"/>
      <c r="Z81" s="1"/>
      <c r="AA81" s="1"/>
      <c r="AB81" s="1"/>
      <c r="AC81" s="1"/>
      <c r="AD81" s="1"/>
      <c r="AE81" s="1"/>
      <c r="AF81" s="1"/>
      <c r="AG81" s="1"/>
      <c r="AH81" s="1"/>
      <c r="AI81" s="1"/>
      <c r="AJ81" s="1"/>
      <c r="AK81" s="1"/>
    </row>
    <row r="82" spans="1:37" ht="12" customHeight="1">
      <c r="A82" s="1"/>
      <c r="B82" s="35"/>
      <c r="C82" s="36"/>
      <c r="D82" s="60" t="str">
        <f>Cálculos!AL67</f>
        <v>FISICO</v>
      </c>
      <c r="E82" s="16"/>
      <c r="F82" s="18">
        <f>IF(+Cálculos!BU67&gt;10,10,IF(+Cálculos!BU67&lt;1,1,+Cálculos!BU67))</f>
        <v>5.43</v>
      </c>
      <c r="G82" s="19"/>
      <c r="H82" s="19"/>
      <c r="I82" s="19"/>
      <c r="J82" s="19"/>
      <c r="K82" s="19"/>
      <c r="L82" s="19"/>
      <c r="M82" s="19"/>
      <c r="N82" s="19"/>
      <c r="O82" s="19"/>
      <c r="P82" s="61"/>
      <c r="Q82" s="189"/>
      <c r="R82" s="1"/>
      <c r="S82" s="1"/>
      <c r="T82" s="1"/>
      <c r="U82" s="1"/>
      <c r="V82" s="1"/>
      <c r="W82" s="1"/>
      <c r="X82" s="1"/>
      <c r="Y82" s="1"/>
      <c r="Z82" s="1"/>
      <c r="AA82" s="1"/>
      <c r="AB82" s="1"/>
      <c r="AC82" s="1"/>
      <c r="AD82" s="1"/>
      <c r="AE82" s="1"/>
      <c r="AF82" s="1"/>
      <c r="AG82" s="1"/>
      <c r="AH82" s="1"/>
      <c r="AI82" s="1"/>
      <c r="AJ82" s="1"/>
      <c r="AK82" s="1"/>
    </row>
    <row r="83" spans="1:37" ht="12" customHeight="1">
      <c r="A83" s="1"/>
      <c r="B83" s="35"/>
      <c r="C83" s="36"/>
      <c r="D83" s="60" t="str">
        <f>Cálculos!AL68</f>
        <v>GEOLOGO</v>
      </c>
      <c r="E83" s="16"/>
      <c r="F83" s="18">
        <f>IF(+Cálculos!BU68&gt;10,10,IF(+Cálculos!BU68&lt;1,1,+Cálculos!BU68))</f>
        <v>6.39</v>
      </c>
      <c r="G83" s="19"/>
      <c r="H83" s="19"/>
      <c r="I83" s="19"/>
      <c r="J83" s="19"/>
      <c r="K83" s="19"/>
      <c r="L83" s="19"/>
      <c r="M83" s="19"/>
      <c r="N83" s="19"/>
      <c r="O83" s="19"/>
      <c r="P83" s="61"/>
      <c r="Q83" s="189"/>
      <c r="R83" s="1"/>
      <c r="S83" s="1"/>
      <c r="T83" s="1"/>
      <c r="U83" s="1"/>
      <c r="V83" s="1"/>
      <c r="W83" s="1"/>
      <c r="X83" s="1"/>
      <c r="Y83" s="1"/>
      <c r="Z83" s="1"/>
      <c r="AA83" s="1"/>
      <c r="AB83" s="1"/>
      <c r="AC83" s="1"/>
      <c r="AD83" s="1"/>
      <c r="AE83" s="1"/>
      <c r="AF83" s="1"/>
      <c r="AG83" s="1"/>
      <c r="AH83" s="1"/>
      <c r="AI83" s="1"/>
      <c r="AJ83" s="1"/>
      <c r="AK83" s="1"/>
    </row>
    <row r="84" spans="1:37" ht="12" customHeight="1">
      <c r="A84" s="1"/>
      <c r="B84" s="35"/>
      <c r="C84" s="36"/>
      <c r="D84" s="60" t="str">
        <f>Cálculos!AL69</f>
        <v>ING DE AVIACION APRENDIZ</v>
      </c>
      <c r="E84" s="16"/>
      <c r="F84" s="18">
        <f>IF(+Cálculos!BU69&gt;10,10,IF(+Cálculos!BU69&lt;1,1,+Cálculos!BU69))</f>
        <v>6.1899999999999995</v>
      </c>
      <c r="G84" s="19"/>
      <c r="H84" s="19"/>
      <c r="I84" s="19"/>
      <c r="J84" s="19"/>
      <c r="K84" s="19"/>
      <c r="L84" s="19"/>
      <c r="M84" s="19"/>
      <c r="N84" s="19"/>
      <c r="O84" s="19"/>
      <c r="P84" s="61"/>
      <c r="Q84" s="189"/>
      <c r="R84" s="1"/>
      <c r="S84" s="1"/>
      <c r="T84" s="1"/>
      <c r="U84" s="1"/>
      <c r="V84" s="1"/>
      <c r="W84" s="1"/>
      <c r="X84" s="1"/>
      <c r="Y84" s="1"/>
      <c r="Z84" s="1"/>
      <c r="AA84" s="1"/>
      <c r="AB84" s="1"/>
      <c r="AC84" s="1"/>
      <c r="AD84" s="1"/>
      <c r="AE84" s="1"/>
      <c r="AF84" s="1"/>
      <c r="AG84" s="1"/>
      <c r="AH84" s="1"/>
      <c r="AI84" s="1"/>
      <c r="AJ84" s="1"/>
      <c r="AK84" s="1"/>
    </row>
    <row r="85" spans="1:37" ht="12" customHeight="1">
      <c r="A85" s="1"/>
      <c r="B85" s="35"/>
      <c r="C85" s="36"/>
      <c r="D85" s="60" t="str">
        <f>Cálculos!AL70</f>
        <v>ING INDUSTRIAL</v>
      </c>
      <c r="E85" s="16"/>
      <c r="F85" s="18">
        <f>IF(+Cálculos!BU70&gt;10,10,IF(+Cálculos!BU70&lt;1,1,+Cálculos!BU70))</f>
        <v>1.95</v>
      </c>
      <c r="G85" s="19"/>
      <c r="H85" s="19"/>
      <c r="I85" s="19"/>
      <c r="J85" s="19"/>
      <c r="K85" s="19"/>
      <c r="L85" s="19"/>
      <c r="M85" s="19"/>
      <c r="N85" s="19"/>
      <c r="O85" s="19"/>
      <c r="P85" s="61"/>
      <c r="Q85" s="189"/>
      <c r="R85" s="1"/>
      <c r="S85" s="1"/>
      <c r="T85" s="1"/>
      <c r="U85" s="1"/>
      <c r="V85" s="1"/>
      <c r="W85" s="1"/>
      <c r="X85" s="1"/>
      <c r="Y85" s="1"/>
      <c r="Z85" s="1"/>
      <c r="AA85" s="1"/>
      <c r="AB85" s="1"/>
      <c r="AC85" s="1"/>
      <c r="AD85" s="1"/>
      <c r="AE85" s="1"/>
      <c r="AF85" s="1"/>
      <c r="AG85" s="1"/>
      <c r="AH85" s="1"/>
      <c r="AI85" s="1"/>
      <c r="AJ85" s="1"/>
      <c r="AK85" s="1"/>
    </row>
    <row r="86" spans="1:37" ht="12" customHeight="1">
      <c r="A86" s="1"/>
      <c r="B86" s="35"/>
      <c r="C86" s="36"/>
      <c r="D86" s="60" t="str">
        <f>Cálculos!AL71</f>
        <v>INGENIERA</v>
      </c>
      <c r="E86" s="16"/>
      <c r="F86" s="18">
        <f>IF(+Cálculos!BU71&gt;10,10,IF(+Cálculos!BU71&lt;1,1,+Cálculos!BU71))</f>
        <v>3.47</v>
      </c>
      <c r="G86" s="19"/>
      <c r="H86" s="19"/>
      <c r="I86" s="19"/>
      <c r="J86" s="19"/>
      <c r="K86" s="19"/>
      <c r="L86" s="19"/>
      <c r="M86" s="19"/>
      <c r="N86" s="19"/>
      <c r="O86" s="19"/>
      <c r="P86" s="61"/>
      <c r="Q86" s="189"/>
      <c r="R86" s="1"/>
      <c r="S86" s="1"/>
      <c r="T86" s="1"/>
      <c r="U86" s="1"/>
      <c r="V86" s="1"/>
      <c r="W86" s="1"/>
      <c r="X86" s="1"/>
      <c r="Y86" s="1"/>
      <c r="Z86" s="1"/>
      <c r="AA86" s="1"/>
      <c r="AB86" s="1"/>
      <c r="AC86" s="1"/>
      <c r="AD86" s="1"/>
      <c r="AE86" s="1"/>
      <c r="AF86" s="1"/>
      <c r="AG86" s="1"/>
      <c r="AH86" s="1"/>
      <c r="AI86" s="1"/>
      <c r="AJ86" s="1"/>
      <c r="AK86" s="1"/>
    </row>
    <row r="87" spans="1:37" ht="12" customHeight="1">
      <c r="A87" s="1"/>
      <c r="B87" s="35"/>
      <c r="C87" s="36"/>
      <c r="D87" s="60" t="str">
        <f>Cálculos!AL72</f>
        <v>INGENIERO</v>
      </c>
      <c r="E87" s="16"/>
      <c r="F87" s="18">
        <f>IF(+Cálculos!BU72&gt;10,10,IF(+Cálculos!BU72&lt;1,1,+Cálculos!BU72))</f>
        <v>2.12</v>
      </c>
      <c r="G87" s="19"/>
      <c r="H87" s="19"/>
      <c r="I87" s="19"/>
      <c r="J87" s="19"/>
      <c r="K87" s="19"/>
      <c r="L87" s="19"/>
      <c r="M87" s="19"/>
      <c r="N87" s="19"/>
      <c r="O87" s="19"/>
      <c r="P87" s="61"/>
      <c r="Q87" s="189"/>
      <c r="R87" s="1"/>
      <c r="S87" s="1"/>
      <c r="T87" s="1"/>
      <c r="U87" s="1"/>
      <c r="V87" s="1"/>
      <c r="W87" s="1"/>
      <c r="X87" s="1"/>
      <c r="Y87" s="1"/>
      <c r="Z87" s="1"/>
      <c r="AA87" s="1"/>
      <c r="AB87" s="1"/>
      <c r="AC87" s="1"/>
      <c r="AD87" s="1"/>
      <c r="AE87" s="1"/>
      <c r="AF87" s="1"/>
      <c r="AG87" s="1"/>
      <c r="AH87" s="1"/>
      <c r="AI87" s="1"/>
      <c r="AJ87" s="1"/>
      <c r="AK87" s="1"/>
    </row>
    <row r="88" spans="1:37" ht="12" customHeight="1">
      <c r="A88" s="1"/>
      <c r="B88" s="35"/>
      <c r="C88" s="36"/>
      <c r="D88" s="60" t="str">
        <f>Cálculos!AL73</f>
        <v>MECANICO DE GARAJE</v>
      </c>
      <c r="E88" s="16"/>
      <c r="F88" s="18">
        <f>IF(+Cálculos!BU73&gt;10,10,IF(+Cálculos!BU73&lt;1,1,+Cálculos!BU73))</f>
        <v>3.22</v>
      </c>
      <c r="G88" s="19"/>
      <c r="H88" s="19"/>
      <c r="I88" s="19"/>
      <c r="J88" s="19"/>
      <c r="K88" s="19"/>
      <c r="L88" s="19"/>
      <c r="M88" s="19"/>
      <c r="N88" s="19"/>
      <c r="O88" s="19"/>
      <c r="P88" s="61"/>
      <c r="Q88" s="189"/>
      <c r="R88" s="1"/>
      <c r="S88" s="1"/>
      <c r="T88" s="1"/>
      <c r="U88" s="1"/>
      <c r="V88" s="1"/>
      <c r="W88" s="1"/>
      <c r="X88" s="1"/>
      <c r="Y88" s="1"/>
      <c r="Z88" s="1"/>
      <c r="AA88" s="1"/>
      <c r="AB88" s="1"/>
      <c r="AC88" s="1"/>
      <c r="AD88" s="1"/>
      <c r="AE88" s="1"/>
      <c r="AF88" s="1"/>
      <c r="AG88" s="1"/>
      <c r="AH88" s="1"/>
      <c r="AI88" s="1"/>
      <c r="AJ88" s="1"/>
      <c r="AK88" s="1"/>
    </row>
    <row r="89" spans="1:37" ht="12" customHeight="1">
      <c r="A89" s="1"/>
      <c r="B89" s="35"/>
      <c r="C89" s="36"/>
      <c r="D89" s="60" t="str">
        <f>Cálculos!AL74</f>
        <v>PILOTO DE AEROLINEA</v>
      </c>
      <c r="E89" s="16"/>
      <c r="F89" s="18">
        <f>IF(+Cálculos!BU74&gt;10,10,IF(+Cálculos!BU74&lt;1,1,+Cálculos!BU74))</f>
        <v>3.29</v>
      </c>
      <c r="G89" s="19"/>
      <c r="H89" s="19"/>
      <c r="I89" s="19"/>
      <c r="J89" s="19"/>
      <c r="K89" s="19"/>
      <c r="L89" s="19"/>
      <c r="M89" s="19"/>
      <c r="N89" s="19"/>
      <c r="O89" s="19"/>
      <c r="P89" s="61"/>
      <c r="Q89" s="189"/>
      <c r="R89" s="1"/>
      <c r="S89" s="1"/>
      <c r="T89" s="1"/>
      <c r="U89" s="1"/>
      <c r="V89" s="1"/>
      <c r="W89" s="1"/>
      <c r="X89" s="1"/>
      <c r="Y89" s="1"/>
      <c r="Z89" s="1"/>
      <c r="AA89" s="1"/>
      <c r="AB89" s="1"/>
      <c r="AC89" s="1"/>
      <c r="AD89" s="1"/>
      <c r="AE89" s="1"/>
      <c r="AF89" s="1"/>
      <c r="AG89" s="1"/>
      <c r="AH89" s="1"/>
      <c r="AI89" s="1"/>
      <c r="AJ89" s="1"/>
      <c r="AK89" s="1"/>
    </row>
    <row r="90" spans="1:37" ht="12" customHeight="1">
      <c r="A90" s="1"/>
      <c r="B90" s="35"/>
      <c r="C90" s="36"/>
      <c r="D90" s="60" t="str">
        <f>Cálculos!AL75</f>
        <v>POLICIA</v>
      </c>
      <c r="E90" s="16"/>
      <c r="F90" s="18">
        <f>IF(+Cálculos!BU75&gt;10,10,IF(+Cálculos!BU75&lt;1,1,+Cálculos!BU75))</f>
        <v>7.370000000000001</v>
      </c>
      <c r="G90" s="19"/>
      <c r="H90" s="19"/>
      <c r="I90" s="19"/>
      <c r="J90" s="19"/>
      <c r="K90" s="19"/>
      <c r="L90" s="19"/>
      <c r="M90" s="19"/>
      <c r="N90" s="19"/>
      <c r="O90" s="19"/>
      <c r="P90" s="61"/>
      <c r="Q90" s="189"/>
      <c r="R90" s="1"/>
      <c r="S90" s="1"/>
      <c r="T90" s="1"/>
      <c r="U90" s="1"/>
      <c r="V90" s="1"/>
      <c r="W90" s="1"/>
      <c r="X90" s="1"/>
      <c r="Y90" s="1"/>
      <c r="Z90" s="1"/>
      <c r="AA90" s="1"/>
      <c r="AB90" s="1"/>
      <c r="AC90" s="1"/>
      <c r="AD90" s="1"/>
      <c r="AE90" s="1"/>
      <c r="AF90" s="1"/>
      <c r="AG90" s="1"/>
      <c r="AH90" s="1"/>
      <c r="AI90" s="1"/>
      <c r="AJ90" s="1"/>
      <c r="AK90" s="1"/>
    </row>
    <row r="91" spans="1:37" ht="12" customHeight="1">
      <c r="A91" s="1"/>
      <c r="B91" s="35"/>
      <c r="C91" s="36"/>
      <c r="D91" s="60" t="str">
        <f>Cálculos!AL76</f>
        <v>QUIMICO E ING QUIMICO</v>
      </c>
      <c r="E91" s="16"/>
      <c r="F91" s="18">
        <f>IF(+Cálculos!BU76&gt;10,10,IF(+Cálculos!BU76&lt;1,1,+Cálculos!BU76))</f>
        <v>3.02</v>
      </c>
      <c r="G91" s="19"/>
      <c r="H91" s="19"/>
      <c r="I91" s="19"/>
      <c r="J91" s="19"/>
      <c r="K91" s="19"/>
      <c r="L91" s="19"/>
      <c r="M91" s="19"/>
      <c r="N91" s="19"/>
      <c r="O91" s="19"/>
      <c r="P91" s="61"/>
      <c r="Q91" s="189"/>
      <c r="R91" s="1"/>
      <c r="S91" s="1"/>
      <c r="T91" s="1"/>
      <c r="U91" s="1"/>
      <c r="V91" s="1"/>
      <c r="W91" s="1"/>
      <c r="X91" s="1"/>
      <c r="Y91" s="1"/>
      <c r="Z91" s="1"/>
      <c r="AA91" s="1"/>
      <c r="AB91" s="1"/>
      <c r="AC91" s="1"/>
      <c r="AD91" s="1"/>
      <c r="AE91" s="1"/>
      <c r="AF91" s="1"/>
      <c r="AG91" s="1"/>
      <c r="AH91" s="1"/>
      <c r="AI91" s="1"/>
      <c r="AJ91" s="1"/>
      <c r="AK91" s="1"/>
    </row>
    <row r="92" spans="1:37" ht="12" customHeight="1">
      <c r="A92" s="1"/>
      <c r="B92" s="35"/>
      <c r="C92" s="36"/>
      <c r="D92" s="60" t="str">
        <f>Cálculos!AL77</f>
        <v>SUPERVISOR DE PLANTA</v>
      </c>
      <c r="E92" s="16"/>
      <c r="F92" s="18">
        <f>IF(+Cálculos!BU77&gt;10,10,IF(+Cálculos!BU77&lt;1,1,+Cálculos!BU77))</f>
        <v>10</v>
      </c>
      <c r="G92" s="19"/>
      <c r="H92" s="19"/>
      <c r="I92" s="19"/>
      <c r="J92" s="19"/>
      <c r="K92" s="19"/>
      <c r="L92" s="19"/>
      <c r="M92" s="19"/>
      <c r="N92" s="19"/>
      <c r="O92" s="19"/>
      <c r="P92" s="61"/>
      <c r="Q92" s="189"/>
      <c r="R92" s="1"/>
      <c r="S92" s="1"/>
      <c r="T92" s="1"/>
      <c r="U92" s="1"/>
      <c r="V92" s="1"/>
      <c r="W92" s="1"/>
      <c r="X92" s="1"/>
      <c r="Y92" s="1"/>
      <c r="Z92" s="1"/>
      <c r="AA92" s="1"/>
      <c r="AB92" s="1"/>
      <c r="AC92" s="1"/>
      <c r="AD92" s="1"/>
      <c r="AE92" s="1"/>
      <c r="AF92" s="1"/>
      <c r="AG92" s="1"/>
      <c r="AH92" s="1"/>
      <c r="AI92" s="1"/>
      <c r="AJ92" s="1"/>
      <c r="AK92" s="1"/>
    </row>
    <row r="93" spans="1:37" ht="12" customHeight="1">
      <c r="A93" s="1"/>
      <c r="B93" s="62"/>
      <c r="C93" s="63"/>
      <c r="D93" s="58" t="str">
        <f>Cálculos!AL78</f>
        <v>TRABAJADOR EDITORIAL</v>
      </c>
      <c r="E93" s="32"/>
      <c r="F93" s="18">
        <f>IF(+Cálculos!BU78&gt;10,10,IF(+Cálculos!BU78&lt;1,1,+Cálculos!BU78))</f>
        <v>1</v>
      </c>
      <c r="G93" s="33"/>
      <c r="H93" s="33"/>
      <c r="I93" s="33"/>
      <c r="J93" s="33"/>
      <c r="K93" s="33"/>
      <c r="L93" s="33"/>
      <c r="M93" s="33"/>
      <c r="N93" s="33"/>
      <c r="O93" s="33"/>
      <c r="P93" s="59"/>
      <c r="Q93" s="187"/>
      <c r="R93" s="1"/>
      <c r="S93" s="1"/>
      <c r="T93" s="1"/>
      <c r="U93" s="1"/>
      <c r="V93" s="1"/>
      <c r="W93" s="1"/>
      <c r="X93" s="1"/>
      <c r="Y93" s="1"/>
      <c r="Z93" s="1"/>
      <c r="AA93" s="1"/>
      <c r="AB93" s="1"/>
      <c r="AC93" s="1"/>
      <c r="AD93" s="1"/>
      <c r="AE93" s="1"/>
      <c r="AF93" s="1"/>
      <c r="AG93" s="1"/>
      <c r="AH93" s="1"/>
      <c r="AI93" s="1"/>
      <c r="AJ93" s="1"/>
      <c r="AK93" s="1"/>
    </row>
    <row r="94" spans="1:37" ht="12.75" customHeight="1">
      <c r="A94" s="1"/>
      <c r="B94" s="176"/>
      <c r="C94" s="177"/>
      <c r="D94" s="177"/>
      <c r="E94" s="177"/>
      <c r="F94" s="177"/>
      <c r="G94" s="177"/>
      <c r="H94" s="177"/>
      <c r="I94" s="177"/>
      <c r="J94" s="177"/>
      <c r="K94" s="177"/>
      <c r="L94" s="177"/>
      <c r="M94" s="177"/>
      <c r="N94" s="177"/>
      <c r="O94" s="177"/>
      <c r="P94" s="177"/>
      <c r="Q94" s="178"/>
      <c r="R94" s="1"/>
      <c r="S94" s="1"/>
      <c r="T94" s="1"/>
      <c r="U94" s="1"/>
      <c r="V94" s="1"/>
      <c r="W94" s="1"/>
      <c r="X94" s="1"/>
      <c r="Y94" s="1"/>
      <c r="Z94" s="1"/>
      <c r="AA94" s="1"/>
      <c r="AB94" s="1"/>
      <c r="AC94" s="1"/>
      <c r="AD94" s="1"/>
      <c r="AE94" s="1"/>
      <c r="AF94" s="1"/>
      <c r="AG94" s="1"/>
      <c r="AH94" s="1"/>
      <c r="AI94" s="1"/>
      <c r="AJ94" s="1"/>
      <c r="AK94" s="1"/>
    </row>
    <row r="95" spans="1:37" ht="12.75" customHeight="1">
      <c r="A95" s="1"/>
      <c r="B95" s="1"/>
      <c r="C95" s="1"/>
      <c r="D95" s="1"/>
      <c r="E95" s="1"/>
      <c r="F95" s="2"/>
      <c r="G95" s="2"/>
      <c r="H95" s="2"/>
      <c r="I95" s="2"/>
      <c r="J95" s="2"/>
      <c r="K95" s="2"/>
      <c r="L95" s="2"/>
      <c r="M95" s="2"/>
      <c r="N95" s="3"/>
      <c r="O95" s="3"/>
      <c r="P95" s="3"/>
      <c r="Q95" s="1"/>
      <c r="R95" s="1"/>
      <c r="S95" s="1"/>
      <c r="T95" s="1"/>
      <c r="U95" s="1"/>
      <c r="V95" s="1"/>
      <c r="W95" s="1"/>
      <c r="X95" s="1"/>
      <c r="Y95" s="1"/>
      <c r="Z95" s="1"/>
      <c r="AA95" s="1"/>
      <c r="AB95" s="1"/>
      <c r="AC95" s="1"/>
      <c r="AD95" s="1"/>
      <c r="AE95" s="1"/>
      <c r="AF95" s="1"/>
      <c r="AG95" s="1"/>
      <c r="AH95" s="1"/>
      <c r="AI95" s="1"/>
      <c r="AJ95" s="1"/>
      <c r="AK95" s="1"/>
    </row>
    <row r="96" spans="1:37" ht="12.75" customHeight="1">
      <c r="A96" s="1"/>
      <c r="B96" s="1"/>
      <c r="C96" s="1"/>
      <c r="D96" s="1"/>
      <c r="E96" s="1"/>
      <c r="F96" s="2"/>
      <c r="G96" s="2"/>
      <c r="H96" s="2"/>
      <c r="I96" s="2"/>
      <c r="J96" s="2"/>
      <c r="K96" s="2"/>
      <c r="L96" s="2"/>
      <c r="M96" s="2"/>
      <c r="N96" s="3"/>
      <c r="O96" s="3"/>
      <c r="P96" s="3"/>
      <c r="Q96" s="1"/>
      <c r="R96" s="1"/>
      <c r="S96" s="1"/>
      <c r="T96" s="1"/>
      <c r="U96" s="1"/>
      <c r="V96" s="1"/>
      <c r="W96" s="1"/>
      <c r="X96" s="1"/>
      <c r="Y96" s="1"/>
      <c r="Z96" s="1"/>
      <c r="AA96" s="1"/>
      <c r="AB96" s="1"/>
      <c r="AC96" s="1"/>
      <c r="AD96" s="1"/>
      <c r="AE96" s="1"/>
      <c r="AF96" s="1"/>
      <c r="AG96" s="1"/>
      <c r="AH96" s="1"/>
      <c r="AI96" s="1"/>
      <c r="AJ96" s="1"/>
      <c r="AK96" s="1"/>
    </row>
    <row r="97" spans="1:37" ht="12.75" customHeight="1">
      <c r="A97" s="1"/>
      <c r="B97" s="1"/>
      <c r="C97" s="1"/>
      <c r="D97" s="1"/>
      <c r="E97" s="1"/>
      <c r="F97" s="2"/>
      <c r="G97" s="2"/>
      <c r="H97" s="2"/>
      <c r="I97" s="2"/>
      <c r="J97" s="2"/>
      <c r="K97" s="2"/>
      <c r="L97" s="2"/>
      <c r="M97" s="2"/>
      <c r="N97" s="3"/>
      <c r="O97" s="3"/>
      <c r="P97" s="3"/>
      <c r="Q97" s="1"/>
      <c r="R97" s="1"/>
      <c r="S97" s="1"/>
      <c r="T97" s="1"/>
      <c r="U97" s="1"/>
      <c r="V97" s="1"/>
      <c r="W97" s="1"/>
      <c r="X97" s="1"/>
      <c r="Y97" s="1"/>
      <c r="Z97" s="1"/>
      <c r="AA97" s="1"/>
      <c r="AB97" s="1"/>
      <c r="AC97" s="1"/>
      <c r="AD97" s="1"/>
      <c r="AE97" s="1"/>
      <c r="AF97" s="1"/>
      <c r="AG97" s="1"/>
      <c r="AH97" s="1"/>
      <c r="AI97" s="1"/>
      <c r="AJ97" s="1"/>
      <c r="AK97" s="1"/>
    </row>
    <row r="98" spans="1:37" ht="12.75" customHeight="1">
      <c r="A98" s="1"/>
      <c r="B98" s="1"/>
      <c r="C98" s="1"/>
      <c r="D98" s="1"/>
      <c r="E98" s="1"/>
      <c r="F98" s="2"/>
      <c r="G98" s="2"/>
      <c r="H98" s="2"/>
      <c r="I98" s="2"/>
      <c r="J98" s="2"/>
      <c r="K98" s="2"/>
      <c r="L98" s="2"/>
      <c r="M98" s="2"/>
      <c r="N98" s="3"/>
      <c r="O98" s="3"/>
      <c r="P98" s="3"/>
      <c r="Q98" s="1"/>
      <c r="R98" s="1"/>
      <c r="S98" s="1"/>
      <c r="T98" s="1"/>
      <c r="U98" s="1"/>
      <c r="V98" s="1"/>
      <c r="W98" s="1"/>
      <c r="X98" s="1"/>
      <c r="Y98" s="1"/>
      <c r="Z98" s="1"/>
      <c r="AA98" s="1"/>
      <c r="AB98" s="1"/>
      <c r="AC98" s="1"/>
      <c r="AD98" s="1"/>
      <c r="AE98" s="1"/>
      <c r="AF98" s="1"/>
      <c r="AG98" s="1"/>
      <c r="AH98" s="1"/>
      <c r="AI98" s="1"/>
      <c r="AJ98" s="1"/>
      <c r="AK98" s="1"/>
    </row>
    <row r="99" spans="1:37" ht="12.75" customHeight="1">
      <c r="A99" s="1"/>
      <c r="B99" s="1"/>
      <c r="C99" s="1"/>
      <c r="D99" s="1"/>
      <c r="E99" s="1"/>
      <c r="F99" s="2"/>
      <c r="G99" s="2"/>
      <c r="H99" s="2"/>
      <c r="I99" s="2"/>
      <c r="J99" s="2"/>
      <c r="K99" s="2"/>
      <c r="L99" s="2"/>
      <c r="M99" s="2"/>
      <c r="N99" s="3"/>
      <c r="O99" s="3"/>
      <c r="P99" s="3"/>
      <c r="Q99" s="1"/>
      <c r="R99" s="1"/>
      <c r="S99" s="1"/>
      <c r="T99" s="1"/>
      <c r="U99" s="1"/>
      <c r="V99" s="1"/>
      <c r="W99" s="1"/>
      <c r="X99" s="1"/>
      <c r="Y99" s="1"/>
      <c r="Z99" s="1"/>
      <c r="AA99" s="1"/>
      <c r="AB99" s="1"/>
      <c r="AC99" s="1"/>
      <c r="AD99" s="1"/>
      <c r="AE99" s="1"/>
      <c r="AF99" s="1"/>
      <c r="AG99" s="1"/>
      <c r="AH99" s="1"/>
      <c r="AI99" s="1"/>
      <c r="AJ99" s="1"/>
      <c r="AK99" s="1"/>
    </row>
    <row r="100" spans="1:37" ht="12.75" customHeight="1">
      <c r="A100" s="1"/>
      <c r="B100" s="1"/>
      <c r="C100" s="1"/>
      <c r="D100" s="1"/>
      <c r="E100" s="1"/>
      <c r="F100" s="2"/>
      <c r="G100" s="2"/>
      <c r="H100" s="2"/>
      <c r="I100" s="2"/>
      <c r="J100" s="2"/>
      <c r="K100" s="2"/>
      <c r="L100" s="2"/>
      <c r="M100" s="2"/>
      <c r="N100" s="3"/>
      <c r="O100" s="3"/>
      <c r="P100" s="3"/>
      <c r="Q100" s="1"/>
      <c r="R100" s="1"/>
      <c r="S100" s="1"/>
      <c r="T100" s="1"/>
      <c r="U100" s="1"/>
      <c r="V100" s="1"/>
      <c r="W100" s="1"/>
      <c r="X100" s="1"/>
      <c r="Y100" s="1"/>
      <c r="Z100" s="1"/>
      <c r="AA100" s="1"/>
      <c r="AB100" s="1"/>
      <c r="AC100" s="1"/>
      <c r="AD100" s="1"/>
      <c r="AE100" s="1"/>
      <c r="AF100" s="1"/>
      <c r="AG100" s="1"/>
      <c r="AH100" s="1"/>
      <c r="AI100" s="1"/>
      <c r="AJ100" s="1"/>
      <c r="AK100" s="1"/>
    </row>
    <row r="101" spans="1:37" ht="12.75" customHeight="1">
      <c r="A101" s="1"/>
      <c r="B101" s="1"/>
      <c r="C101" s="1"/>
      <c r="D101" s="1"/>
      <c r="E101" s="1"/>
      <c r="F101" s="2"/>
      <c r="G101" s="2"/>
      <c r="H101" s="2"/>
      <c r="I101" s="2"/>
      <c r="J101" s="2"/>
      <c r="K101" s="2"/>
      <c r="L101" s="2"/>
      <c r="M101" s="2"/>
      <c r="N101" s="3"/>
      <c r="O101" s="3"/>
      <c r="P101" s="3"/>
      <c r="Q101" s="1"/>
      <c r="R101" s="1"/>
      <c r="S101" s="1"/>
      <c r="T101" s="1"/>
      <c r="U101" s="1"/>
      <c r="V101" s="1"/>
      <c r="W101" s="1"/>
      <c r="X101" s="1"/>
      <c r="Y101" s="1"/>
      <c r="Z101" s="1"/>
      <c r="AA101" s="1"/>
      <c r="AB101" s="1"/>
      <c r="AC101" s="1"/>
      <c r="AD101" s="1"/>
      <c r="AE101" s="1"/>
      <c r="AF101" s="1"/>
      <c r="AG101" s="1"/>
      <c r="AH101" s="1"/>
      <c r="AI101" s="1"/>
      <c r="AJ101" s="1"/>
      <c r="AK101" s="1"/>
    </row>
    <row r="102" spans="1:37" ht="12.75" customHeight="1">
      <c r="A102" s="1"/>
      <c r="B102" s="1"/>
      <c r="C102" s="1"/>
      <c r="D102" s="1"/>
      <c r="E102" s="1"/>
      <c r="F102" s="2"/>
      <c r="G102" s="2"/>
      <c r="H102" s="2"/>
      <c r="I102" s="2"/>
      <c r="J102" s="2"/>
      <c r="K102" s="2"/>
      <c r="L102" s="2"/>
      <c r="M102" s="2"/>
      <c r="N102" s="3"/>
      <c r="O102" s="3"/>
      <c r="P102" s="3"/>
      <c r="Q102" s="1"/>
      <c r="R102" s="1"/>
      <c r="S102" s="1"/>
      <c r="T102" s="1"/>
      <c r="U102" s="1"/>
      <c r="V102" s="1"/>
      <c r="W102" s="1"/>
      <c r="X102" s="1"/>
      <c r="Y102" s="1"/>
      <c r="Z102" s="1"/>
      <c r="AA102" s="1"/>
      <c r="AB102" s="1"/>
      <c r="AC102" s="1"/>
      <c r="AD102" s="1"/>
      <c r="AE102" s="1"/>
      <c r="AF102" s="1"/>
      <c r="AG102" s="1"/>
      <c r="AH102" s="1"/>
      <c r="AI102" s="1"/>
      <c r="AJ102" s="1"/>
      <c r="AK102" s="1"/>
    </row>
    <row r="103" spans="1:37" ht="12.75" customHeight="1">
      <c r="A103" s="1"/>
      <c r="B103" s="1"/>
      <c r="C103" s="1"/>
      <c r="D103" s="1"/>
      <c r="E103" s="1"/>
      <c r="F103" s="2"/>
      <c r="G103" s="2"/>
      <c r="H103" s="2"/>
      <c r="I103" s="2"/>
      <c r="J103" s="2"/>
      <c r="K103" s="2"/>
      <c r="L103" s="2"/>
      <c r="M103" s="2"/>
      <c r="N103" s="3"/>
      <c r="O103" s="3"/>
      <c r="P103" s="3"/>
      <c r="Q103" s="1"/>
      <c r="R103" s="1"/>
      <c r="S103" s="1"/>
      <c r="T103" s="1"/>
      <c r="U103" s="1"/>
      <c r="V103" s="1"/>
      <c r="W103" s="1"/>
      <c r="X103" s="1"/>
      <c r="Y103" s="1"/>
      <c r="Z103" s="1"/>
      <c r="AA103" s="1"/>
      <c r="AB103" s="1"/>
      <c r="AC103" s="1"/>
      <c r="AD103" s="1"/>
      <c r="AE103" s="1"/>
      <c r="AF103" s="1"/>
      <c r="AG103" s="1"/>
      <c r="AH103" s="1"/>
      <c r="AI103" s="1"/>
      <c r="AJ103" s="1"/>
      <c r="AK103" s="1"/>
    </row>
    <row r="104" spans="1:37" ht="12.75" customHeight="1">
      <c r="A104" s="1"/>
      <c r="B104" s="1"/>
      <c r="C104" s="1"/>
      <c r="D104" s="1"/>
      <c r="E104" s="1"/>
      <c r="F104" s="2"/>
      <c r="G104" s="2"/>
      <c r="H104" s="2"/>
      <c r="I104" s="2"/>
      <c r="J104" s="2"/>
      <c r="K104" s="2"/>
      <c r="L104" s="2"/>
      <c r="M104" s="2"/>
      <c r="N104" s="3"/>
      <c r="O104" s="3"/>
      <c r="P104" s="3"/>
      <c r="Q104" s="1"/>
      <c r="R104" s="1"/>
      <c r="S104" s="1"/>
      <c r="T104" s="1"/>
      <c r="U104" s="1"/>
      <c r="V104" s="1"/>
      <c r="W104" s="1"/>
      <c r="X104" s="1"/>
      <c r="Y104" s="1"/>
      <c r="Z104" s="1"/>
      <c r="AA104" s="1"/>
      <c r="AB104" s="1"/>
      <c r="AC104" s="1"/>
      <c r="AD104" s="1"/>
      <c r="AE104" s="1"/>
      <c r="AF104" s="1"/>
      <c r="AG104" s="1"/>
      <c r="AH104" s="1"/>
      <c r="AI104" s="1"/>
      <c r="AJ104" s="1"/>
      <c r="AK104" s="1"/>
    </row>
    <row r="105" spans="1:37" ht="12.75" customHeight="1">
      <c r="A105" s="1"/>
      <c r="B105" s="1"/>
      <c r="C105" s="1"/>
      <c r="D105" s="1"/>
      <c r="E105" s="1"/>
      <c r="F105" s="2"/>
      <c r="G105" s="2"/>
      <c r="H105" s="2"/>
      <c r="I105" s="2"/>
      <c r="J105" s="2"/>
      <c r="K105" s="2"/>
      <c r="L105" s="2"/>
      <c r="M105" s="2"/>
      <c r="N105" s="3"/>
      <c r="O105" s="3"/>
      <c r="P105" s="3"/>
      <c r="Q105" s="1"/>
      <c r="R105" s="1"/>
      <c r="S105" s="1"/>
      <c r="T105" s="1"/>
      <c r="U105" s="1"/>
      <c r="V105" s="1"/>
      <c r="W105" s="1"/>
      <c r="X105" s="1"/>
      <c r="Y105" s="1"/>
      <c r="Z105" s="1"/>
      <c r="AA105" s="1"/>
      <c r="AB105" s="1"/>
      <c r="AC105" s="1"/>
      <c r="AD105" s="1"/>
      <c r="AE105" s="1"/>
      <c r="AF105" s="1"/>
      <c r="AG105" s="1"/>
      <c r="AH105" s="1"/>
      <c r="AI105" s="1"/>
      <c r="AJ105" s="1"/>
      <c r="AK105" s="1"/>
    </row>
    <row r="106" spans="1:37" ht="12.75" customHeight="1">
      <c r="A106" s="1"/>
      <c r="B106" s="1"/>
      <c r="C106" s="1"/>
      <c r="D106" s="1"/>
      <c r="E106" s="1"/>
      <c r="F106" s="2"/>
      <c r="G106" s="2"/>
      <c r="H106" s="2"/>
      <c r="I106" s="2"/>
      <c r="J106" s="2"/>
      <c r="K106" s="2"/>
      <c r="L106" s="2"/>
      <c r="M106" s="2"/>
      <c r="N106" s="3"/>
      <c r="O106" s="3"/>
      <c r="P106" s="3"/>
      <c r="Q106" s="1"/>
      <c r="R106" s="1"/>
      <c r="S106" s="1"/>
      <c r="T106" s="1"/>
      <c r="U106" s="1"/>
      <c r="V106" s="1"/>
      <c r="W106" s="1"/>
      <c r="X106" s="1"/>
      <c r="Y106" s="1"/>
      <c r="Z106" s="1"/>
      <c r="AA106" s="1"/>
      <c r="AB106" s="1"/>
      <c r="AC106" s="1"/>
      <c r="AD106" s="1"/>
      <c r="AE106" s="1"/>
      <c r="AF106" s="1"/>
      <c r="AG106" s="1"/>
      <c r="AH106" s="1"/>
      <c r="AI106" s="1"/>
      <c r="AJ106" s="1"/>
      <c r="AK106" s="1"/>
    </row>
    <row r="107" spans="1:37" ht="12.75" customHeight="1">
      <c r="A107" s="1"/>
      <c r="B107" s="1"/>
      <c r="C107" s="1"/>
      <c r="D107" s="1"/>
      <c r="E107" s="1"/>
      <c r="F107" s="2"/>
      <c r="G107" s="2"/>
      <c r="H107" s="2"/>
      <c r="I107" s="2"/>
      <c r="J107" s="2"/>
      <c r="K107" s="2"/>
      <c r="L107" s="2"/>
      <c r="M107" s="2"/>
      <c r="N107" s="3"/>
      <c r="O107" s="3"/>
      <c r="P107" s="3"/>
      <c r="Q107" s="1"/>
      <c r="R107" s="1"/>
      <c r="S107" s="1"/>
      <c r="T107" s="1"/>
      <c r="U107" s="1"/>
      <c r="V107" s="1"/>
      <c r="W107" s="1"/>
      <c r="X107" s="1"/>
      <c r="Y107" s="1"/>
      <c r="Z107" s="1"/>
      <c r="AA107" s="1"/>
      <c r="AB107" s="1"/>
      <c r="AC107" s="1"/>
      <c r="AD107" s="1"/>
      <c r="AE107" s="1"/>
      <c r="AF107" s="1"/>
      <c r="AG107" s="1"/>
      <c r="AH107" s="1"/>
      <c r="AI107" s="1"/>
      <c r="AJ107" s="1"/>
      <c r="AK107" s="1"/>
    </row>
    <row r="108" spans="1:37" ht="12.75" customHeight="1">
      <c r="A108" s="1"/>
      <c r="B108" s="1"/>
      <c r="C108" s="1"/>
      <c r="D108" s="1"/>
      <c r="E108" s="1"/>
      <c r="F108" s="2"/>
      <c r="G108" s="2"/>
      <c r="H108" s="2"/>
      <c r="I108" s="2"/>
      <c r="J108" s="2"/>
      <c r="K108" s="2"/>
      <c r="L108" s="2"/>
      <c r="M108" s="2"/>
      <c r="N108" s="3"/>
      <c r="O108" s="3"/>
      <c r="P108" s="3"/>
      <c r="Q108" s="1"/>
      <c r="R108" s="1"/>
      <c r="S108" s="1"/>
      <c r="T108" s="1"/>
      <c r="U108" s="1"/>
      <c r="V108" s="1"/>
      <c r="W108" s="1"/>
      <c r="X108" s="1"/>
      <c r="Y108" s="1"/>
      <c r="Z108" s="1"/>
      <c r="AA108" s="1"/>
      <c r="AB108" s="1"/>
      <c r="AC108" s="1"/>
      <c r="AD108" s="1"/>
      <c r="AE108" s="1"/>
      <c r="AF108" s="1"/>
      <c r="AG108" s="1"/>
      <c r="AH108" s="1"/>
      <c r="AI108" s="1"/>
      <c r="AJ108" s="1"/>
      <c r="AK108" s="1"/>
    </row>
    <row r="109" spans="1:37" ht="12.75" customHeight="1">
      <c r="A109" s="1"/>
      <c r="B109" s="1"/>
      <c r="C109" s="1"/>
      <c r="D109" s="1"/>
      <c r="E109" s="1"/>
      <c r="F109" s="2"/>
      <c r="G109" s="2"/>
      <c r="H109" s="2"/>
      <c r="I109" s="2"/>
      <c r="J109" s="2"/>
      <c r="K109" s="2"/>
      <c r="L109" s="2"/>
      <c r="M109" s="2"/>
      <c r="N109" s="3"/>
      <c r="O109" s="3"/>
      <c r="P109" s="3"/>
      <c r="Q109" s="1"/>
      <c r="R109" s="1"/>
      <c r="S109" s="1"/>
      <c r="T109" s="1"/>
      <c r="U109" s="1"/>
      <c r="V109" s="1"/>
      <c r="W109" s="1"/>
      <c r="X109" s="1"/>
      <c r="Y109" s="1"/>
      <c r="Z109" s="1"/>
      <c r="AA109" s="1"/>
      <c r="AB109" s="1"/>
      <c r="AC109" s="1"/>
      <c r="AD109" s="1"/>
      <c r="AE109" s="1"/>
      <c r="AF109" s="1"/>
      <c r="AG109" s="1"/>
      <c r="AH109" s="1"/>
      <c r="AI109" s="1"/>
      <c r="AJ109" s="1"/>
      <c r="AK109" s="1"/>
    </row>
    <row r="110" spans="1:37" ht="12.75" customHeight="1">
      <c r="A110" s="1"/>
      <c r="B110" s="1"/>
      <c r="C110" s="1"/>
      <c r="D110" s="1"/>
      <c r="E110" s="1"/>
      <c r="F110" s="2"/>
      <c r="G110" s="2"/>
      <c r="H110" s="2"/>
      <c r="I110" s="2"/>
      <c r="J110" s="2"/>
      <c r="K110" s="2"/>
      <c r="L110" s="2"/>
      <c r="M110" s="2"/>
      <c r="N110" s="3"/>
      <c r="O110" s="3"/>
      <c r="P110" s="3"/>
      <c r="Q110" s="1"/>
      <c r="R110" s="1"/>
      <c r="S110" s="1"/>
      <c r="T110" s="1"/>
      <c r="U110" s="1"/>
      <c r="V110" s="1"/>
      <c r="W110" s="1"/>
      <c r="X110" s="1"/>
      <c r="Y110" s="1"/>
      <c r="Z110" s="1"/>
      <c r="AA110" s="1"/>
      <c r="AB110" s="1"/>
      <c r="AC110" s="1"/>
      <c r="AD110" s="1"/>
      <c r="AE110" s="1"/>
      <c r="AF110" s="1"/>
      <c r="AG110" s="1"/>
      <c r="AH110" s="1"/>
      <c r="AI110" s="1"/>
      <c r="AJ110" s="1"/>
      <c r="AK110" s="1"/>
    </row>
    <row r="111" spans="1:37" ht="12.75" customHeight="1">
      <c r="A111" s="1"/>
      <c r="B111" s="1"/>
      <c r="C111" s="1"/>
      <c r="D111" s="1"/>
      <c r="E111" s="1"/>
      <c r="F111" s="2"/>
      <c r="G111" s="2"/>
      <c r="H111" s="2"/>
      <c r="I111" s="2"/>
      <c r="J111" s="2"/>
      <c r="K111" s="2"/>
      <c r="L111" s="2"/>
      <c r="M111" s="2"/>
      <c r="N111" s="3"/>
      <c r="O111" s="3"/>
      <c r="P111" s="3"/>
      <c r="Q111" s="1"/>
      <c r="R111" s="1"/>
      <c r="S111" s="1"/>
      <c r="T111" s="1"/>
      <c r="U111" s="1"/>
      <c r="V111" s="1"/>
      <c r="W111" s="1"/>
      <c r="X111" s="1"/>
      <c r="Y111" s="1"/>
      <c r="Z111" s="1"/>
      <c r="AA111" s="1"/>
      <c r="AB111" s="1"/>
      <c r="AC111" s="1"/>
      <c r="AD111" s="1"/>
      <c r="AE111" s="1"/>
      <c r="AF111" s="1"/>
      <c r="AG111" s="1"/>
      <c r="AH111" s="1"/>
      <c r="AI111" s="1"/>
      <c r="AJ111" s="1"/>
      <c r="AK111" s="1"/>
    </row>
    <row r="112" spans="1:37" ht="12.75" customHeight="1">
      <c r="A112" s="1"/>
      <c r="B112" s="1"/>
      <c r="C112" s="1"/>
      <c r="D112" s="1"/>
      <c r="E112" s="1"/>
      <c r="F112" s="2"/>
      <c r="G112" s="2"/>
      <c r="H112" s="2"/>
      <c r="I112" s="2"/>
      <c r="J112" s="2"/>
      <c r="K112" s="2"/>
      <c r="L112" s="2"/>
      <c r="M112" s="2"/>
      <c r="N112" s="3"/>
      <c r="O112" s="3"/>
      <c r="P112" s="3"/>
      <c r="Q112" s="1"/>
      <c r="R112" s="1"/>
      <c r="S112" s="1"/>
      <c r="T112" s="1"/>
      <c r="U112" s="1"/>
      <c r="V112" s="1"/>
      <c r="W112" s="1"/>
      <c r="X112" s="1"/>
      <c r="Y112" s="1"/>
      <c r="Z112" s="1"/>
      <c r="AA112" s="1"/>
      <c r="AB112" s="1"/>
      <c r="AC112" s="1"/>
      <c r="AD112" s="1"/>
      <c r="AE112" s="1"/>
      <c r="AF112" s="1"/>
      <c r="AG112" s="1"/>
      <c r="AH112" s="1"/>
      <c r="AI112" s="1"/>
      <c r="AJ112" s="1"/>
      <c r="AK112" s="1"/>
    </row>
    <row r="113" spans="1:37" ht="12.75" customHeight="1">
      <c r="A113" s="1"/>
      <c r="B113" s="1"/>
      <c r="C113" s="1"/>
      <c r="D113" s="1"/>
      <c r="E113" s="1"/>
      <c r="F113" s="2"/>
      <c r="G113" s="2"/>
      <c r="H113" s="2"/>
      <c r="I113" s="2"/>
      <c r="J113" s="2"/>
      <c r="K113" s="2"/>
      <c r="L113" s="2"/>
      <c r="M113" s="2"/>
      <c r="N113" s="3"/>
      <c r="O113" s="3"/>
      <c r="P113" s="3"/>
      <c r="Q113" s="1"/>
      <c r="R113" s="1"/>
      <c r="S113" s="1"/>
      <c r="T113" s="1"/>
      <c r="U113" s="1"/>
      <c r="V113" s="1"/>
      <c r="W113" s="1"/>
      <c r="X113" s="1"/>
      <c r="Y113" s="1"/>
      <c r="Z113" s="1"/>
      <c r="AA113" s="1"/>
      <c r="AB113" s="1"/>
      <c r="AC113" s="1"/>
      <c r="AD113" s="1"/>
      <c r="AE113" s="1"/>
      <c r="AF113" s="1"/>
      <c r="AG113" s="1"/>
      <c r="AH113" s="1"/>
      <c r="AI113" s="1"/>
      <c r="AJ113" s="1"/>
      <c r="AK113" s="1"/>
    </row>
    <row r="114" spans="1:37" ht="12.75" customHeight="1">
      <c r="A114" s="1"/>
      <c r="B114" s="1"/>
      <c r="C114" s="1"/>
      <c r="D114" s="1"/>
      <c r="E114" s="1"/>
      <c r="F114" s="2"/>
      <c r="G114" s="2"/>
      <c r="H114" s="2"/>
      <c r="I114" s="2"/>
      <c r="J114" s="2"/>
      <c r="K114" s="2"/>
      <c r="L114" s="2"/>
      <c r="M114" s="2"/>
      <c r="N114" s="3"/>
      <c r="O114" s="3"/>
      <c r="P114" s="3"/>
      <c r="Q114" s="1"/>
      <c r="R114" s="1"/>
      <c r="S114" s="1"/>
      <c r="T114" s="1"/>
      <c r="U114" s="1"/>
      <c r="V114" s="1"/>
      <c r="W114" s="1"/>
      <c r="X114" s="1"/>
      <c r="Y114" s="1"/>
      <c r="Z114" s="1"/>
      <c r="AA114" s="1"/>
      <c r="AB114" s="1"/>
      <c r="AC114" s="1"/>
      <c r="AD114" s="1"/>
      <c r="AE114" s="1"/>
      <c r="AF114" s="1"/>
      <c r="AG114" s="1"/>
      <c r="AH114" s="1"/>
      <c r="AI114" s="1"/>
      <c r="AJ114" s="1"/>
      <c r="AK114" s="1"/>
    </row>
    <row r="115" spans="1:37" ht="12.75" customHeight="1">
      <c r="A115" s="1"/>
      <c r="B115" s="1"/>
      <c r="C115" s="1"/>
      <c r="D115" s="1"/>
      <c r="E115" s="1"/>
      <c r="F115" s="2"/>
      <c r="G115" s="2"/>
      <c r="H115" s="2"/>
      <c r="I115" s="2"/>
      <c r="J115" s="2"/>
      <c r="K115" s="2"/>
      <c r="L115" s="2"/>
      <c r="M115" s="2"/>
      <c r="N115" s="3"/>
      <c r="O115" s="3"/>
      <c r="P115" s="3"/>
      <c r="Q115" s="1"/>
      <c r="R115" s="1"/>
      <c r="S115" s="1"/>
      <c r="T115" s="1"/>
      <c r="U115" s="1"/>
      <c r="V115" s="1"/>
      <c r="W115" s="1"/>
      <c r="X115" s="1"/>
      <c r="Y115" s="1"/>
      <c r="Z115" s="1"/>
      <c r="AA115" s="1"/>
      <c r="AB115" s="1"/>
      <c r="AC115" s="1"/>
      <c r="AD115" s="1"/>
      <c r="AE115" s="1"/>
      <c r="AF115" s="1"/>
      <c r="AG115" s="1"/>
      <c r="AH115" s="1"/>
      <c r="AI115" s="1"/>
      <c r="AJ115" s="1"/>
      <c r="AK115" s="1"/>
    </row>
    <row r="116" spans="1:37" ht="12.75" customHeight="1">
      <c r="A116" s="1"/>
      <c r="B116" s="1"/>
      <c r="C116" s="1"/>
      <c r="D116" s="1"/>
      <c r="E116" s="1"/>
      <c r="F116" s="2"/>
      <c r="G116" s="2"/>
      <c r="H116" s="2"/>
      <c r="I116" s="2"/>
      <c r="J116" s="2"/>
      <c r="K116" s="2"/>
      <c r="L116" s="2"/>
      <c r="M116" s="2"/>
      <c r="N116" s="3"/>
      <c r="O116" s="3"/>
      <c r="P116" s="3"/>
      <c r="Q116" s="1"/>
      <c r="R116" s="1"/>
      <c r="S116" s="1"/>
      <c r="T116" s="1"/>
      <c r="U116" s="1"/>
      <c r="V116" s="1"/>
      <c r="W116" s="1"/>
      <c r="X116" s="1"/>
      <c r="Y116" s="1"/>
      <c r="Z116" s="1"/>
      <c r="AA116" s="1"/>
      <c r="AB116" s="1"/>
      <c r="AC116" s="1"/>
      <c r="AD116" s="1"/>
      <c r="AE116" s="1"/>
      <c r="AF116" s="1"/>
      <c r="AG116" s="1"/>
      <c r="AH116" s="1"/>
      <c r="AI116" s="1"/>
      <c r="AJ116" s="1"/>
      <c r="AK116" s="1"/>
    </row>
    <row r="117" spans="1:37" ht="12.75" customHeight="1">
      <c r="A117" s="1"/>
      <c r="B117" s="1"/>
      <c r="C117" s="1"/>
      <c r="D117" s="1"/>
      <c r="E117" s="1"/>
      <c r="F117" s="2"/>
      <c r="G117" s="2"/>
      <c r="H117" s="2"/>
      <c r="I117" s="2"/>
      <c r="J117" s="2"/>
      <c r="K117" s="2"/>
      <c r="L117" s="2"/>
      <c r="M117" s="2"/>
      <c r="N117" s="3"/>
      <c r="O117" s="3"/>
      <c r="P117" s="3"/>
      <c r="Q117" s="1"/>
      <c r="R117" s="1"/>
      <c r="S117" s="1"/>
      <c r="T117" s="1"/>
      <c r="U117" s="1"/>
      <c r="V117" s="1"/>
      <c r="W117" s="1"/>
      <c r="X117" s="1"/>
      <c r="Y117" s="1"/>
      <c r="Z117" s="1"/>
      <c r="AA117" s="1"/>
      <c r="AB117" s="1"/>
      <c r="AC117" s="1"/>
      <c r="AD117" s="1"/>
      <c r="AE117" s="1"/>
      <c r="AF117" s="1"/>
      <c r="AG117" s="1"/>
      <c r="AH117" s="1"/>
      <c r="AI117" s="1"/>
      <c r="AJ117" s="1"/>
      <c r="AK117" s="1"/>
    </row>
    <row r="118" spans="1:37" ht="12.75" customHeight="1">
      <c r="A118" s="1"/>
      <c r="B118" s="1"/>
      <c r="C118" s="1"/>
      <c r="D118" s="1"/>
      <c r="E118" s="1"/>
      <c r="F118" s="2"/>
      <c r="G118" s="2"/>
      <c r="H118" s="2"/>
      <c r="I118" s="2"/>
      <c r="J118" s="2"/>
      <c r="K118" s="2"/>
      <c r="L118" s="2"/>
      <c r="M118" s="2"/>
      <c r="N118" s="3"/>
      <c r="O118" s="3"/>
      <c r="P118" s="3"/>
      <c r="Q118" s="1"/>
      <c r="R118" s="1"/>
      <c r="S118" s="1"/>
      <c r="T118" s="1"/>
      <c r="U118" s="1"/>
      <c r="V118" s="1"/>
      <c r="W118" s="1"/>
      <c r="X118" s="1"/>
      <c r="Y118" s="1"/>
      <c r="Z118" s="1"/>
      <c r="AA118" s="1"/>
      <c r="AB118" s="1"/>
      <c r="AC118" s="1"/>
      <c r="AD118" s="1"/>
      <c r="AE118" s="1"/>
      <c r="AF118" s="1"/>
      <c r="AG118" s="1"/>
      <c r="AH118" s="1"/>
      <c r="AI118" s="1"/>
      <c r="AJ118" s="1"/>
      <c r="AK118" s="1"/>
    </row>
    <row r="119" spans="1:37" ht="12.75" customHeight="1">
      <c r="A119" s="1"/>
      <c r="B119" s="1"/>
      <c r="C119" s="1"/>
      <c r="D119" s="1"/>
      <c r="E119" s="1"/>
      <c r="F119" s="2"/>
      <c r="G119" s="2"/>
      <c r="H119" s="2"/>
      <c r="I119" s="2"/>
      <c r="J119" s="2"/>
      <c r="K119" s="2"/>
      <c r="L119" s="2"/>
      <c r="M119" s="2"/>
      <c r="N119" s="3"/>
      <c r="O119" s="3"/>
      <c r="P119" s="3"/>
      <c r="Q119" s="1"/>
      <c r="R119" s="1"/>
      <c r="S119" s="1"/>
      <c r="T119" s="1"/>
      <c r="U119" s="1"/>
      <c r="V119" s="1"/>
      <c r="W119" s="1"/>
      <c r="X119" s="1"/>
      <c r="Y119" s="1"/>
      <c r="Z119" s="1"/>
      <c r="AA119" s="1"/>
      <c r="AB119" s="1"/>
      <c r="AC119" s="1"/>
      <c r="AD119" s="1"/>
      <c r="AE119" s="1"/>
      <c r="AF119" s="1"/>
      <c r="AG119" s="1"/>
      <c r="AH119" s="1"/>
      <c r="AI119" s="1"/>
      <c r="AJ119" s="1"/>
      <c r="AK119" s="1"/>
    </row>
    <row r="120" spans="1:37" ht="12.75" customHeight="1">
      <c r="A120" s="1"/>
      <c r="B120" s="1"/>
      <c r="C120" s="1"/>
      <c r="D120" s="1"/>
      <c r="E120" s="1"/>
      <c r="F120" s="2"/>
      <c r="G120" s="2"/>
      <c r="H120" s="2"/>
      <c r="I120" s="2"/>
      <c r="J120" s="2"/>
      <c r="K120" s="2"/>
      <c r="L120" s="2"/>
      <c r="M120" s="2"/>
      <c r="N120" s="3"/>
      <c r="O120" s="3"/>
      <c r="P120" s="3"/>
      <c r="Q120" s="1"/>
      <c r="R120" s="1"/>
      <c r="S120" s="1"/>
      <c r="T120" s="1"/>
      <c r="U120" s="1"/>
      <c r="V120" s="1"/>
      <c r="W120" s="1"/>
      <c r="X120" s="1"/>
      <c r="Y120" s="1"/>
      <c r="Z120" s="1"/>
      <c r="AA120" s="1"/>
      <c r="AB120" s="1"/>
      <c r="AC120" s="1"/>
      <c r="AD120" s="1"/>
      <c r="AE120" s="1"/>
      <c r="AF120" s="1"/>
      <c r="AG120" s="1"/>
      <c r="AH120" s="1"/>
      <c r="AI120" s="1"/>
      <c r="AJ120" s="1"/>
      <c r="AK120" s="1"/>
    </row>
    <row r="121" spans="1:37" ht="12.75" customHeight="1">
      <c r="A121" s="1"/>
      <c r="B121" s="1"/>
      <c r="C121" s="1"/>
      <c r="D121" s="1"/>
      <c r="E121" s="1"/>
      <c r="F121" s="2"/>
      <c r="G121" s="2"/>
      <c r="H121" s="2"/>
      <c r="I121" s="2"/>
      <c r="J121" s="2"/>
      <c r="K121" s="2"/>
      <c r="L121" s="2"/>
      <c r="M121" s="2"/>
      <c r="N121" s="3"/>
      <c r="O121" s="3"/>
      <c r="P121" s="3"/>
      <c r="Q121" s="1"/>
      <c r="R121" s="1"/>
      <c r="S121" s="1"/>
      <c r="T121" s="1"/>
      <c r="U121" s="1"/>
      <c r="V121" s="1"/>
      <c r="W121" s="1"/>
      <c r="X121" s="1"/>
      <c r="Y121" s="1"/>
      <c r="Z121" s="1"/>
      <c r="AA121" s="1"/>
      <c r="AB121" s="1"/>
      <c r="AC121" s="1"/>
      <c r="AD121" s="1"/>
      <c r="AE121" s="1"/>
      <c r="AF121" s="1"/>
      <c r="AG121" s="1"/>
      <c r="AH121" s="1"/>
      <c r="AI121" s="1"/>
      <c r="AJ121" s="1"/>
      <c r="AK121" s="1"/>
    </row>
    <row r="122" spans="1:37" ht="12.75" customHeight="1">
      <c r="A122" s="1"/>
      <c r="B122" s="1"/>
      <c r="C122" s="1"/>
      <c r="D122" s="1"/>
      <c r="E122" s="1"/>
      <c r="F122" s="2"/>
      <c r="G122" s="2"/>
      <c r="H122" s="2"/>
      <c r="I122" s="2"/>
      <c r="J122" s="2"/>
      <c r="K122" s="2"/>
      <c r="L122" s="2"/>
      <c r="M122" s="2"/>
      <c r="N122" s="3"/>
      <c r="O122" s="3"/>
      <c r="P122" s="3"/>
      <c r="Q122" s="1"/>
      <c r="R122" s="1"/>
      <c r="S122" s="1"/>
      <c r="T122" s="1"/>
      <c r="U122" s="1"/>
      <c r="V122" s="1"/>
      <c r="W122" s="1"/>
      <c r="X122" s="1"/>
      <c r="Y122" s="1"/>
      <c r="Z122" s="1"/>
      <c r="AA122" s="1"/>
      <c r="AB122" s="1"/>
      <c r="AC122" s="1"/>
      <c r="AD122" s="1"/>
      <c r="AE122" s="1"/>
      <c r="AF122" s="1"/>
      <c r="AG122" s="1"/>
      <c r="AH122" s="1"/>
      <c r="AI122" s="1"/>
      <c r="AJ122" s="1"/>
      <c r="AK122" s="1"/>
    </row>
    <row r="123" spans="1:37" ht="12.75" customHeight="1">
      <c r="A123" s="1"/>
      <c r="B123" s="1"/>
      <c r="C123" s="1"/>
      <c r="D123" s="1"/>
      <c r="E123" s="1"/>
      <c r="F123" s="2"/>
      <c r="G123" s="2"/>
      <c r="H123" s="2"/>
      <c r="I123" s="2"/>
      <c r="J123" s="2"/>
      <c r="K123" s="2"/>
      <c r="L123" s="2"/>
      <c r="M123" s="2"/>
      <c r="N123" s="3"/>
      <c r="O123" s="3"/>
      <c r="P123" s="3"/>
      <c r="Q123" s="1"/>
      <c r="R123" s="1"/>
      <c r="S123" s="1"/>
      <c r="T123" s="1"/>
      <c r="U123" s="1"/>
      <c r="V123" s="1"/>
      <c r="W123" s="1"/>
      <c r="X123" s="1"/>
      <c r="Y123" s="1"/>
      <c r="Z123" s="1"/>
      <c r="AA123" s="1"/>
      <c r="AB123" s="1"/>
      <c r="AC123" s="1"/>
      <c r="AD123" s="1"/>
      <c r="AE123" s="1"/>
      <c r="AF123" s="1"/>
      <c r="AG123" s="1"/>
      <c r="AH123" s="1"/>
      <c r="AI123" s="1"/>
      <c r="AJ123" s="1"/>
      <c r="AK123" s="1"/>
    </row>
    <row r="124" spans="1:37" ht="12.75" customHeight="1">
      <c r="A124" s="1"/>
      <c r="B124" s="1"/>
      <c r="C124" s="1"/>
      <c r="D124" s="1"/>
      <c r="E124" s="1"/>
      <c r="F124" s="2"/>
      <c r="G124" s="2"/>
      <c r="H124" s="2"/>
      <c r="I124" s="2"/>
      <c r="J124" s="2"/>
      <c r="K124" s="2"/>
      <c r="L124" s="2"/>
      <c r="M124" s="2"/>
      <c r="N124" s="3"/>
      <c r="O124" s="3"/>
      <c r="P124" s="3"/>
      <c r="Q124" s="1"/>
      <c r="R124" s="1"/>
      <c r="S124" s="1"/>
      <c r="T124" s="1"/>
      <c r="U124" s="1"/>
      <c r="V124" s="1"/>
      <c r="W124" s="1"/>
      <c r="X124" s="1"/>
      <c r="Y124" s="1"/>
      <c r="Z124" s="1"/>
      <c r="AA124" s="1"/>
      <c r="AB124" s="1"/>
      <c r="AC124" s="1"/>
      <c r="AD124" s="1"/>
      <c r="AE124" s="1"/>
      <c r="AF124" s="1"/>
      <c r="AG124" s="1"/>
      <c r="AH124" s="1"/>
      <c r="AI124" s="1"/>
      <c r="AJ124" s="1"/>
      <c r="AK124" s="1"/>
    </row>
    <row r="125" spans="1:37" ht="12.75" customHeight="1">
      <c r="A125" s="1"/>
      <c r="B125" s="1"/>
      <c r="C125" s="1"/>
      <c r="D125" s="1"/>
      <c r="E125" s="1"/>
      <c r="F125" s="2"/>
      <c r="G125" s="2"/>
      <c r="H125" s="2"/>
      <c r="I125" s="2"/>
      <c r="J125" s="2"/>
      <c r="K125" s="2"/>
      <c r="L125" s="2"/>
      <c r="M125" s="2"/>
      <c r="N125" s="3"/>
      <c r="O125" s="3"/>
      <c r="P125" s="3"/>
      <c r="Q125" s="1"/>
      <c r="R125" s="1"/>
      <c r="S125" s="1"/>
      <c r="T125" s="1"/>
      <c r="U125" s="1"/>
      <c r="V125" s="1"/>
      <c r="W125" s="1"/>
      <c r="X125" s="1"/>
      <c r="Y125" s="1"/>
      <c r="Z125" s="1"/>
      <c r="AA125" s="1"/>
      <c r="AB125" s="1"/>
      <c r="AC125" s="1"/>
      <c r="AD125" s="1"/>
      <c r="AE125" s="1"/>
      <c r="AF125" s="1"/>
      <c r="AG125" s="1"/>
      <c r="AH125" s="1"/>
      <c r="AI125" s="1"/>
      <c r="AJ125" s="1"/>
      <c r="AK125" s="1"/>
    </row>
    <row r="126" spans="1:37" ht="12.75" customHeight="1">
      <c r="A126" s="1"/>
      <c r="B126" s="1"/>
      <c r="C126" s="1"/>
      <c r="D126" s="1"/>
      <c r="E126" s="1"/>
      <c r="F126" s="2"/>
      <c r="G126" s="2"/>
      <c r="H126" s="2"/>
      <c r="I126" s="2"/>
      <c r="J126" s="2"/>
      <c r="K126" s="2"/>
      <c r="L126" s="2"/>
      <c r="M126" s="2"/>
      <c r="N126" s="3"/>
      <c r="O126" s="3"/>
      <c r="P126" s="3"/>
      <c r="Q126" s="1"/>
      <c r="R126" s="1"/>
      <c r="S126" s="1"/>
      <c r="T126" s="1"/>
      <c r="U126" s="1"/>
      <c r="V126" s="1"/>
      <c r="W126" s="1"/>
      <c r="X126" s="1"/>
      <c r="Y126" s="1"/>
      <c r="Z126" s="1"/>
      <c r="AA126" s="1"/>
      <c r="AB126" s="1"/>
      <c r="AC126" s="1"/>
      <c r="AD126" s="1"/>
      <c r="AE126" s="1"/>
      <c r="AF126" s="1"/>
      <c r="AG126" s="1"/>
      <c r="AH126" s="1"/>
      <c r="AI126" s="1"/>
      <c r="AJ126" s="1"/>
      <c r="AK126" s="1"/>
    </row>
    <row r="127" spans="1:37" ht="12.75" customHeight="1">
      <c r="A127" s="1"/>
      <c r="B127" s="1"/>
      <c r="C127" s="1"/>
      <c r="D127" s="1"/>
      <c r="E127" s="1"/>
      <c r="F127" s="2"/>
      <c r="G127" s="2"/>
      <c r="H127" s="2"/>
      <c r="I127" s="2"/>
      <c r="J127" s="2"/>
      <c r="K127" s="2"/>
      <c r="L127" s="2"/>
      <c r="M127" s="2"/>
      <c r="N127" s="3"/>
      <c r="O127" s="3"/>
      <c r="P127" s="3"/>
      <c r="Q127" s="1"/>
      <c r="R127" s="1"/>
      <c r="S127" s="1"/>
      <c r="T127" s="1"/>
      <c r="U127" s="1"/>
      <c r="V127" s="1"/>
      <c r="W127" s="1"/>
      <c r="X127" s="1"/>
      <c r="Y127" s="1"/>
      <c r="Z127" s="1"/>
      <c r="AA127" s="1"/>
      <c r="AB127" s="1"/>
      <c r="AC127" s="1"/>
      <c r="AD127" s="1"/>
      <c r="AE127" s="1"/>
      <c r="AF127" s="1"/>
      <c r="AG127" s="1"/>
      <c r="AH127" s="1"/>
      <c r="AI127" s="1"/>
      <c r="AJ127" s="1"/>
      <c r="AK127" s="1"/>
    </row>
    <row r="128" spans="1:37" ht="12.75" customHeight="1">
      <c r="A128" s="1"/>
      <c r="B128" s="1"/>
      <c r="C128" s="1"/>
      <c r="D128" s="1"/>
      <c r="E128" s="1"/>
      <c r="F128" s="2"/>
      <c r="G128" s="2"/>
      <c r="H128" s="2"/>
      <c r="I128" s="2"/>
      <c r="J128" s="2"/>
      <c r="K128" s="2"/>
      <c r="L128" s="2"/>
      <c r="M128" s="2"/>
      <c r="N128" s="3"/>
      <c r="O128" s="3"/>
      <c r="P128" s="3"/>
      <c r="Q128" s="1"/>
      <c r="R128" s="1"/>
      <c r="S128" s="1"/>
      <c r="T128" s="1"/>
      <c r="U128" s="1"/>
      <c r="V128" s="1"/>
      <c r="W128" s="1"/>
      <c r="X128" s="1"/>
      <c r="Y128" s="1"/>
      <c r="Z128" s="1"/>
      <c r="AA128" s="1"/>
      <c r="AB128" s="1"/>
      <c r="AC128" s="1"/>
      <c r="AD128" s="1"/>
      <c r="AE128" s="1"/>
      <c r="AF128" s="1"/>
      <c r="AG128" s="1"/>
      <c r="AH128" s="1"/>
      <c r="AI128" s="1"/>
      <c r="AJ128" s="1"/>
      <c r="AK128" s="1"/>
    </row>
    <row r="129" spans="1:37" ht="12.75" customHeight="1">
      <c r="A129" s="1"/>
      <c r="B129" s="1"/>
      <c r="C129" s="1"/>
      <c r="D129" s="1"/>
      <c r="E129" s="1"/>
      <c r="F129" s="2"/>
      <c r="G129" s="2"/>
      <c r="H129" s="2"/>
      <c r="I129" s="2"/>
      <c r="J129" s="2"/>
      <c r="K129" s="2"/>
      <c r="L129" s="2"/>
      <c r="M129" s="2"/>
      <c r="N129" s="3"/>
      <c r="O129" s="3"/>
      <c r="P129" s="3"/>
      <c r="Q129" s="1"/>
      <c r="R129" s="1"/>
      <c r="S129" s="1"/>
      <c r="T129" s="1"/>
      <c r="U129" s="1"/>
      <c r="V129" s="1"/>
      <c r="W129" s="1"/>
      <c r="X129" s="1"/>
      <c r="Y129" s="1"/>
      <c r="Z129" s="1"/>
      <c r="AA129" s="1"/>
      <c r="AB129" s="1"/>
      <c r="AC129" s="1"/>
      <c r="AD129" s="1"/>
      <c r="AE129" s="1"/>
      <c r="AF129" s="1"/>
      <c r="AG129" s="1"/>
      <c r="AH129" s="1"/>
      <c r="AI129" s="1"/>
      <c r="AJ129" s="1"/>
      <c r="AK129" s="1"/>
    </row>
    <row r="130" spans="1:37" ht="12.75" customHeight="1">
      <c r="A130" s="1"/>
      <c r="B130" s="1"/>
      <c r="C130" s="1"/>
      <c r="D130" s="1"/>
      <c r="E130" s="1"/>
      <c r="F130" s="2"/>
      <c r="G130" s="2"/>
      <c r="H130" s="2"/>
      <c r="I130" s="2"/>
      <c r="J130" s="2"/>
      <c r="K130" s="2"/>
      <c r="L130" s="2"/>
      <c r="M130" s="2"/>
      <c r="N130" s="3"/>
      <c r="O130" s="3"/>
      <c r="P130" s="3"/>
      <c r="Q130" s="1"/>
      <c r="R130" s="1"/>
      <c r="S130" s="1"/>
      <c r="T130" s="1"/>
      <c r="U130" s="1"/>
      <c r="V130" s="1"/>
      <c r="W130" s="1"/>
      <c r="X130" s="1"/>
      <c r="Y130" s="1"/>
      <c r="Z130" s="1"/>
      <c r="AA130" s="1"/>
      <c r="AB130" s="1"/>
      <c r="AC130" s="1"/>
      <c r="AD130" s="1"/>
      <c r="AE130" s="1"/>
      <c r="AF130" s="1"/>
      <c r="AG130" s="1"/>
      <c r="AH130" s="1"/>
      <c r="AI130" s="1"/>
      <c r="AJ130" s="1"/>
      <c r="AK130" s="1"/>
    </row>
    <row r="131" spans="1:37" ht="12.75" customHeight="1">
      <c r="A131" s="1"/>
      <c r="B131" s="1"/>
      <c r="C131" s="1"/>
      <c r="D131" s="1"/>
      <c r="E131" s="1"/>
      <c r="F131" s="2"/>
      <c r="G131" s="2"/>
      <c r="H131" s="2"/>
      <c r="I131" s="2"/>
      <c r="J131" s="2"/>
      <c r="K131" s="2"/>
      <c r="L131" s="2"/>
      <c r="M131" s="2"/>
      <c r="N131" s="3"/>
      <c r="O131" s="3"/>
      <c r="P131" s="3"/>
      <c r="Q131" s="1"/>
      <c r="R131" s="1"/>
      <c r="S131" s="1"/>
      <c r="T131" s="1"/>
      <c r="U131" s="1"/>
      <c r="V131" s="1"/>
      <c r="W131" s="1"/>
      <c r="X131" s="1"/>
      <c r="Y131" s="1"/>
      <c r="Z131" s="1"/>
      <c r="AA131" s="1"/>
      <c r="AB131" s="1"/>
      <c r="AC131" s="1"/>
      <c r="AD131" s="1"/>
      <c r="AE131" s="1"/>
      <c r="AF131" s="1"/>
      <c r="AG131" s="1"/>
      <c r="AH131" s="1"/>
      <c r="AI131" s="1"/>
      <c r="AJ131" s="1"/>
      <c r="AK131" s="1"/>
    </row>
    <row r="132" spans="1:37" ht="12.75" customHeight="1">
      <c r="A132" s="1"/>
      <c r="B132" s="1"/>
      <c r="C132" s="1"/>
      <c r="D132" s="1"/>
      <c r="E132" s="1"/>
      <c r="F132" s="2"/>
      <c r="G132" s="2"/>
      <c r="H132" s="2"/>
      <c r="I132" s="2"/>
      <c r="J132" s="2"/>
      <c r="K132" s="2"/>
      <c r="L132" s="2"/>
      <c r="M132" s="2"/>
      <c r="N132" s="3"/>
      <c r="O132" s="3"/>
      <c r="P132" s="3"/>
      <c r="Q132" s="1"/>
      <c r="R132" s="1"/>
      <c r="S132" s="1"/>
      <c r="T132" s="1"/>
      <c r="U132" s="1"/>
      <c r="V132" s="1"/>
      <c r="W132" s="1"/>
      <c r="X132" s="1"/>
      <c r="Y132" s="1"/>
      <c r="Z132" s="1"/>
      <c r="AA132" s="1"/>
      <c r="AB132" s="1"/>
      <c r="AC132" s="1"/>
      <c r="AD132" s="1"/>
      <c r="AE132" s="1"/>
      <c r="AF132" s="1"/>
      <c r="AG132" s="1"/>
      <c r="AH132" s="1"/>
      <c r="AI132" s="1"/>
      <c r="AJ132" s="1"/>
      <c r="AK132" s="1"/>
    </row>
    <row r="133" spans="1:37" ht="12.75" customHeight="1">
      <c r="A133" s="1"/>
      <c r="B133" s="1"/>
      <c r="C133" s="1"/>
      <c r="D133" s="1"/>
      <c r="E133" s="1"/>
      <c r="F133" s="2"/>
      <c r="G133" s="2"/>
      <c r="H133" s="2"/>
      <c r="I133" s="2"/>
      <c r="J133" s="2"/>
      <c r="K133" s="2"/>
      <c r="L133" s="2"/>
      <c r="M133" s="2"/>
      <c r="N133" s="3"/>
      <c r="O133" s="3"/>
      <c r="P133" s="3"/>
      <c r="Q133" s="1"/>
      <c r="R133" s="1"/>
      <c r="S133" s="1"/>
      <c r="T133" s="1"/>
      <c r="U133" s="1"/>
      <c r="V133" s="1"/>
      <c r="W133" s="1"/>
      <c r="X133" s="1"/>
      <c r="Y133" s="1"/>
      <c r="Z133" s="1"/>
      <c r="AA133" s="1"/>
      <c r="AB133" s="1"/>
      <c r="AC133" s="1"/>
      <c r="AD133" s="1"/>
      <c r="AE133" s="1"/>
      <c r="AF133" s="1"/>
      <c r="AG133" s="1"/>
      <c r="AH133" s="1"/>
      <c r="AI133" s="1"/>
      <c r="AJ133" s="1"/>
      <c r="AK133" s="1"/>
    </row>
    <row r="134" spans="1:37" ht="12.75" customHeight="1">
      <c r="A134" s="1"/>
      <c r="B134" s="1"/>
      <c r="C134" s="1"/>
      <c r="D134" s="1"/>
      <c r="E134" s="1"/>
      <c r="F134" s="2"/>
      <c r="G134" s="2"/>
      <c r="H134" s="2"/>
      <c r="I134" s="2"/>
      <c r="J134" s="2"/>
      <c r="K134" s="2"/>
      <c r="L134" s="2"/>
      <c r="M134" s="2"/>
      <c r="N134" s="3"/>
      <c r="O134" s="3"/>
      <c r="P134" s="3"/>
      <c r="Q134" s="1"/>
      <c r="R134" s="1"/>
      <c r="S134" s="1"/>
      <c r="T134" s="1"/>
      <c r="U134" s="1"/>
      <c r="V134" s="1"/>
      <c r="W134" s="1"/>
      <c r="X134" s="1"/>
      <c r="Y134" s="1"/>
      <c r="Z134" s="1"/>
      <c r="AA134" s="1"/>
      <c r="AB134" s="1"/>
      <c r="AC134" s="1"/>
      <c r="AD134" s="1"/>
      <c r="AE134" s="1"/>
      <c r="AF134" s="1"/>
      <c r="AG134" s="1"/>
      <c r="AH134" s="1"/>
      <c r="AI134" s="1"/>
      <c r="AJ134" s="1"/>
      <c r="AK134" s="1"/>
    </row>
    <row r="135" spans="1:37" ht="12.75" customHeight="1">
      <c r="A135" s="1"/>
      <c r="B135" s="1"/>
      <c r="C135" s="1"/>
      <c r="D135" s="1"/>
      <c r="E135" s="1"/>
      <c r="F135" s="2"/>
      <c r="G135" s="2"/>
      <c r="H135" s="2"/>
      <c r="I135" s="2"/>
      <c r="J135" s="2"/>
      <c r="K135" s="2"/>
      <c r="L135" s="2"/>
      <c r="M135" s="2"/>
      <c r="N135" s="3"/>
      <c r="O135" s="3"/>
      <c r="P135" s="3"/>
      <c r="Q135" s="1"/>
      <c r="R135" s="1"/>
      <c r="S135" s="1"/>
      <c r="T135" s="1"/>
      <c r="U135" s="1"/>
      <c r="V135" s="1"/>
      <c r="W135" s="1"/>
      <c r="X135" s="1"/>
      <c r="Y135" s="1"/>
      <c r="Z135" s="1"/>
      <c r="AA135" s="1"/>
      <c r="AB135" s="1"/>
      <c r="AC135" s="1"/>
      <c r="AD135" s="1"/>
      <c r="AE135" s="1"/>
      <c r="AF135" s="1"/>
      <c r="AG135" s="1"/>
      <c r="AH135" s="1"/>
      <c r="AI135" s="1"/>
      <c r="AJ135" s="1"/>
      <c r="AK135" s="1"/>
    </row>
    <row r="136" spans="1:37" ht="12.75" customHeight="1">
      <c r="A136" s="1"/>
      <c r="B136" s="1"/>
      <c r="C136" s="1"/>
      <c r="D136" s="1"/>
      <c r="E136" s="1"/>
      <c r="F136" s="2"/>
      <c r="G136" s="2"/>
      <c r="H136" s="2"/>
      <c r="I136" s="2"/>
      <c r="J136" s="2"/>
      <c r="K136" s="2"/>
      <c r="L136" s="2"/>
      <c r="M136" s="2"/>
      <c r="N136" s="3"/>
      <c r="O136" s="3"/>
      <c r="P136" s="3"/>
      <c r="Q136" s="1"/>
      <c r="R136" s="1"/>
      <c r="S136" s="1"/>
      <c r="T136" s="1"/>
      <c r="U136" s="1"/>
      <c r="V136" s="1"/>
      <c r="W136" s="1"/>
      <c r="X136" s="1"/>
      <c r="Y136" s="1"/>
      <c r="Z136" s="1"/>
      <c r="AA136" s="1"/>
      <c r="AB136" s="1"/>
      <c r="AC136" s="1"/>
      <c r="AD136" s="1"/>
      <c r="AE136" s="1"/>
      <c r="AF136" s="1"/>
      <c r="AG136" s="1"/>
      <c r="AH136" s="1"/>
      <c r="AI136" s="1"/>
      <c r="AJ136" s="1"/>
      <c r="AK136" s="1"/>
    </row>
    <row r="137" spans="1:37" ht="12.75" customHeight="1">
      <c r="A137" s="1"/>
      <c r="B137" s="1"/>
      <c r="C137" s="1"/>
      <c r="D137" s="1"/>
      <c r="E137" s="1"/>
      <c r="F137" s="2"/>
      <c r="G137" s="2"/>
      <c r="H137" s="2"/>
      <c r="I137" s="2"/>
      <c r="J137" s="2"/>
      <c r="K137" s="2"/>
      <c r="L137" s="2"/>
      <c r="M137" s="2"/>
      <c r="N137" s="3"/>
      <c r="O137" s="3"/>
      <c r="P137" s="3"/>
      <c r="Q137" s="1"/>
      <c r="R137" s="1"/>
      <c r="S137" s="1"/>
      <c r="T137" s="1"/>
      <c r="U137" s="1"/>
      <c r="V137" s="1"/>
      <c r="W137" s="1"/>
      <c r="X137" s="1"/>
      <c r="Y137" s="1"/>
      <c r="Z137" s="1"/>
      <c r="AA137" s="1"/>
      <c r="AB137" s="1"/>
      <c r="AC137" s="1"/>
      <c r="AD137" s="1"/>
      <c r="AE137" s="1"/>
      <c r="AF137" s="1"/>
      <c r="AG137" s="1"/>
      <c r="AH137" s="1"/>
      <c r="AI137" s="1"/>
      <c r="AJ137" s="1"/>
      <c r="AK137" s="1"/>
    </row>
    <row r="138" spans="1:37" ht="12.75" customHeight="1">
      <c r="A138" s="1"/>
      <c r="B138" s="1"/>
      <c r="C138" s="1"/>
      <c r="D138" s="1"/>
      <c r="E138" s="1"/>
      <c r="F138" s="2"/>
      <c r="G138" s="2"/>
      <c r="H138" s="2"/>
      <c r="I138" s="2"/>
      <c r="J138" s="2"/>
      <c r="K138" s="2"/>
      <c r="L138" s="2"/>
      <c r="M138" s="2"/>
      <c r="N138" s="3"/>
      <c r="O138" s="3"/>
      <c r="P138" s="3"/>
      <c r="Q138" s="1"/>
      <c r="R138" s="1"/>
      <c r="S138" s="1"/>
      <c r="T138" s="1"/>
      <c r="U138" s="1"/>
      <c r="V138" s="1"/>
      <c r="W138" s="1"/>
      <c r="X138" s="1"/>
      <c r="Y138" s="1"/>
      <c r="Z138" s="1"/>
      <c r="AA138" s="1"/>
      <c r="AB138" s="1"/>
      <c r="AC138" s="1"/>
      <c r="AD138" s="1"/>
      <c r="AE138" s="1"/>
      <c r="AF138" s="1"/>
      <c r="AG138" s="1"/>
      <c r="AH138" s="1"/>
      <c r="AI138" s="1"/>
      <c r="AJ138" s="1"/>
      <c r="AK138" s="1"/>
    </row>
    <row r="139" spans="1:37" ht="12.75" customHeight="1">
      <c r="A139" s="1"/>
      <c r="B139" s="1"/>
      <c r="C139" s="1"/>
      <c r="D139" s="1"/>
      <c r="E139" s="1"/>
      <c r="F139" s="2"/>
      <c r="G139" s="2"/>
      <c r="H139" s="2"/>
      <c r="I139" s="2"/>
      <c r="J139" s="2"/>
      <c r="K139" s="2"/>
      <c r="L139" s="2"/>
      <c r="M139" s="2"/>
      <c r="N139" s="3"/>
      <c r="O139" s="3"/>
      <c r="P139" s="3"/>
      <c r="Q139" s="1"/>
      <c r="R139" s="1"/>
      <c r="S139" s="1"/>
      <c r="T139" s="1"/>
      <c r="U139" s="1"/>
      <c r="V139" s="1"/>
      <c r="W139" s="1"/>
      <c r="X139" s="1"/>
      <c r="Y139" s="1"/>
      <c r="Z139" s="1"/>
      <c r="AA139" s="1"/>
      <c r="AB139" s="1"/>
      <c r="AC139" s="1"/>
      <c r="AD139" s="1"/>
      <c r="AE139" s="1"/>
      <c r="AF139" s="1"/>
      <c r="AG139" s="1"/>
      <c r="AH139" s="1"/>
      <c r="AI139" s="1"/>
      <c r="AJ139" s="1"/>
      <c r="AK139" s="1"/>
    </row>
    <row r="140" spans="1:37" ht="12.75" customHeight="1">
      <c r="A140" s="1"/>
      <c r="B140" s="1"/>
      <c r="C140" s="1"/>
      <c r="D140" s="1"/>
      <c r="E140" s="1"/>
      <c r="F140" s="2"/>
      <c r="G140" s="2"/>
      <c r="H140" s="2"/>
      <c r="I140" s="2"/>
      <c r="J140" s="2"/>
      <c r="K140" s="2"/>
      <c r="L140" s="2"/>
      <c r="M140" s="2"/>
      <c r="N140" s="3"/>
      <c r="O140" s="3"/>
      <c r="P140" s="3"/>
      <c r="Q140" s="1"/>
      <c r="R140" s="1"/>
      <c r="S140" s="1"/>
      <c r="T140" s="1"/>
      <c r="U140" s="1"/>
      <c r="V140" s="1"/>
      <c r="W140" s="1"/>
      <c r="X140" s="1"/>
      <c r="Y140" s="1"/>
      <c r="Z140" s="1"/>
      <c r="AA140" s="1"/>
      <c r="AB140" s="1"/>
      <c r="AC140" s="1"/>
      <c r="AD140" s="1"/>
      <c r="AE140" s="1"/>
      <c r="AF140" s="1"/>
      <c r="AG140" s="1"/>
      <c r="AH140" s="1"/>
      <c r="AI140" s="1"/>
      <c r="AJ140" s="1"/>
      <c r="AK140" s="1"/>
    </row>
    <row r="141" spans="1:37" ht="12.75" customHeight="1">
      <c r="A141" s="1"/>
      <c r="B141" s="1"/>
      <c r="C141" s="1"/>
      <c r="D141" s="1"/>
      <c r="E141" s="1"/>
      <c r="F141" s="2"/>
      <c r="G141" s="2"/>
      <c r="H141" s="2"/>
      <c r="I141" s="2"/>
      <c r="J141" s="2"/>
      <c r="K141" s="2"/>
      <c r="L141" s="2"/>
      <c r="M141" s="2"/>
      <c r="N141" s="3"/>
      <c r="O141" s="3"/>
      <c r="P141" s="3"/>
      <c r="Q141" s="1"/>
      <c r="R141" s="1"/>
      <c r="S141" s="1"/>
      <c r="T141" s="1"/>
      <c r="U141" s="1"/>
      <c r="V141" s="1"/>
      <c r="W141" s="1"/>
      <c r="X141" s="1"/>
      <c r="Y141" s="1"/>
      <c r="Z141" s="1"/>
      <c r="AA141" s="1"/>
      <c r="AB141" s="1"/>
      <c r="AC141" s="1"/>
      <c r="AD141" s="1"/>
      <c r="AE141" s="1"/>
      <c r="AF141" s="1"/>
      <c r="AG141" s="1"/>
      <c r="AH141" s="1"/>
      <c r="AI141" s="1"/>
      <c r="AJ141" s="1"/>
      <c r="AK141" s="1"/>
    </row>
    <row r="142" spans="1:37" ht="12.75" customHeight="1">
      <c r="A142" s="1"/>
      <c r="B142" s="1"/>
      <c r="C142" s="1"/>
      <c r="D142" s="1"/>
      <c r="E142" s="1"/>
      <c r="F142" s="2"/>
      <c r="G142" s="2"/>
      <c r="H142" s="2"/>
      <c r="I142" s="2"/>
      <c r="J142" s="2"/>
      <c r="K142" s="2"/>
      <c r="L142" s="2"/>
      <c r="M142" s="2"/>
      <c r="N142" s="3"/>
      <c r="O142" s="3"/>
      <c r="P142" s="3"/>
      <c r="Q142" s="1"/>
      <c r="R142" s="1"/>
      <c r="S142" s="1"/>
      <c r="T142" s="1"/>
      <c r="U142" s="1"/>
      <c r="V142" s="1"/>
      <c r="W142" s="1"/>
      <c r="X142" s="1"/>
      <c r="Y142" s="1"/>
      <c r="Z142" s="1"/>
      <c r="AA142" s="1"/>
      <c r="AB142" s="1"/>
      <c r="AC142" s="1"/>
      <c r="AD142" s="1"/>
      <c r="AE142" s="1"/>
      <c r="AF142" s="1"/>
      <c r="AG142" s="1"/>
      <c r="AH142" s="1"/>
      <c r="AI142" s="1"/>
      <c r="AJ142" s="1"/>
      <c r="AK142" s="1"/>
    </row>
    <row r="143" spans="1:37" ht="12.75" customHeight="1">
      <c r="A143" s="1"/>
      <c r="B143" s="1"/>
      <c r="C143" s="1"/>
      <c r="D143" s="1"/>
      <c r="E143" s="1"/>
      <c r="F143" s="2"/>
      <c r="G143" s="2"/>
      <c r="H143" s="2"/>
      <c r="I143" s="2"/>
      <c r="J143" s="2"/>
      <c r="K143" s="2"/>
      <c r="L143" s="2"/>
      <c r="M143" s="2"/>
      <c r="N143" s="3"/>
      <c r="O143" s="3"/>
      <c r="P143" s="3"/>
      <c r="Q143" s="1"/>
      <c r="R143" s="1"/>
      <c r="S143" s="1"/>
      <c r="T143" s="1"/>
      <c r="U143" s="1"/>
      <c r="V143" s="1"/>
      <c r="W143" s="1"/>
      <c r="X143" s="1"/>
      <c r="Y143" s="1"/>
      <c r="Z143" s="1"/>
      <c r="AA143" s="1"/>
      <c r="AB143" s="1"/>
      <c r="AC143" s="1"/>
      <c r="AD143" s="1"/>
      <c r="AE143" s="1"/>
      <c r="AF143" s="1"/>
      <c r="AG143" s="1"/>
      <c r="AH143" s="1"/>
      <c r="AI143" s="1"/>
      <c r="AJ143" s="1"/>
      <c r="AK143" s="1"/>
    </row>
    <row r="144" spans="1:37" ht="12.75" customHeight="1">
      <c r="A144" s="1"/>
      <c r="B144" s="1"/>
      <c r="C144" s="1"/>
      <c r="D144" s="1"/>
      <c r="E144" s="1"/>
      <c r="F144" s="2"/>
      <c r="G144" s="2"/>
      <c r="H144" s="2"/>
      <c r="I144" s="2"/>
      <c r="J144" s="2"/>
      <c r="K144" s="2"/>
      <c r="L144" s="2"/>
      <c r="M144" s="2"/>
      <c r="N144" s="3"/>
      <c r="O144" s="3"/>
      <c r="P144" s="3"/>
      <c r="Q144" s="1"/>
      <c r="R144" s="1"/>
      <c r="S144" s="1"/>
      <c r="T144" s="1"/>
      <c r="U144" s="1"/>
      <c r="V144" s="1"/>
      <c r="W144" s="1"/>
      <c r="X144" s="1"/>
      <c r="Y144" s="1"/>
      <c r="Z144" s="1"/>
      <c r="AA144" s="1"/>
      <c r="AB144" s="1"/>
      <c r="AC144" s="1"/>
      <c r="AD144" s="1"/>
      <c r="AE144" s="1"/>
      <c r="AF144" s="1"/>
      <c r="AG144" s="1"/>
      <c r="AH144" s="1"/>
      <c r="AI144" s="1"/>
      <c r="AJ144" s="1"/>
      <c r="AK144" s="1"/>
    </row>
    <row r="145" spans="1:37" ht="12.75" customHeight="1">
      <c r="A145" s="1"/>
      <c r="B145" s="1"/>
      <c r="C145" s="1"/>
      <c r="D145" s="1"/>
      <c r="E145" s="1"/>
      <c r="F145" s="2"/>
      <c r="G145" s="2"/>
      <c r="H145" s="2"/>
      <c r="I145" s="2"/>
      <c r="J145" s="2"/>
      <c r="K145" s="2"/>
      <c r="L145" s="2"/>
      <c r="M145" s="2"/>
      <c r="N145" s="3"/>
      <c r="O145" s="3"/>
      <c r="P145" s="3"/>
      <c r="Q145" s="1"/>
      <c r="R145" s="1"/>
      <c r="S145" s="1"/>
      <c r="T145" s="1"/>
      <c r="U145" s="1"/>
      <c r="V145" s="1"/>
      <c r="W145" s="1"/>
      <c r="X145" s="1"/>
      <c r="Y145" s="1"/>
      <c r="Z145" s="1"/>
      <c r="AA145" s="1"/>
      <c r="AB145" s="1"/>
      <c r="AC145" s="1"/>
      <c r="AD145" s="1"/>
      <c r="AE145" s="1"/>
      <c r="AF145" s="1"/>
      <c r="AG145" s="1"/>
      <c r="AH145" s="1"/>
      <c r="AI145" s="1"/>
      <c r="AJ145" s="1"/>
      <c r="AK145" s="1"/>
    </row>
    <row r="146" spans="1:37" ht="12.75" customHeight="1">
      <c r="A146" s="1"/>
      <c r="B146" s="1"/>
      <c r="C146" s="1"/>
      <c r="D146" s="1"/>
      <c r="E146" s="1"/>
      <c r="F146" s="2"/>
      <c r="G146" s="2"/>
      <c r="H146" s="2"/>
      <c r="I146" s="2"/>
      <c r="J146" s="2"/>
      <c r="K146" s="2"/>
      <c r="L146" s="2"/>
      <c r="M146" s="2"/>
      <c r="N146" s="3"/>
      <c r="O146" s="3"/>
      <c r="P146" s="3"/>
      <c r="Q146" s="1"/>
      <c r="R146" s="1"/>
      <c r="S146" s="1"/>
      <c r="T146" s="1"/>
      <c r="U146" s="1"/>
      <c r="V146" s="1"/>
      <c r="W146" s="1"/>
      <c r="X146" s="1"/>
      <c r="Y146" s="1"/>
      <c r="Z146" s="1"/>
      <c r="AA146" s="1"/>
      <c r="AB146" s="1"/>
      <c r="AC146" s="1"/>
      <c r="AD146" s="1"/>
      <c r="AE146" s="1"/>
      <c r="AF146" s="1"/>
      <c r="AG146" s="1"/>
      <c r="AH146" s="1"/>
      <c r="AI146" s="1"/>
      <c r="AJ146" s="1"/>
      <c r="AK146" s="1"/>
    </row>
    <row r="147" spans="1:37" ht="12.75" customHeight="1">
      <c r="A147" s="1"/>
      <c r="B147" s="1"/>
      <c r="C147" s="1"/>
      <c r="D147" s="1"/>
      <c r="E147" s="1"/>
      <c r="F147" s="2"/>
      <c r="G147" s="2"/>
      <c r="H147" s="2"/>
      <c r="I147" s="2"/>
      <c r="J147" s="2"/>
      <c r="K147" s="2"/>
      <c r="L147" s="2"/>
      <c r="M147" s="2"/>
      <c r="N147" s="3"/>
      <c r="O147" s="3"/>
      <c r="P147" s="3"/>
      <c r="Q147" s="1"/>
      <c r="R147" s="1"/>
      <c r="S147" s="1"/>
      <c r="T147" s="1"/>
      <c r="U147" s="1"/>
      <c r="V147" s="1"/>
      <c r="W147" s="1"/>
      <c r="X147" s="1"/>
      <c r="Y147" s="1"/>
      <c r="Z147" s="1"/>
      <c r="AA147" s="1"/>
      <c r="AB147" s="1"/>
      <c r="AC147" s="1"/>
      <c r="AD147" s="1"/>
      <c r="AE147" s="1"/>
      <c r="AF147" s="1"/>
      <c r="AG147" s="1"/>
      <c r="AH147" s="1"/>
      <c r="AI147" s="1"/>
      <c r="AJ147" s="1"/>
      <c r="AK147" s="1"/>
    </row>
    <row r="148" spans="1:37" ht="12.75" customHeight="1">
      <c r="A148" s="1"/>
      <c r="B148" s="1"/>
      <c r="C148" s="1"/>
      <c r="D148" s="1"/>
      <c r="E148" s="1"/>
      <c r="F148" s="2"/>
      <c r="G148" s="2"/>
      <c r="H148" s="2"/>
      <c r="I148" s="2"/>
      <c r="J148" s="2"/>
      <c r="K148" s="2"/>
      <c r="L148" s="2"/>
      <c r="M148" s="2"/>
      <c r="N148" s="3"/>
      <c r="O148" s="3"/>
      <c r="P148" s="3"/>
      <c r="Q148" s="1"/>
      <c r="R148" s="1"/>
      <c r="S148" s="1"/>
      <c r="T148" s="1"/>
      <c r="U148" s="1"/>
      <c r="V148" s="1"/>
      <c r="W148" s="1"/>
      <c r="X148" s="1"/>
      <c r="Y148" s="1"/>
      <c r="Z148" s="1"/>
      <c r="AA148" s="1"/>
      <c r="AB148" s="1"/>
      <c r="AC148" s="1"/>
      <c r="AD148" s="1"/>
      <c r="AE148" s="1"/>
      <c r="AF148" s="1"/>
      <c r="AG148" s="1"/>
      <c r="AH148" s="1"/>
      <c r="AI148" s="1"/>
      <c r="AJ148" s="1"/>
      <c r="AK148" s="1"/>
    </row>
    <row r="149" spans="1:37" ht="12.75" customHeight="1">
      <c r="A149" s="1"/>
      <c r="B149" s="1"/>
      <c r="C149" s="1"/>
      <c r="D149" s="1"/>
      <c r="E149" s="1"/>
      <c r="F149" s="2"/>
      <c r="G149" s="2"/>
      <c r="H149" s="2"/>
      <c r="I149" s="2"/>
      <c r="J149" s="2"/>
      <c r="K149" s="2"/>
      <c r="L149" s="2"/>
      <c r="M149" s="2"/>
      <c r="N149" s="3"/>
      <c r="O149" s="3"/>
      <c r="P149" s="3"/>
      <c r="Q149" s="1"/>
      <c r="R149" s="1"/>
      <c r="S149" s="1"/>
      <c r="T149" s="1"/>
      <c r="U149" s="1"/>
      <c r="V149" s="1"/>
      <c r="W149" s="1"/>
      <c r="X149" s="1"/>
      <c r="Y149" s="1"/>
      <c r="Z149" s="1"/>
      <c r="AA149" s="1"/>
      <c r="AB149" s="1"/>
      <c r="AC149" s="1"/>
      <c r="AD149" s="1"/>
      <c r="AE149" s="1"/>
      <c r="AF149" s="1"/>
      <c r="AG149" s="1"/>
      <c r="AH149" s="1"/>
      <c r="AI149" s="1"/>
      <c r="AJ149" s="1"/>
      <c r="AK149" s="1"/>
    </row>
    <row r="150" spans="1:37" ht="12.75" customHeight="1">
      <c r="A150" s="1"/>
      <c r="B150" s="1"/>
      <c r="C150" s="1"/>
      <c r="D150" s="1"/>
      <c r="E150" s="1"/>
      <c r="F150" s="2"/>
      <c r="G150" s="2"/>
      <c r="H150" s="2"/>
      <c r="I150" s="2"/>
      <c r="J150" s="2"/>
      <c r="K150" s="2"/>
      <c r="L150" s="2"/>
      <c r="M150" s="2"/>
      <c r="N150" s="3"/>
      <c r="O150" s="3"/>
      <c r="P150" s="3"/>
      <c r="Q150" s="1"/>
      <c r="R150" s="1"/>
      <c r="S150" s="1"/>
      <c r="T150" s="1"/>
      <c r="U150" s="1"/>
      <c r="V150" s="1"/>
      <c r="W150" s="1"/>
      <c r="X150" s="1"/>
      <c r="Y150" s="1"/>
      <c r="Z150" s="1"/>
      <c r="AA150" s="1"/>
      <c r="AB150" s="1"/>
      <c r="AC150" s="1"/>
      <c r="AD150" s="1"/>
      <c r="AE150" s="1"/>
      <c r="AF150" s="1"/>
      <c r="AG150" s="1"/>
      <c r="AH150" s="1"/>
      <c r="AI150" s="1"/>
      <c r="AJ150" s="1"/>
      <c r="AK150" s="1"/>
    </row>
    <row r="151" spans="1:37" ht="12.75" customHeight="1">
      <c r="A151" s="1"/>
      <c r="B151" s="1"/>
      <c r="C151" s="1"/>
      <c r="D151" s="1"/>
      <c r="E151" s="1"/>
      <c r="F151" s="2"/>
      <c r="G151" s="2"/>
      <c r="H151" s="2"/>
      <c r="I151" s="2"/>
      <c r="J151" s="2"/>
      <c r="K151" s="2"/>
      <c r="L151" s="2"/>
      <c r="M151" s="2"/>
      <c r="N151" s="3"/>
      <c r="O151" s="3"/>
      <c r="P151" s="3"/>
      <c r="Q151" s="1"/>
      <c r="R151" s="1"/>
      <c r="S151" s="1"/>
      <c r="T151" s="1"/>
      <c r="U151" s="1"/>
      <c r="V151" s="1"/>
      <c r="W151" s="1"/>
      <c r="X151" s="1"/>
      <c r="Y151" s="1"/>
      <c r="Z151" s="1"/>
      <c r="AA151" s="1"/>
      <c r="AB151" s="1"/>
      <c r="AC151" s="1"/>
      <c r="AD151" s="1"/>
      <c r="AE151" s="1"/>
      <c r="AF151" s="1"/>
      <c r="AG151" s="1"/>
      <c r="AH151" s="1"/>
      <c r="AI151" s="1"/>
      <c r="AJ151" s="1"/>
      <c r="AK151" s="1"/>
    </row>
    <row r="152" spans="1:37" ht="12.75" customHeight="1">
      <c r="A152" s="1"/>
      <c r="B152" s="1"/>
      <c r="C152" s="1"/>
      <c r="D152" s="1"/>
      <c r="E152" s="1"/>
      <c r="F152" s="2"/>
      <c r="G152" s="2"/>
      <c r="H152" s="2"/>
      <c r="I152" s="2"/>
      <c r="J152" s="2"/>
      <c r="K152" s="2"/>
      <c r="L152" s="2"/>
      <c r="M152" s="2"/>
      <c r="N152" s="3"/>
      <c r="O152" s="3"/>
      <c r="P152" s="3"/>
      <c r="Q152" s="1"/>
      <c r="R152" s="1"/>
      <c r="S152" s="1"/>
      <c r="T152" s="1"/>
      <c r="U152" s="1"/>
      <c r="V152" s="1"/>
      <c r="W152" s="1"/>
      <c r="X152" s="1"/>
      <c r="Y152" s="1"/>
      <c r="Z152" s="1"/>
      <c r="AA152" s="1"/>
      <c r="AB152" s="1"/>
      <c r="AC152" s="1"/>
      <c r="AD152" s="1"/>
      <c r="AE152" s="1"/>
      <c r="AF152" s="1"/>
      <c r="AG152" s="1"/>
      <c r="AH152" s="1"/>
      <c r="AI152" s="1"/>
      <c r="AJ152" s="1"/>
      <c r="AK152" s="1"/>
    </row>
    <row r="153" spans="1:37" ht="12.75" customHeight="1">
      <c r="A153" s="1"/>
      <c r="B153" s="1"/>
      <c r="C153" s="1"/>
      <c r="D153" s="1"/>
      <c r="E153" s="1"/>
      <c r="F153" s="2"/>
      <c r="G153" s="2"/>
      <c r="H153" s="2"/>
      <c r="I153" s="2"/>
      <c r="J153" s="2"/>
      <c r="K153" s="2"/>
      <c r="L153" s="2"/>
      <c r="M153" s="2"/>
      <c r="N153" s="3"/>
      <c r="O153" s="3"/>
      <c r="P153" s="3"/>
      <c r="Q153" s="1"/>
      <c r="R153" s="1"/>
      <c r="S153" s="1"/>
      <c r="T153" s="1"/>
      <c r="U153" s="1"/>
      <c r="V153" s="1"/>
      <c r="W153" s="1"/>
      <c r="X153" s="1"/>
      <c r="Y153" s="1"/>
      <c r="Z153" s="1"/>
      <c r="AA153" s="1"/>
      <c r="AB153" s="1"/>
      <c r="AC153" s="1"/>
      <c r="AD153" s="1"/>
      <c r="AE153" s="1"/>
      <c r="AF153" s="1"/>
      <c r="AG153" s="1"/>
      <c r="AH153" s="1"/>
      <c r="AI153" s="1"/>
      <c r="AJ153" s="1"/>
      <c r="AK153" s="1"/>
    </row>
    <row r="154" spans="1:37" ht="12.75" customHeight="1">
      <c r="A154" s="1"/>
      <c r="B154" s="1"/>
      <c r="C154" s="1"/>
      <c r="D154" s="1"/>
      <c r="E154" s="1"/>
      <c r="F154" s="2"/>
      <c r="G154" s="2"/>
      <c r="H154" s="2"/>
      <c r="I154" s="2"/>
      <c r="J154" s="2"/>
      <c r="K154" s="2"/>
      <c r="L154" s="2"/>
      <c r="M154" s="2"/>
      <c r="N154" s="3"/>
      <c r="O154" s="3"/>
      <c r="P154" s="3"/>
      <c r="Q154" s="1"/>
      <c r="R154" s="1"/>
      <c r="S154" s="1"/>
      <c r="T154" s="1"/>
      <c r="U154" s="1"/>
      <c r="V154" s="1"/>
      <c r="W154" s="1"/>
      <c r="X154" s="1"/>
      <c r="Y154" s="1"/>
      <c r="Z154" s="1"/>
      <c r="AA154" s="1"/>
      <c r="AB154" s="1"/>
      <c r="AC154" s="1"/>
      <c r="AD154" s="1"/>
      <c r="AE154" s="1"/>
      <c r="AF154" s="1"/>
      <c r="AG154" s="1"/>
      <c r="AH154" s="1"/>
      <c r="AI154" s="1"/>
      <c r="AJ154" s="1"/>
      <c r="AK154" s="1"/>
    </row>
    <row r="155" spans="1:37" ht="12.75" customHeight="1">
      <c r="A155" s="1"/>
      <c r="B155" s="1"/>
      <c r="C155" s="1"/>
      <c r="D155" s="1"/>
      <c r="E155" s="1"/>
      <c r="F155" s="2"/>
      <c r="G155" s="2"/>
      <c r="H155" s="2"/>
      <c r="I155" s="2"/>
      <c r="J155" s="2"/>
      <c r="K155" s="2"/>
      <c r="L155" s="2"/>
      <c r="M155" s="2"/>
      <c r="N155" s="3"/>
      <c r="O155" s="3"/>
      <c r="P155" s="3"/>
      <c r="Q155" s="1"/>
      <c r="R155" s="1"/>
      <c r="S155" s="1"/>
      <c r="T155" s="1"/>
      <c r="U155" s="1"/>
      <c r="V155" s="1"/>
      <c r="W155" s="1"/>
      <c r="X155" s="1"/>
      <c r="Y155" s="1"/>
      <c r="Z155" s="1"/>
      <c r="AA155" s="1"/>
      <c r="AB155" s="1"/>
      <c r="AC155" s="1"/>
      <c r="AD155" s="1"/>
      <c r="AE155" s="1"/>
      <c r="AF155" s="1"/>
      <c r="AG155" s="1"/>
      <c r="AH155" s="1"/>
      <c r="AI155" s="1"/>
      <c r="AJ155" s="1"/>
      <c r="AK155" s="1"/>
    </row>
    <row r="156" spans="1:37" ht="12.75" customHeight="1">
      <c r="A156" s="1"/>
      <c r="B156" s="1"/>
      <c r="C156" s="1"/>
      <c r="D156" s="1"/>
      <c r="E156" s="1"/>
      <c r="F156" s="2"/>
      <c r="G156" s="2"/>
      <c r="H156" s="2"/>
      <c r="I156" s="2"/>
      <c r="J156" s="2"/>
      <c r="K156" s="2"/>
      <c r="L156" s="2"/>
      <c r="M156" s="2"/>
      <c r="N156" s="3"/>
      <c r="O156" s="3"/>
      <c r="P156" s="3"/>
      <c r="Q156" s="1"/>
      <c r="R156" s="1"/>
      <c r="S156" s="1"/>
      <c r="T156" s="1"/>
      <c r="U156" s="1"/>
      <c r="V156" s="1"/>
      <c r="W156" s="1"/>
      <c r="X156" s="1"/>
      <c r="Y156" s="1"/>
      <c r="Z156" s="1"/>
      <c r="AA156" s="1"/>
      <c r="AB156" s="1"/>
      <c r="AC156" s="1"/>
      <c r="AD156" s="1"/>
      <c r="AE156" s="1"/>
      <c r="AF156" s="1"/>
      <c r="AG156" s="1"/>
      <c r="AH156" s="1"/>
      <c r="AI156" s="1"/>
      <c r="AJ156" s="1"/>
      <c r="AK156" s="1"/>
    </row>
    <row r="157" spans="1:37" ht="12.75" customHeight="1">
      <c r="A157" s="1"/>
      <c r="B157" s="1"/>
      <c r="C157" s="1"/>
      <c r="D157" s="1"/>
      <c r="E157" s="1"/>
      <c r="F157" s="2"/>
      <c r="G157" s="2"/>
      <c r="H157" s="2"/>
      <c r="I157" s="2"/>
      <c r="J157" s="2"/>
      <c r="K157" s="2"/>
      <c r="L157" s="2"/>
      <c r="M157" s="2"/>
      <c r="N157" s="3"/>
      <c r="O157" s="3"/>
      <c r="P157" s="3"/>
      <c r="Q157" s="1"/>
      <c r="R157" s="1"/>
      <c r="S157" s="1"/>
      <c r="T157" s="1"/>
      <c r="U157" s="1"/>
      <c r="V157" s="1"/>
      <c r="W157" s="1"/>
      <c r="X157" s="1"/>
      <c r="Y157" s="1"/>
      <c r="Z157" s="1"/>
      <c r="AA157" s="1"/>
      <c r="AB157" s="1"/>
      <c r="AC157" s="1"/>
      <c r="AD157" s="1"/>
      <c r="AE157" s="1"/>
      <c r="AF157" s="1"/>
      <c r="AG157" s="1"/>
      <c r="AH157" s="1"/>
      <c r="AI157" s="1"/>
      <c r="AJ157" s="1"/>
      <c r="AK157" s="1"/>
    </row>
    <row r="158" spans="1:37" ht="12.75" customHeight="1">
      <c r="A158" s="1"/>
      <c r="B158" s="1"/>
      <c r="C158" s="1"/>
      <c r="D158" s="1"/>
      <c r="E158" s="1"/>
      <c r="F158" s="2"/>
      <c r="G158" s="2"/>
      <c r="H158" s="2"/>
      <c r="I158" s="2"/>
      <c r="J158" s="2"/>
      <c r="K158" s="2"/>
      <c r="L158" s="2"/>
      <c r="M158" s="2"/>
      <c r="N158" s="3"/>
      <c r="O158" s="3"/>
      <c r="P158" s="3"/>
      <c r="Q158" s="1"/>
      <c r="R158" s="1"/>
      <c r="S158" s="1"/>
      <c r="T158" s="1"/>
      <c r="U158" s="1"/>
      <c r="V158" s="1"/>
      <c r="W158" s="1"/>
      <c r="X158" s="1"/>
      <c r="Y158" s="1"/>
      <c r="Z158" s="1"/>
      <c r="AA158" s="1"/>
      <c r="AB158" s="1"/>
      <c r="AC158" s="1"/>
      <c r="AD158" s="1"/>
      <c r="AE158" s="1"/>
      <c r="AF158" s="1"/>
      <c r="AG158" s="1"/>
      <c r="AH158" s="1"/>
      <c r="AI158" s="1"/>
      <c r="AJ158" s="1"/>
      <c r="AK158" s="1"/>
    </row>
    <row r="159" spans="1:37" ht="12.75" customHeight="1">
      <c r="A159" s="1"/>
      <c r="B159" s="1"/>
      <c r="C159" s="1"/>
      <c r="D159" s="1"/>
      <c r="E159" s="1"/>
      <c r="F159" s="2"/>
      <c r="G159" s="2"/>
      <c r="H159" s="2"/>
      <c r="I159" s="2"/>
      <c r="J159" s="2"/>
      <c r="K159" s="2"/>
      <c r="L159" s="2"/>
      <c r="M159" s="2"/>
      <c r="N159" s="3"/>
      <c r="O159" s="3"/>
      <c r="P159" s="3"/>
      <c r="Q159" s="1"/>
      <c r="R159" s="1"/>
      <c r="S159" s="1"/>
      <c r="T159" s="1"/>
      <c r="U159" s="1"/>
      <c r="V159" s="1"/>
      <c r="W159" s="1"/>
      <c r="X159" s="1"/>
      <c r="Y159" s="1"/>
      <c r="Z159" s="1"/>
      <c r="AA159" s="1"/>
      <c r="AB159" s="1"/>
      <c r="AC159" s="1"/>
      <c r="AD159" s="1"/>
      <c r="AE159" s="1"/>
      <c r="AF159" s="1"/>
      <c r="AG159" s="1"/>
      <c r="AH159" s="1"/>
      <c r="AI159" s="1"/>
      <c r="AJ159" s="1"/>
      <c r="AK159" s="1"/>
    </row>
    <row r="160" spans="1:37" ht="12.75" customHeight="1">
      <c r="A160" s="1"/>
      <c r="B160" s="1"/>
      <c r="C160" s="1"/>
      <c r="D160" s="1"/>
      <c r="E160" s="1"/>
      <c r="F160" s="2"/>
      <c r="G160" s="2"/>
      <c r="H160" s="2"/>
      <c r="I160" s="2"/>
      <c r="J160" s="2"/>
      <c r="K160" s="2"/>
      <c r="L160" s="2"/>
      <c r="M160" s="2"/>
      <c r="N160" s="3"/>
      <c r="O160" s="3"/>
      <c r="P160" s="3"/>
      <c r="Q160" s="1"/>
      <c r="R160" s="1"/>
      <c r="S160" s="1"/>
      <c r="T160" s="1"/>
      <c r="U160" s="1"/>
      <c r="V160" s="1"/>
      <c r="W160" s="1"/>
      <c r="X160" s="1"/>
      <c r="Y160" s="1"/>
      <c r="Z160" s="1"/>
      <c r="AA160" s="1"/>
      <c r="AB160" s="1"/>
      <c r="AC160" s="1"/>
      <c r="AD160" s="1"/>
      <c r="AE160" s="1"/>
      <c r="AF160" s="1"/>
      <c r="AG160" s="1"/>
      <c r="AH160" s="1"/>
      <c r="AI160" s="1"/>
      <c r="AJ160" s="1"/>
      <c r="AK160" s="1"/>
    </row>
    <row r="161" spans="1:37" ht="12.75" customHeight="1">
      <c r="A161" s="1"/>
      <c r="B161" s="1"/>
      <c r="C161" s="1"/>
      <c r="D161" s="1"/>
      <c r="E161" s="1"/>
      <c r="F161" s="2"/>
      <c r="G161" s="2"/>
      <c r="H161" s="2"/>
      <c r="I161" s="2"/>
      <c r="J161" s="2"/>
      <c r="K161" s="2"/>
      <c r="L161" s="2"/>
      <c r="M161" s="2"/>
      <c r="N161" s="3"/>
      <c r="O161" s="3"/>
      <c r="P161" s="3"/>
      <c r="Q161" s="1"/>
      <c r="R161" s="1"/>
      <c r="S161" s="1"/>
      <c r="T161" s="1"/>
      <c r="U161" s="1"/>
      <c r="V161" s="1"/>
      <c r="W161" s="1"/>
      <c r="X161" s="1"/>
      <c r="Y161" s="1"/>
      <c r="Z161" s="1"/>
      <c r="AA161" s="1"/>
      <c r="AB161" s="1"/>
      <c r="AC161" s="1"/>
      <c r="AD161" s="1"/>
      <c r="AE161" s="1"/>
      <c r="AF161" s="1"/>
      <c r="AG161" s="1"/>
      <c r="AH161" s="1"/>
      <c r="AI161" s="1"/>
      <c r="AJ161" s="1"/>
      <c r="AK161" s="1"/>
    </row>
    <row r="162" spans="1:37" ht="12.75" customHeight="1">
      <c r="A162" s="1"/>
      <c r="B162" s="1"/>
      <c r="C162" s="1"/>
      <c r="D162" s="1"/>
      <c r="E162" s="1"/>
      <c r="F162" s="2"/>
      <c r="G162" s="2"/>
      <c r="H162" s="2"/>
      <c r="I162" s="2"/>
      <c r="J162" s="2"/>
      <c r="K162" s="2"/>
      <c r="L162" s="2"/>
      <c r="M162" s="2"/>
      <c r="N162" s="3"/>
      <c r="O162" s="3"/>
      <c r="P162" s="3"/>
      <c r="Q162" s="1"/>
      <c r="R162" s="1"/>
      <c r="S162" s="1"/>
      <c r="T162" s="1"/>
      <c r="U162" s="1"/>
      <c r="V162" s="1"/>
      <c r="W162" s="1"/>
      <c r="X162" s="1"/>
      <c r="Y162" s="1"/>
      <c r="Z162" s="1"/>
      <c r="AA162" s="1"/>
      <c r="AB162" s="1"/>
      <c r="AC162" s="1"/>
      <c r="AD162" s="1"/>
      <c r="AE162" s="1"/>
      <c r="AF162" s="1"/>
      <c r="AG162" s="1"/>
      <c r="AH162" s="1"/>
      <c r="AI162" s="1"/>
      <c r="AJ162" s="1"/>
      <c r="AK162" s="1"/>
    </row>
    <row r="163" spans="1:37" ht="12.75" customHeight="1">
      <c r="A163" s="1"/>
      <c r="B163" s="1"/>
      <c r="C163" s="1"/>
      <c r="D163" s="1"/>
      <c r="E163" s="1"/>
      <c r="F163" s="2"/>
      <c r="G163" s="2"/>
      <c r="H163" s="2"/>
      <c r="I163" s="2"/>
      <c r="J163" s="2"/>
      <c r="K163" s="2"/>
      <c r="L163" s="2"/>
      <c r="M163" s="2"/>
      <c r="N163" s="3"/>
      <c r="O163" s="3"/>
      <c r="P163" s="3"/>
      <c r="Q163" s="1"/>
      <c r="R163" s="1"/>
      <c r="S163" s="1"/>
      <c r="T163" s="1"/>
      <c r="U163" s="1"/>
      <c r="V163" s="1"/>
      <c r="W163" s="1"/>
      <c r="X163" s="1"/>
      <c r="Y163" s="1"/>
      <c r="Z163" s="1"/>
      <c r="AA163" s="1"/>
      <c r="AB163" s="1"/>
      <c r="AC163" s="1"/>
      <c r="AD163" s="1"/>
      <c r="AE163" s="1"/>
      <c r="AF163" s="1"/>
      <c r="AG163" s="1"/>
      <c r="AH163" s="1"/>
      <c r="AI163" s="1"/>
      <c r="AJ163" s="1"/>
      <c r="AK163" s="1"/>
    </row>
    <row r="164" spans="1:37" ht="12.75" customHeight="1">
      <c r="A164" s="1"/>
      <c r="B164" s="1"/>
      <c r="C164" s="1"/>
      <c r="D164" s="1"/>
      <c r="E164" s="1"/>
      <c r="F164" s="2"/>
      <c r="G164" s="2"/>
      <c r="H164" s="2"/>
      <c r="I164" s="2"/>
      <c r="J164" s="2"/>
      <c r="K164" s="2"/>
      <c r="L164" s="2"/>
      <c r="M164" s="2"/>
      <c r="N164" s="3"/>
      <c r="O164" s="3"/>
      <c r="P164" s="3"/>
      <c r="Q164" s="1"/>
      <c r="R164" s="1"/>
      <c r="S164" s="1"/>
      <c r="T164" s="1"/>
      <c r="U164" s="1"/>
      <c r="V164" s="1"/>
      <c r="W164" s="1"/>
      <c r="X164" s="1"/>
      <c r="Y164" s="1"/>
      <c r="Z164" s="1"/>
      <c r="AA164" s="1"/>
      <c r="AB164" s="1"/>
      <c r="AC164" s="1"/>
      <c r="AD164" s="1"/>
      <c r="AE164" s="1"/>
      <c r="AF164" s="1"/>
      <c r="AG164" s="1"/>
      <c r="AH164" s="1"/>
      <c r="AI164" s="1"/>
      <c r="AJ164" s="1"/>
      <c r="AK164" s="1"/>
    </row>
    <row r="165" spans="1:37" ht="12.75" customHeight="1">
      <c r="A165" s="1"/>
      <c r="B165" s="1"/>
      <c r="C165" s="1"/>
      <c r="D165" s="1"/>
      <c r="E165" s="1"/>
      <c r="F165" s="2"/>
      <c r="G165" s="2"/>
      <c r="H165" s="2"/>
      <c r="I165" s="2"/>
      <c r="J165" s="2"/>
      <c r="K165" s="2"/>
      <c r="L165" s="2"/>
      <c r="M165" s="2"/>
      <c r="N165" s="3"/>
      <c r="O165" s="3"/>
      <c r="P165" s="3"/>
      <c r="Q165" s="1"/>
      <c r="R165" s="1"/>
      <c r="S165" s="1"/>
      <c r="T165" s="1"/>
      <c r="U165" s="1"/>
      <c r="V165" s="1"/>
      <c r="W165" s="1"/>
      <c r="X165" s="1"/>
      <c r="Y165" s="1"/>
      <c r="Z165" s="1"/>
      <c r="AA165" s="1"/>
      <c r="AB165" s="1"/>
      <c r="AC165" s="1"/>
      <c r="AD165" s="1"/>
      <c r="AE165" s="1"/>
      <c r="AF165" s="1"/>
      <c r="AG165" s="1"/>
      <c r="AH165" s="1"/>
      <c r="AI165" s="1"/>
      <c r="AJ165" s="1"/>
      <c r="AK165" s="1"/>
    </row>
    <row r="166" spans="1:37" ht="12.75" customHeight="1">
      <c r="A166" s="1"/>
      <c r="B166" s="1"/>
      <c r="C166" s="1"/>
      <c r="D166" s="1"/>
      <c r="E166" s="1"/>
      <c r="F166" s="2"/>
      <c r="G166" s="2"/>
      <c r="H166" s="2"/>
      <c r="I166" s="2"/>
      <c r="J166" s="2"/>
      <c r="K166" s="2"/>
      <c r="L166" s="2"/>
      <c r="M166" s="2"/>
      <c r="N166" s="3"/>
      <c r="O166" s="3"/>
      <c r="P166" s="3"/>
      <c r="Q166" s="1"/>
      <c r="R166" s="1"/>
      <c r="S166" s="1"/>
      <c r="T166" s="1"/>
      <c r="U166" s="1"/>
      <c r="V166" s="1"/>
      <c r="W166" s="1"/>
      <c r="X166" s="1"/>
      <c r="Y166" s="1"/>
      <c r="Z166" s="1"/>
      <c r="AA166" s="1"/>
      <c r="AB166" s="1"/>
      <c r="AC166" s="1"/>
      <c r="AD166" s="1"/>
      <c r="AE166" s="1"/>
      <c r="AF166" s="1"/>
      <c r="AG166" s="1"/>
      <c r="AH166" s="1"/>
      <c r="AI166" s="1"/>
      <c r="AJ166" s="1"/>
      <c r="AK166" s="1"/>
    </row>
    <row r="167" spans="1:37" ht="12.75" customHeight="1">
      <c r="A167" s="1"/>
      <c r="B167" s="1"/>
      <c r="C167" s="1"/>
      <c r="D167" s="1"/>
      <c r="E167" s="1"/>
      <c r="F167" s="2"/>
      <c r="G167" s="2"/>
      <c r="H167" s="2"/>
      <c r="I167" s="2"/>
      <c r="J167" s="2"/>
      <c r="K167" s="2"/>
      <c r="L167" s="2"/>
      <c r="M167" s="2"/>
      <c r="N167" s="3"/>
      <c r="O167" s="3"/>
      <c r="P167" s="3"/>
      <c r="Q167" s="1"/>
      <c r="R167" s="1"/>
      <c r="S167" s="1"/>
      <c r="T167" s="1"/>
      <c r="U167" s="1"/>
      <c r="V167" s="1"/>
      <c r="W167" s="1"/>
      <c r="X167" s="1"/>
      <c r="Y167" s="1"/>
      <c r="Z167" s="1"/>
      <c r="AA167" s="1"/>
      <c r="AB167" s="1"/>
      <c r="AC167" s="1"/>
      <c r="AD167" s="1"/>
      <c r="AE167" s="1"/>
      <c r="AF167" s="1"/>
      <c r="AG167" s="1"/>
      <c r="AH167" s="1"/>
      <c r="AI167" s="1"/>
      <c r="AJ167" s="1"/>
      <c r="AK167" s="1"/>
    </row>
    <row r="168" spans="1:37" ht="12.75" customHeight="1">
      <c r="A168" s="1"/>
      <c r="B168" s="1"/>
      <c r="C168" s="1"/>
      <c r="D168" s="1"/>
      <c r="E168" s="1"/>
      <c r="F168" s="2"/>
      <c r="G168" s="2"/>
      <c r="H168" s="2"/>
      <c r="I168" s="2"/>
      <c r="J168" s="2"/>
      <c r="K168" s="2"/>
      <c r="L168" s="2"/>
      <c r="M168" s="2"/>
      <c r="N168" s="3"/>
      <c r="O168" s="3"/>
      <c r="P168" s="3"/>
      <c r="Q168" s="1"/>
      <c r="R168" s="1"/>
      <c r="S168" s="1"/>
      <c r="T168" s="1"/>
      <c r="U168" s="1"/>
      <c r="V168" s="1"/>
      <c r="W168" s="1"/>
      <c r="X168" s="1"/>
      <c r="Y168" s="1"/>
      <c r="Z168" s="1"/>
      <c r="AA168" s="1"/>
      <c r="AB168" s="1"/>
      <c r="AC168" s="1"/>
      <c r="AD168" s="1"/>
      <c r="AE168" s="1"/>
      <c r="AF168" s="1"/>
      <c r="AG168" s="1"/>
      <c r="AH168" s="1"/>
      <c r="AI168" s="1"/>
      <c r="AJ168" s="1"/>
      <c r="AK168" s="1"/>
    </row>
    <row r="169" spans="1:37" ht="12.75" customHeight="1">
      <c r="A169" s="1"/>
      <c r="B169" s="1"/>
      <c r="C169" s="1"/>
      <c r="D169" s="1"/>
      <c r="E169" s="1"/>
      <c r="F169" s="2"/>
      <c r="G169" s="2"/>
      <c r="H169" s="2"/>
      <c r="I169" s="2"/>
      <c r="J169" s="2"/>
      <c r="K169" s="2"/>
      <c r="L169" s="2"/>
      <c r="M169" s="2"/>
      <c r="N169" s="3"/>
      <c r="O169" s="3"/>
      <c r="P169" s="3"/>
      <c r="Q169" s="1"/>
      <c r="R169" s="1"/>
      <c r="S169" s="1"/>
      <c r="T169" s="1"/>
      <c r="U169" s="1"/>
      <c r="V169" s="1"/>
      <c r="W169" s="1"/>
      <c r="X169" s="1"/>
      <c r="Y169" s="1"/>
      <c r="Z169" s="1"/>
      <c r="AA169" s="1"/>
      <c r="AB169" s="1"/>
      <c r="AC169" s="1"/>
      <c r="AD169" s="1"/>
      <c r="AE169" s="1"/>
      <c r="AF169" s="1"/>
      <c r="AG169" s="1"/>
      <c r="AH169" s="1"/>
      <c r="AI169" s="1"/>
      <c r="AJ169" s="1"/>
      <c r="AK169" s="1"/>
    </row>
    <row r="170" spans="1:37" ht="12.75" customHeight="1">
      <c r="A170" s="1"/>
      <c r="B170" s="1"/>
      <c r="C170" s="1"/>
      <c r="D170" s="1"/>
      <c r="E170" s="1"/>
      <c r="F170" s="2"/>
      <c r="G170" s="2"/>
      <c r="H170" s="2"/>
      <c r="I170" s="2"/>
      <c r="J170" s="2"/>
      <c r="K170" s="2"/>
      <c r="L170" s="2"/>
      <c r="M170" s="2"/>
      <c r="N170" s="3"/>
      <c r="O170" s="3"/>
      <c r="P170" s="3"/>
      <c r="Q170" s="1"/>
      <c r="R170" s="1"/>
      <c r="S170" s="1"/>
      <c r="T170" s="1"/>
      <c r="U170" s="1"/>
      <c r="V170" s="1"/>
      <c r="W170" s="1"/>
      <c r="X170" s="1"/>
      <c r="Y170" s="1"/>
      <c r="Z170" s="1"/>
      <c r="AA170" s="1"/>
      <c r="AB170" s="1"/>
      <c r="AC170" s="1"/>
      <c r="AD170" s="1"/>
      <c r="AE170" s="1"/>
      <c r="AF170" s="1"/>
      <c r="AG170" s="1"/>
      <c r="AH170" s="1"/>
      <c r="AI170" s="1"/>
      <c r="AJ170" s="1"/>
      <c r="AK170" s="1"/>
    </row>
    <row r="171" spans="1:37" ht="12.75" customHeight="1">
      <c r="A171" s="1"/>
      <c r="B171" s="1"/>
      <c r="C171" s="1"/>
      <c r="D171" s="1"/>
      <c r="E171" s="1"/>
      <c r="F171" s="2"/>
      <c r="G171" s="2"/>
      <c r="H171" s="2"/>
      <c r="I171" s="2"/>
      <c r="J171" s="2"/>
      <c r="K171" s="2"/>
      <c r="L171" s="2"/>
      <c r="M171" s="2"/>
      <c r="N171" s="3"/>
      <c r="O171" s="3"/>
      <c r="P171" s="3"/>
      <c r="Q171" s="1"/>
      <c r="R171" s="1"/>
      <c r="S171" s="1"/>
      <c r="T171" s="1"/>
      <c r="U171" s="1"/>
      <c r="V171" s="1"/>
      <c r="W171" s="1"/>
      <c r="X171" s="1"/>
      <c r="Y171" s="1"/>
      <c r="Z171" s="1"/>
      <c r="AA171" s="1"/>
      <c r="AB171" s="1"/>
      <c r="AC171" s="1"/>
      <c r="AD171" s="1"/>
      <c r="AE171" s="1"/>
      <c r="AF171" s="1"/>
      <c r="AG171" s="1"/>
      <c r="AH171" s="1"/>
      <c r="AI171" s="1"/>
      <c r="AJ171" s="1"/>
      <c r="AK171" s="1"/>
    </row>
    <row r="172" spans="1:37" ht="12.75" customHeight="1">
      <c r="A172" s="1"/>
      <c r="B172" s="1"/>
      <c r="C172" s="1"/>
      <c r="D172" s="1"/>
      <c r="E172" s="1"/>
      <c r="F172" s="2"/>
      <c r="G172" s="2"/>
      <c r="H172" s="2"/>
      <c r="I172" s="2"/>
      <c r="J172" s="2"/>
      <c r="K172" s="2"/>
      <c r="L172" s="2"/>
      <c r="M172" s="2"/>
      <c r="N172" s="3"/>
      <c r="O172" s="3"/>
      <c r="P172" s="3"/>
      <c r="Q172" s="1"/>
      <c r="R172" s="1"/>
      <c r="S172" s="1"/>
      <c r="T172" s="1"/>
      <c r="U172" s="1"/>
      <c r="V172" s="1"/>
      <c r="W172" s="1"/>
      <c r="X172" s="1"/>
      <c r="Y172" s="1"/>
      <c r="Z172" s="1"/>
      <c r="AA172" s="1"/>
      <c r="AB172" s="1"/>
      <c r="AC172" s="1"/>
      <c r="AD172" s="1"/>
      <c r="AE172" s="1"/>
      <c r="AF172" s="1"/>
      <c r="AG172" s="1"/>
      <c r="AH172" s="1"/>
      <c r="AI172" s="1"/>
      <c r="AJ172" s="1"/>
      <c r="AK172" s="1"/>
    </row>
    <row r="173" spans="1:37" ht="12.75" customHeight="1">
      <c r="A173" s="1"/>
      <c r="B173" s="1"/>
      <c r="C173" s="1"/>
      <c r="D173" s="1"/>
      <c r="E173" s="1"/>
      <c r="F173" s="2"/>
      <c r="G173" s="2"/>
      <c r="H173" s="2"/>
      <c r="I173" s="2"/>
      <c r="J173" s="2"/>
      <c r="K173" s="2"/>
      <c r="L173" s="2"/>
      <c r="M173" s="2"/>
      <c r="N173" s="3"/>
      <c r="O173" s="3"/>
      <c r="P173" s="3"/>
      <c r="Q173" s="1"/>
      <c r="R173" s="1"/>
      <c r="S173" s="1"/>
      <c r="T173" s="1"/>
      <c r="U173" s="1"/>
      <c r="V173" s="1"/>
      <c r="W173" s="1"/>
      <c r="X173" s="1"/>
      <c r="Y173" s="1"/>
      <c r="Z173" s="1"/>
      <c r="AA173" s="1"/>
      <c r="AB173" s="1"/>
      <c r="AC173" s="1"/>
      <c r="AD173" s="1"/>
      <c r="AE173" s="1"/>
      <c r="AF173" s="1"/>
      <c r="AG173" s="1"/>
      <c r="AH173" s="1"/>
      <c r="AI173" s="1"/>
      <c r="AJ173" s="1"/>
      <c r="AK173" s="1"/>
    </row>
    <row r="174" spans="1:37" ht="12.75" customHeight="1">
      <c r="A174" s="1"/>
      <c r="B174" s="1"/>
      <c r="C174" s="1"/>
      <c r="D174" s="1"/>
      <c r="E174" s="1"/>
      <c r="F174" s="2"/>
      <c r="G174" s="2"/>
      <c r="H174" s="2"/>
      <c r="I174" s="2"/>
      <c r="J174" s="2"/>
      <c r="K174" s="2"/>
      <c r="L174" s="2"/>
      <c r="M174" s="2"/>
      <c r="N174" s="3"/>
      <c r="O174" s="3"/>
      <c r="P174" s="3"/>
      <c r="Q174" s="1"/>
      <c r="R174" s="1"/>
      <c r="S174" s="1"/>
      <c r="T174" s="1"/>
      <c r="U174" s="1"/>
      <c r="V174" s="1"/>
      <c r="W174" s="1"/>
      <c r="X174" s="1"/>
      <c r="Y174" s="1"/>
      <c r="Z174" s="1"/>
      <c r="AA174" s="1"/>
      <c r="AB174" s="1"/>
      <c r="AC174" s="1"/>
      <c r="AD174" s="1"/>
      <c r="AE174" s="1"/>
      <c r="AF174" s="1"/>
      <c r="AG174" s="1"/>
      <c r="AH174" s="1"/>
      <c r="AI174" s="1"/>
      <c r="AJ174" s="1"/>
      <c r="AK174" s="1"/>
    </row>
    <row r="175" spans="1:37" ht="12.75" customHeight="1">
      <c r="A175" s="1"/>
      <c r="B175" s="1"/>
      <c r="C175" s="1"/>
      <c r="D175" s="1"/>
      <c r="E175" s="1"/>
      <c r="F175" s="2"/>
      <c r="G175" s="2"/>
      <c r="H175" s="2"/>
      <c r="I175" s="2"/>
      <c r="J175" s="2"/>
      <c r="K175" s="2"/>
      <c r="L175" s="2"/>
      <c r="M175" s="2"/>
      <c r="N175" s="3"/>
      <c r="O175" s="3"/>
      <c r="P175" s="3"/>
      <c r="Q175" s="1"/>
      <c r="R175" s="1"/>
      <c r="S175" s="1"/>
      <c r="T175" s="1"/>
      <c r="U175" s="1"/>
      <c r="V175" s="1"/>
      <c r="W175" s="1"/>
      <c r="X175" s="1"/>
      <c r="Y175" s="1"/>
      <c r="Z175" s="1"/>
      <c r="AA175" s="1"/>
      <c r="AB175" s="1"/>
      <c r="AC175" s="1"/>
      <c r="AD175" s="1"/>
      <c r="AE175" s="1"/>
      <c r="AF175" s="1"/>
      <c r="AG175" s="1"/>
      <c r="AH175" s="1"/>
      <c r="AI175" s="1"/>
      <c r="AJ175" s="1"/>
      <c r="AK175" s="1"/>
    </row>
    <row r="176" spans="1:37" ht="12.75" customHeight="1">
      <c r="A176" s="1"/>
      <c r="B176" s="1"/>
      <c r="C176" s="1"/>
      <c r="D176" s="1"/>
      <c r="E176" s="1"/>
      <c r="F176" s="2"/>
      <c r="G176" s="2"/>
      <c r="H176" s="2"/>
      <c r="I176" s="2"/>
      <c r="J176" s="2"/>
      <c r="K176" s="2"/>
      <c r="L176" s="2"/>
      <c r="M176" s="2"/>
      <c r="N176" s="3"/>
      <c r="O176" s="3"/>
      <c r="P176" s="3"/>
      <c r="Q176" s="1"/>
      <c r="R176" s="1"/>
      <c r="S176" s="1"/>
      <c r="T176" s="1"/>
      <c r="U176" s="1"/>
      <c r="V176" s="1"/>
      <c r="W176" s="1"/>
      <c r="X176" s="1"/>
      <c r="Y176" s="1"/>
      <c r="Z176" s="1"/>
      <c r="AA176" s="1"/>
      <c r="AB176" s="1"/>
      <c r="AC176" s="1"/>
      <c r="AD176" s="1"/>
      <c r="AE176" s="1"/>
      <c r="AF176" s="1"/>
      <c r="AG176" s="1"/>
      <c r="AH176" s="1"/>
      <c r="AI176" s="1"/>
      <c r="AJ176" s="1"/>
      <c r="AK176" s="1"/>
    </row>
    <row r="177" spans="1:37" ht="12.75" customHeight="1">
      <c r="A177" s="1"/>
      <c r="B177" s="1"/>
      <c r="C177" s="1"/>
      <c r="D177" s="1"/>
      <c r="E177" s="1"/>
      <c r="F177" s="2"/>
      <c r="G177" s="2"/>
      <c r="H177" s="2"/>
      <c r="I177" s="2"/>
      <c r="J177" s="2"/>
      <c r="K177" s="2"/>
      <c r="L177" s="2"/>
      <c r="M177" s="2"/>
      <c r="N177" s="3"/>
      <c r="O177" s="3"/>
      <c r="P177" s="3"/>
      <c r="Q177" s="1"/>
      <c r="R177" s="1"/>
      <c r="S177" s="1"/>
      <c r="T177" s="1"/>
      <c r="U177" s="1"/>
      <c r="V177" s="1"/>
      <c r="W177" s="1"/>
      <c r="X177" s="1"/>
      <c r="Y177" s="1"/>
      <c r="Z177" s="1"/>
      <c r="AA177" s="1"/>
      <c r="AB177" s="1"/>
      <c r="AC177" s="1"/>
      <c r="AD177" s="1"/>
      <c r="AE177" s="1"/>
      <c r="AF177" s="1"/>
      <c r="AG177" s="1"/>
      <c r="AH177" s="1"/>
      <c r="AI177" s="1"/>
      <c r="AJ177" s="1"/>
      <c r="AK177" s="1"/>
    </row>
    <row r="178" spans="1:37" ht="12.75" customHeight="1">
      <c r="A178" s="1"/>
      <c r="B178" s="1"/>
      <c r="C178" s="1"/>
      <c r="D178" s="1"/>
      <c r="E178" s="1"/>
      <c r="F178" s="2"/>
      <c r="G178" s="2"/>
      <c r="H178" s="2"/>
      <c r="I178" s="2"/>
      <c r="J178" s="2"/>
      <c r="K178" s="2"/>
      <c r="L178" s="2"/>
      <c r="M178" s="2"/>
      <c r="N178" s="3"/>
      <c r="O178" s="3"/>
      <c r="P178" s="3"/>
      <c r="Q178" s="1"/>
      <c r="R178" s="1"/>
      <c r="S178" s="1"/>
      <c r="T178" s="1"/>
      <c r="U178" s="1"/>
      <c r="V178" s="1"/>
      <c r="W178" s="1"/>
      <c r="X178" s="1"/>
      <c r="Y178" s="1"/>
      <c r="Z178" s="1"/>
      <c r="AA178" s="1"/>
      <c r="AB178" s="1"/>
      <c r="AC178" s="1"/>
      <c r="AD178" s="1"/>
      <c r="AE178" s="1"/>
      <c r="AF178" s="1"/>
      <c r="AG178" s="1"/>
      <c r="AH178" s="1"/>
      <c r="AI178" s="1"/>
      <c r="AJ178" s="1"/>
      <c r="AK178" s="1"/>
    </row>
    <row r="179" spans="1:37" ht="12.75" customHeight="1">
      <c r="A179" s="1"/>
      <c r="B179" s="1"/>
      <c r="C179" s="1"/>
      <c r="D179" s="1"/>
      <c r="E179" s="1"/>
      <c r="F179" s="2"/>
      <c r="G179" s="2"/>
      <c r="H179" s="2"/>
      <c r="I179" s="2"/>
      <c r="J179" s="2"/>
      <c r="K179" s="2"/>
      <c r="L179" s="2"/>
      <c r="M179" s="2"/>
      <c r="N179" s="3"/>
      <c r="O179" s="3"/>
      <c r="P179" s="3"/>
      <c r="Q179" s="1"/>
      <c r="R179" s="1"/>
      <c r="S179" s="1"/>
      <c r="T179" s="1"/>
      <c r="U179" s="1"/>
      <c r="V179" s="1"/>
      <c r="W179" s="1"/>
      <c r="X179" s="1"/>
      <c r="Y179" s="1"/>
      <c r="Z179" s="1"/>
      <c r="AA179" s="1"/>
      <c r="AB179" s="1"/>
      <c r="AC179" s="1"/>
      <c r="AD179" s="1"/>
      <c r="AE179" s="1"/>
      <c r="AF179" s="1"/>
      <c r="AG179" s="1"/>
      <c r="AH179" s="1"/>
      <c r="AI179" s="1"/>
      <c r="AJ179" s="1"/>
      <c r="AK179" s="1"/>
    </row>
    <row r="180" spans="1:37" ht="12.75" customHeight="1">
      <c r="A180" s="1"/>
      <c r="B180" s="1"/>
      <c r="C180" s="1"/>
      <c r="D180" s="1"/>
      <c r="E180" s="1"/>
      <c r="F180" s="2"/>
      <c r="G180" s="2"/>
      <c r="H180" s="2"/>
      <c r="I180" s="2"/>
      <c r="J180" s="2"/>
      <c r="K180" s="2"/>
      <c r="L180" s="2"/>
      <c r="M180" s="2"/>
      <c r="N180" s="3"/>
      <c r="O180" s="3"/>
      <c r="P180" s="3"/>
      <c r="Q180" s="1"/>
      <c r="R180" s="1"/>
      <c r="S180" s="1"/>
      <c r="T180" s="1"/>
      <c r="U180" s="1"/>
      <c r="V180" s="1"/>
      <c r="W180" s="1"/>
      <c r="X180" s="1"/>
      <c r="Y180" s="1"/>
      <c r="Z180" s="1"/>
      <c r="AA180" s="1"/>
      <c r="AB180" s="1"/>
      <c r="AC180" s="1"/>
      <c r="AD180" s="1"/>
      <c r="AE180" s="1"/>
      <c r="AF180" s="1"/>
      <c r="AG180" s="1"/>
      <c r="AH180" s="1"/>
      <c r="AI180" s="1"/>
      <c r="AJ180" s="1"/>
      <c r="AK180" s="1"/>
    </row>
    <row r="181" spans="1:37" ht="12.75" customHeight="1">
      <c r="A181" s="1"/>
      <c r="B181" s="1"/>
      <c r="C181" s="1"/>
      <c r="D181" s="1"/>
      <c r="E181" s="1"/>
      <c r="F181" s="2"/>
      <c r="G181" s="2"/>
      <c r="H181" s="2"/>
      <c r="I181" s="2"/>
      <c r="J181" s="2"/>
      <c r="K181" s="2"/>
      <c r="L181" s="2"/>
      <c r="M181" s="2"/>
      <c r="N181" s="3"/>
      <c r="O181" s="3"/>
      <c r="P181" s="3"/>
      <c r="Q181" s="1"/>
      <c r="R181" s="1"/>
      <c r="S181" s="1"/>
      <c r="T181" s="1"/>
      <c r="U181" s="1"/>
      <c r="V181" s="1"/>
      <c r="W181" s="1"/>
      <c r="X181" s="1"/>
      <c r="Y181" s="1"/>
      <c r="Z181" s="1"/>
      <c r="AA181" s="1"/>
      <c r="AB181" s="1"/>
      <c r="AC181" s="1"/>
      <c r="AD181" s="1"/>
      <c r="AE181" s="1"/>
      <c r="AF181" s="1"/>
      <c r="AG181" s="1"/>
      <c r="AH181" s="1"/>
      <c r="AI181" s="1"/>
      <c r="AJ181" s="1"/>
      <c r="AK181" s="1"/>
    </row>
    <row r="182" spans="1:37" ht="12.75" customHeight="1">
      <c r="A182" s="1"/>
      <c r="B182" s="1"/>
      <c r="C182" s="1"/>
      <c r="D182" s="1"/>
      <c r="E182" s="1"/>
      <c r="F182" s="2"/>
      <c r="G182" s="2"/>
      <c r="H182" s="2"/>
      <c r="I182" s="2"/>
      <c r="J182" s="2"/>
      <c r="K182" s="2"/>
      <c r="L182" s="2"/>
      <c r="M182" s="2"/>
      <c r="N182" s="3"/>
      <c r="O182" s="3"/>
      <c r="P182" s="3"/>
      <c r="Q182" s="1"/>
      <c r="R182" s="1"/>
      <c r="S182" s="1"/>
      <c r="T182" s="1"/>
      <c r="U182" s="1"/>
      <c r="V182" s="1"/>
      <c r="W182" s="1"/>
      <c r="X182" s="1"/>
      <c r="Y182" s="1"/>
      <c r="Z182" s="1"/>
      <c r="AA182" s="1"/>
      <c r="AB182" s="1"/>
      <c r="AC182" s="1"/>
      <c r="AD182" s="1"/>
      <c r="AE182" s="1"/>
      <c r="AF182" s="1"/>
      <c r="AG182" s="1"/>
      <c r="AH182" s="1"/>
      <c r="AI182" s="1"/>
      <c r="AJ182" s="1"/>
      <c r="AK182" s="1"/>
    </row>
    <row r="183" spans="1:37" ht="12.75" customHeight="1">
      <c r="A183" s="1"/>
      <c r="B183" s="1"/>
      <c r="C183" s="1"/>
      <c r="D183" s="1"/>
      <c r="E183" s="1"/>
      <c r="F183" s="2"/>
      <c r="G183" s="2"/>
      <c r="H183" s="2"/>
      <c r="I183" s="2"/>
      <c r="J183" s="2"/>
      <c r="K183" s="2"/>
      <c r="L183" s="2"/>
      <c r="M183" s="2"/>
      <c r="N183" s="3"/>
      <c r="O183" s="3"/>
      <c r="P183" s="3"/>
      <c r="Q183" s="1"/>
      <c r="R183" s="1"/>
      <c r="S183" s="1"/>
      <c r="T183" s="1"/>
      <c r="U183" s="1"/>
      <c r="V183" s="1"/>
      <c r="W183" s="1"/>
      <c r="X183" s="1"/>
      <c r="Y183" s="1"/>
      <c r="Z183" s="1"/>
      <c r="AA183" s="1"/>
      <c r="AB183" s="1"/>
      <c r="AC183" s="1"/>
      <c r="AD183" s="1"/>
      <c r="AE183" s="1"/>
      <c r="AF183" s="1"/>
      <c r="AG183" s="1"/>
      <c r="AH183" s="1"/>
      <c r="AI183" s="1"/>
      <c r="AJ183" s="1"/>
      <c r="AK183" s="1"/>
    </row>
    <row r="184" spans="1:37" ht="12.75" customHeight="1">
      <c r="A184" s="1"/>
      <c r="B184" s="1"/>
      <c r="C184" s="1"/>
      <c r="D184" s="1"/>
      <c r="E184" s="1"/>
      <c r="F184" s="2"/>
      <c r="G184" s="2"/>
      <c r="H184" s="2"/>
      <c r="I184" s="2"/>
      <c r="J184" s="2"/>
      <c r="K184" s="2"/>
      <c r="L184" s="2"/>
      <c r="M184" s="2"/>
      <c r="N184" s="3"/>
      <c r="O184" s="3"/>
      <c r="P184" s="3"/>
      <c r="Q184" s="1"/>
      <c r="R184" s="1"/>
      <c r="S184" s="1"/>
      <c r="T184" s="1"/>
      <c r="U184" s="1"/>
      <c r="V184" s="1"/>
      <c r="W184" s="1"/>
      <c r="X184" s="1"/>
      <c r="Y184" s="1"/>
      <c r="Z184" s="1"/>
      <c r="AA184" s="1"/>
      <c r="AB184" s="1"/>
      <c r="AC184" s="1"/>
      <c r="AD184" s="1"/>
      <c r="AE184" s="1"/>
      <c r="AF184" s="1"/>
      <c r="AG184" s="1"/>
      <c r="AH184" s="1"/>
      <c r="AI184" s="1"/>
      <c r="AJ184" s="1"/>
      <c r="AK184" s="1"/>
    </row>
    <row r="185" spans="1:37" ht="12.75" customHeight="1">
      <c r="A185" s="1"/>
      <c r="B185" s="1"/>
      <c r="C185" s="1"/>
      <c r="D185" s="1"/>
      <c r="E185" s="1"/>
      <c r="F185" s="2"/>
      <c r="G185" s="2"/>
      <c r="H185" s="2"/>
      <c r="I185" s="2"/>
      <c r="J185" s="2"/>
      <c r="K185" s="2"/>
      <c r="L185" s="2"/>
      <c r="M185" s="2"/>
      <c r="N185" s="3"/>
      <c r="O185" s="3"/>
      <c r="P185" s="3"/>
      <c r="Q185" s="1"/>
      <c r="R185" s="1"/>
      <c r="S185" s="1"/>
      <c r="T185" s="1"/>
      <c r="U185" s="1"/>
      <c r="V185" s="1"/>
      <c r="W185" s="1"/>
      <c r="X185" s="1"/>
      <c r="Y185" s="1"/>
      <c r="Z185" s="1"/>
      <c r="AA185" s="1"/>
      <c r="AB185" s="1"/>
      <c r="AC185" s="1"/>
      <c r="AD185" s="1"/>
      <c r="AE185" s="1"/>
      <c r="AF185" s="1"/>
      <c r="AG185" s="1"/>
      <c r="AH185" s="1"/>
      <c r="AI185" s="1"/>
      <c r="AJ185" s="1"/>
      <c r="AK185" s="1"/>
    </row>
    <row r="186" spans="1:37" ht="12.75" customHeight="1">
      <c r="A186" s="1"/>
      <c r="B186" s="1"/>
      <c r="C186" s="1"/>
      <c r="D186" s="1"/>
      <c r="E186" s="1"/>
      <c r="F186" s="2"/>
      <c r="G186" s="2"/>
      <c r="H186" s="2"/>
      <c r="I186" s="2"/>
      <c r="J186" s="2"/>
      <c r="K186" s="2"/>
      <c r="L186" s="2"/>
      <c r="M186" s="2"/>
      <c r="N186" s="3"/>
      <c r="O186" s="3"/>
      <c r="P186" s="3"/>
      <c r="Q186" s="1"/>
      <c r="R186" s="1"/>
      <c r="S186" s="1"/>
      <c r="T186" s="1"/>
      <c r="U186" s="1"/>
      <c r="V186" s="1"/>
      <c r="W186" s="1"/>
      <c r="X186" s="1"/>
      <c r="Y186" s="1"/>
      <c r="Z186" s="1"/>
      <c r="AA186" s="1"/>
      <c r="AB186" s="1"/>
      <c r="AC186" s="1"/>
      <c r="AD186" s="1"/>
      <c r="AE186" s="1"/>
      <c r="AF186" s="1"/>
      <c r="AG186" s="1"/>
      <c r="AH186" s="1"/>
      <c r="AI186" s="1"/>
      <c r="AJ186" s="1"/>
      <c r="AK186" s="1"/>
    </row>
    <row r="187" spans="1:37" ht="12.75" customHeight="1">
      <c r="A187" s="1"/>
      <c r="B187" s="1"/>
      <c r="C187" s="1"/>
      <c r="D187" s="1"/>
      <c r="E187" s="1"/>
      <c r="F187" s="2"/>
      <c r="G187" s="2"/>
      <c r="H187" s="2"/>
      <c r="I187" s="2"/>
      <c r="J187" s="2"/>
      <c r="K187" s="2"/>
      <c r="L187" s="2"/>
      <c r="M187" s="2"/>
      <c r="N187" s="3"/>
      <c r="O187" s="3"/>
      <c r="P187" s="3"/>
      <c r="Q187" s="1"/>
      <c r="R187" s="1"/>
      <c r="S187" s="1"/>
      <c r="T187" s="1"/>
      <c r="U187" s="1"/>
      <c r="V187" s="1"/>
      <c r="W187" s="1"/>
      <c r="X187" s="1"/>
      <c r="Y187" s="1"/>
      <c r="Z187" s="1"/>
      <c r="AA187" s="1"/>
      <c r="AB187" s="1"/>
      <c r="AC187" s="1"/>
      <c r="AD187" s="1"/>
      <c r="AE187" s="1"/>
      <c r="AF187" s="1"/>
      <c r="AG187" s="1"/>
      <c r="AH187" s="1"/>
      <c r="AI187" s="1"/>
      <c r="AJ187" s="1"/>
      <c r="AK187" s="1"/>
    </row>
    <row r="188" spans="1:37" ht="12.75" customHeight="1">
      <c r="A188" s="1"/>
      <c r="B188" s="1"/>
      <c r="C188" s="1"/>
      <c r="D188" s="1"/>
      <c r="E188" s="1"/>
      <c r="F188" s="2"/>
      <c r="G188" s="2"/>
      <c r="H188" s="2"/>
      <c r="I188" s="2"/>
      <c r="J188" s="2"/>
      <c r="K188" s="2"/>
      <c r="L188" s="2"/>
      <c r="M188" s="2"/>
      <c r="N188" s="3"/>
      <c r="O188" s="3"/>
      <c r="P188" s="3"/>
      <c r="Q188" s="1"/>
      <c r="R188" s="1"/>
      <c r="S188" s="1"/>
      <c r="T188" s="1"/>
      <c r="U188" s="1"/>
      <c r="V188" s="1"/>
      <c r="W188" s="1"/>
      <c r="X188" s="1"/>
      <c r="Y188" s="1"/>
      <c r="Z188" s="1"/>
      <c r="AA188" s="1"/>
      <c r="AB188" s="1"/>
      <c r="AC188" s="1"/>
      <c r="AD188" s="1"/>
      <c r="AE188" s="1"/>
      <c r="AF188" s="1"/>
      <c r="AG188" s="1"/>
      <c r="AH188" s="1"/>
      <c r="AI188" s="1"/>
      <c r="AJ188" s="1"/>
      <c r="AK188" s="1"/>
    </row>
    <row r="189" spans="1:37" ht="12.75" customHeight="1">
      <c r="A189" s="1"/>
      <c r="B189" s="1"/>
      <c r="C189" s="1"/>
      <c r="D189" s="1"/>
      <c r="E189" s="1"/>
      <c r="F189" s="2"/>
      <c r="G189" s="2"/>
      <c r="H189" s="2"/>
      <c r="I189" s="2"/>
      <c r="J189" s="2"/>
      <c r="K189" s="2"/>
      <c r="L189" s="2"/>
      <c r="M189" s="2"/>
      <c r="N189" s="3"/>
      <c r="O189" s="3"/>
      <c r="P189" s="3"/>
      <c r="Q189" s="1"/>
      <c r="R189" s="1"/>
      <c r="S189" s="1"/>
      <c r="T189" s="1"/>
      <c r="U189" s="1"/>
      <c r="V189" s="1"/>
      <c r="W189" s="1"/>
      <c r="X189" s="1"/>
      <c r="Y189" s="1"/>
      <c r="Z189" s="1"/>
      <c r="AA189" s="1"/>
      <c r="AB189" s="1"/>
      <c r="AC189" s="1"/>
      <c r="AD189" s="1"/>
      <c r="AE189" s="1"/>
      <c r="AF189" s="1"/>
      <c r="AG189" s="1"/>
      <c r="AH189" s="1"/>
      <c r="AI189" s="1"/>
      <c r="AJ189" s="1"/>
      <c r="AK189" s="1"/>
    </row>
    <row r="190" spans="1:37" ht="12.75" customHeight="1">
      <c r="A190" s="1"/>
      <c r="B190" s="1"/>
      <c r="C190" s="1"/>
      <c r="D190" s="1"/>
      <c r="E190" s="1"/>
      <c r="F190" s="2"/>
      <c r="G190" s="2"/>
      <c r="H190" s="2"/>
      <c r="I190" s="2"/>
      <c r="J190" s="2"/>
      <c r="K190" s="2"/>
      <c r="L190" s="2"/>
      <c r="M190" s="2"/>
      <c r="N190" s="3"/>
      <c r="O190" s="3"/>
      <c r="P190" s="3"/>
      <c r="Q190" s="1"/>
      <c r="R190" s="1"/>
      <c r="S190" s="1"/>
      <c r="T190" s="1"/>
      <c r="U190" s="1"/>
      <c r="V190" s="1"/>
      <c r="W190" s="1"/>
      <c r="X190" s="1"/>
      <c r="Y190" s="1"/>
      <c r="Z190" s="1"/>
      <c r="AA190" s="1"/>
      <c r="AB190" s="1"/>
      <c r="AC190" s="1"/>
      <c r="AD190" s="1"/>
      <c r="AE190" s="1"/>
      <c r="AF190" s="1"/>
      <c r="AG190" s="1"/>
      <c r="AH190" s="1"/>
      <c r="AI190" s="1"/>
      <c r="AJ190" s="1"/>
      <c r="AK190" s="1"/>
    </row>
    <row r="191" spans="1:37" ht="12.75" customHeight="1">
      <c r="A191" s="1"/>
      <c r="B191" s="1"/>
      <c r="C191" s="1"/>
      <c r="D191" s="1"/>
      <c r="E191" s="1"/>
      <c r="F191" s="2"/>
      <c r="G191" s="2"/>
      <c r="H191" s="2"/>
      <c r="I191" s="2"/>
      <c r="J191" s="2"/>
      <c r="K191" s="2"/>
      <c r="L191" s="2"/>
      <c r="M191" s="2"/>
      <c r="N191" s="3"/>
      <c r="O191" s="3"/>
      <c r="P191" s="3"/>
      <c r="Q191" s="1"/>
      <c r="R191" s="1"/>
      <c r="S191" s="1"/>
      <c r="T191" s="1"/>
      <c r="U191" s="1"/>
      <c r="V191" s="1"/>
      <c r="W191" s="1"/>
      <c r="X191" s="1"/>
      <c r="Y191" s="1"/>
      <c r="Z191" s="1"/>
      <c r="AA191" s="1"/>
      <c r="AB191" s="1"/>
      <c r="AC191" s="1"/>
      <c r="AD191" s="1"/>
      <c r="AE191" s="1"/>
      <c r="AF191" s="1"/>
      <c r="AG191" s="1"/>
      <c r="AH191" s="1"/>
      <c r="AI191" s="1"/>
      <c r="AJ191" s="1"/>
      <c r="AK191" s="1"/>
    </row>
    <row r="192" spans="1:37" ht="12.75" customHeight="1">
      <c r="A192" s="1"/>
      <c r="B192" s="1"/>
      <c r="C192" s="1"/>
      <c r="D192" s="1"/>
      <c r="E192" s="1"/>
      <c r="F192" s="2"/>
      <c r="G192" s="2"/>
      <c r="H192" s="2"/>
      <c r="I192" s="2"/>
      <c r="J192" s="2"/>
      <c r="K192" s="2"/>
      <c r="L192" s="2"/>
      <c r="M192" s="2"/>
      <c r="N192" s="3"/>
      <c r="O192" s="3"/>
      <c r="P192" s="3"/>
      <c r="Q192" s="1"/>
      <c r="R192" s="1"/>
      <c r="S192" s="1"/>
      <c r="T192" s="1"/>
      <c r="U192" s="1"/>
      <c r="V192" s="1"/>
      <c r="W192" s="1"/>
      <c r="X192" s="1"/>
      <c r="Y192" s="1"/>
      <c r="Z192" s="1"/>
      <c r="AA192" s="1"/>
      <c r="AB192" s="1"/>
      <c r="AC192" s="1"/>
      <c r="AD192" s="1"/>
      <c r="AE192" s="1"/>
      <c r="AF192" s="1"/>
      <c r="AG192" s="1"/>
      <c r="AH192" s="1"/>
      <c r="AI192" s="1"/>
      <c r="AJ192" s="1"/>
      <c r="AK192" s="1"/>
    </row>
    <row r="193" spans="1:37" ht="12.75" customHeight="1">
      <c r="A193" s="1"/>
      <c r="B193" s="1"/>
      <c r="C193" s="1"/>
      <c r="D193" s="1"/>
      <c r="E193" s="1"/>
      <c r="F193" s="2"/>
      <c r="G193" s="2"/>
      <c r="H193" s="2"/>
      <c r="I193" s="2"/>
      <c r="J193" s="2"/>
      <c r="K193" s="2"/>
      <c r="L193" s="2"/>
      <c r="M193" s="2"/>
      <c r="N193" s="3"/>
      <c r="O193" s="3"/>
      <c r="P193" s="3"/>
      <c r="Q193" s="1"/>
      <c r="R193" s="1"/>
      <c r="S193" s="1"/>
      <c r="T193" s="1"/>
      <c r="U193" s="1"/>
      <c r="V193" s="1"/>
      <c r="W193" s="1"/>
      <c r="X193" s="1"/>
      <c r="Y193" s="1"/>
      <c r="Z193" s="1"/>
      <c r="AA193" s="1"/>
      <c r="AB193" s="1"/>
      <c r="AC193" s="1"/>
      <c r="AD193" s="1"/>
      <c r="AE193" s="1"/>
      <c r="AF193" s="1"/>
      <c r="AG193" s="1"/>
      <c r="AH193" s="1"/>
      <c r="AI193" s="1"/>
      <c r="AJ193" s="1"/>
      <c r="AK193" s="1"/>
    </row>
    <row r="194" spans="1:37" ht="12.75" customHeight="1">
      <c r="A194" s="1"/>
      <c r="B194" s="1"/>
      <c r="C194" s="1"/>
      <c r="D194" s="1"/>
      <c r="E194" s="1"/>
      <c r="F194" s="2"/>
      <c r="G194" s="2"/>
      <c r="H194" s="2"/>
      <c r="I194" s="2"/>
      <c r="J194" s="2"/>
      <c r="K194" s="2"/>
      <c r="L194" s="2"/>
      <c r="M194" s="2"/>
      <c r="N194" s="3"/>
      <c r="O194" s="3"/>
      <c r="P194" s="3"/>
      <c r="Q194" s="1"/>
      <c r="R194" s="1"/>
      <c r="S194" s="1"/>
      <c r="T194" s="1"/>
      <c r="U194" s="1"/>
      <c r="V194" s="1"/>
      <c r="W194" s="1"/>
      <c r="X194" s="1"/>
      <c r="Y194" s="1"/>
      <c r="Z194" s="1"/>
      <c r="AA194" s="1"/>
      <c r="AB194" s="1"/>
      <c r="AC194" s="1"/>
      <c r="AD194" s="1"/>
      <c r="AE194" s="1"/>
      <c r="AF194" s="1"/>
      <c r="AG194" s="1"/>
      <c r="AH194" s="1"/>
      <c r="AI194" s="1"/>
      <c r="AJ194" s="1"/>
      <c r="AK194" s="1"/>
    </row>
    <row r="195" spans="1:37" ht="12.75" customHeight="1">
      <c r="A195" s="1"/>
      <c r="B195" s="1"/>
      <c r="C195" s="1"/>
      <c r="D195" s="1"/>
      <c r="E195" s="1"/>
      <c r="F195" s="2"/>
      <c r="G195" s="2"/>
      <c r="H195" s="2"/>
      <c r="I195" s="2"/>
      <c r="J195" s="2"/>
      <c r="K195" s="2"/>
      <c r="L195" s="2"/>
      <c r="M195" s="2"/>
      <c r="N195" s="3"/>
      <c r="O195" s="3"/>
      <c r="P195" s="3"/>
      <c r="Q195" s="1"/>
      <c r="R195" s="1"/>
      <c r="S195" s="1"/>
      <c r="T195" s="1"/>
      <c r="U195" s="1"/>
      <c r="V195" s="1"/>
      <c r="W195" s="1"/>
      <c r="X195" s="1"/>
      <c r="Y195" s="1"/>
      <c r="Z195" s="1"/>
      <c r="AA195" s="1"/>
      <c r="AB195" s="1"/>
      <c r="AC195" s="1"/>
      <c r="AD195" s="1"/>
      <c r="AE195" s="1"/>
      <c r="AF195" s="1"/>
      <c r="AG195" s="1"/>
      <c r="AH195" s="1"/>
      <c r="AI195" s="1"/>
      <c r="AJ195" s="1"/>
      <c r="AK195" s="1"/>
    </row>
    <row r="196" spans="1:37" ht="12.75" customHeight="1">
      <c r="A196" s="1"/>
      <c r="B196" s="1"/>
      <c r="C196" s="1"/>
      <c r="D196" s="1"/>
      <c r="E196" s="1"/>
      <c r="F196" s="2"/>
      <c r="G196" s="2"/>
      <c r="H196" s="2"/>
      <c r="I196" s="2"/>
      <c r="J196" s="2"/>
      <c r="K196" s="2"/>
      <c r="L196" s="2"/>
      <c r="M196" s="2"/>
      <c r="N196" s="3"/>
      <c r="O196" s="3"/>
      <c r="P196" s="3"/>
      <c r="Q196" s="1"/>
      <c r="R196" s="1"/>
      <c r="S196" s="1"/>
      <c r="T196" s="1"/>
      <c r="U196" s="1"/>
      <c r="V196" s="1"/>
      <c r="W196" s="1"/>
      <c r="X196" s="1"/>
      <c r="Y196" s="1"/>
      <c r="Z196" s="1"/>
      <c r="AA196" s="1"/>
      <c r="AB196" s="1"/>
      <c r="AC196" s="1"/>
      <c r="AD196" s="1"/>
      <c r="AE196" s="1"/>
      <c r="AF196" s="1"/>
      <c r="AG196" s="1"/>
      <c r="AH196" s="1"/>
      <c r="AI196" s="1"/>
      <c r="AJ196" s="1"/>
      <c r="AK196" s="1"/>
    </row>
    <row r="197" spans="1:37" ht="12.75" customHeight="1">
      <c r="A197" s="1"/>
      <c r="B197" s="1"/>
      <c r="C197" s="1"/>
      <c r="D197" s="1"/>
      <c r="E197" s="1"/>
      <c r="F197" s="2"/>
      <c r="G197" s="2"/>
      <c r="H197" s="2"/>
      <c r="I197" s="2"/>
      <c r="J197" s="2"/>
      <c r="K197" s="2"/>
      <c r="L197" s="2"/>
      <c r="M197" s="2"/>
      <c r="N197" s="3"/>
      <c r="O197" s="3"/>
      <c r="P197" s="3"/>
      <c r="Q197" s="1"/>
      <c r="R197" s="1"/>
      <c r="S197" s="1"/>
      <c r="T197" s="1"/>
      <c r="U197" s="1"/>
      <c r="V197" s="1"/>
      <c r="W197" s="1"/>
      <c r="X197" s="1"/>
      <c r="Y197" s="1"/>
      <c r="Z197" s="1"/>
      <c r="AA197" s="1"/>
      <c r="AB197" s="1"/>
      <c r="AC197" s="1"/>
      <c r="AD197" s="1"/>
      <c r="AE197" s="1"/>
      <c r="AF197" s="1"/>
      <c r="AG197" s="1"/>
      <c r="AH197" s="1"/>
      <c r="AI197" s="1"/>
      <c r="AJ197" s="1"/>
      <c r="AK197" s="1"/>
    </row>
    <row r="198" spans="1:37" ht="12.75" customHeight="1">
      <c r="A198" s="1"/>
      <c r="B198" s="1"/>
      <c r="C198" s="1"/>
      <c r="D198" s="1"/>
      <c r="E198" s="1"/>
      <c r="F198" s="2"/>
      <c r="G198" s="2"/>
      <c r="H198" s="2"/>
      <c r="I198" s="2"/>
      <c r="J198" s="2"/>
      <c r="K198" s="2"/>
      <c r="L198" s="2"/>
      <c r="M198" s="2"/>
      <c r="N198" s="3"/>
      <c r="O198" s="3"/>
      <c r="P198" s="3"/>
      <c r="Q198" s="1"/>
      <c r="R198" s="1"/>
      <c r="S198" s="1"/>
      <c r="T198" s="1"/>
      <c r="U198" s="1"/>
      <c r="V198" s="1"/>
      <c r="W198" s="1"/>
      <c r="X198" s="1"/>
      <c r="Y198" s="1"/>
      <c r="Z198" s="1"/>
      <c r="AA198" s="1"/>
      <c r="AB198" s="1"/>
      <c r="AC198" s="1"/>
      <c r="AD198" s="1"/>
      <c r="AE198" s="1"/>
      <c r="AF198" s="1"/>
      <c r="AG198" s="1"/>
      <c r="AH198" s="1"/>
      <c r="AI198" s="1"/>
      <c r="AJ198" s="1"/>
      <c r="AK198" s="1"/>
    </row>
    <row r="199" spans="1:37" ht="12.75" customHeight="1">
      <c r="A199" s="1"/>
      <c r="B199" s="1"/>
      <c r="C199" s="1"/>
      <c r="D199" s="1"/>
      <c r="E199" s="1"/>
      <c r="F199" s="2"/>
      <c r="G199" s="2"/>
      <c r="H199" s="2"/>
      <c r="I199" s="2"/>
      <c r="J199" s="2"/>
      <c r="K199" s="2"/>
      <c r="L199" s="2"/>
      <c r="M199" s="2"/>
      <c r="N199" s="3"/>
      <c r="O199" s="3"/>
      <c r="P199" s="3"/>
      <c r="Q199" s="1"/>
      <c r="R199" s="1"/>
      <c r="S199" s="1"/>
      <c r="T199" s="1"/>
      <c r="U199" s="1"/>
      <c r="V199" s="1"/>
      <c r="W199" s="1"/>
      <c r="X199" s="1"/>
      <c r="Y199" s="1"/>
      <c r="Z199" s="1"/>
      <c r="AA199" s="1"/>
      <c r="AB199" s="1"/>
      <c r="AC199" s="1"/>
      <c r="AD199" s="1"/>
      <c r="AE199" s="1"/>
      <c r="AF199" s="1"/>
      <c r="AG199" s="1"/>
      <c r="AH199" s="1"/>
      <c r="AI199" s="1"/>
      <c r="AJ199" s="1"/>
      <c r="AK199" s="1"/>
    </row>
    <row r="200" spans="1:37" ht="12.75" customHeight="1">
      <c r="A200" s="1"/>
      <c r="B200" s="1"/>
      <c r="C200" s="1"/>
      <c r="D200" s="1"/>
      <c r="E200" s="1"/>
      <c r="F200" s="2"/>
      <c r="G200" s="2"/>
      <c r="H200" s="2"/>
      <c r="I200" s="2"/>
      <c r="J200" s="2"/>
      <c r="K200" s="2"/>
      <c r="L200" s="2"/>
      <c r="M200" s="2"/>
      <c r="N200" s="3"/>
      <c r="O200" s="3"/>
      <c r="P200" s="3"/>
      <c r="Q200" s="1"/>
      <c r="R200" s="1"/>
      <c r="S200" s="1"/>
      <c r="T200" s="1"/>
      <c r="U200" s="1"/>
      <c r="V200" s="1"/>
      <c r="W200" s="1"/>
      <c r="X200" s="1"/>
      <c r="Y200" s="1"/>
      <c r="Z200" s="1"/>
      <c r="AA200" s="1"/>
      <c r="AB200" s="1"/>
      <c r="AC200" s="1"/>
      <c r="AD200" s="1"/>
      <c r="AE200" s="1"/>
      <c r="AF200" s="1"/>
      <c r="AG200" s="1"/>
      <c r="AH200" s="1"/>
      <c r="AI200" s="1"/>
      <c r="AJ200" s="1"/>
      <c r="AK200" s="1"/>
    </row>
    <row r="201" spans="1:37" ht="12.75" customHeight="1">
      <c r="A201" s="1"/>
      <c r="B201" s="1"/>
      <c r="C201" s="1"/>
      <c r="D201" s="1"/>
      <c r="E201" s="1"/>
      <c r="F201" s="2"/>
      <c r="G201" s="2"/>
      <c r="H201" s="2"/>
      <c r="I201" s="2"/>
      <c r="J201" s="2"/>
      <c r="K201" s="2"/>
      <c r="L201" s="2"/>
      <c r="M201" s="2"/>
      <c r="N201" s="3"/>
      <c r="O201" s="3"/>
      <c r="P201" s="3"/>
      <c r="Q201" s="1"/>
      <c r="R201" s="1"/>
      <c r="S201" s="1"/>
      <c r="T201" s="1"/>
      <c r="U201" s="1"/>
      <c r="V201" s="1"/>
      <c r="W201" s="1"/>
      <c r="X201" s="1"/>
      <c r="Y201" s="1"/>
      <c r="Z201" s="1"/>
      <c r="AA201" s="1"/>
      <c r="AB201" s="1"/>
      <c r="AC201" s="1"/>
      <c r="AD201" s="1"/>
      <c r="AE201" s="1"/>
      <c r="AF201" s="1"/>
      <c r="AG201" s="1"/>
      <c r="AH201" s="1"/>
      <c r="AI201" s="1"/>
      <c r="AJ201" s="1"/>
      <c r="AK201" s="1"/>
    </row>
    <row r="202" spans="1:37" ht="12.75" customHeight="1">
      <c r="A202" s="1"/>
      <c r="B202" s="1"/>
      <c r="C202" s="1"/>
      <c r="D202" s="1"/>
      <c r="E202" s="1"/>
      <c r="F202" s="2"/>
      <c r="G202" s="2"/>
      <c r="H202" s="2"/>
      <c r="I202" s="2"/>
      <c r="J202" s="2"/>
      <c r="K202" s="2"/>
      <c r="L202" s="2"/>
      <c r="M202" s="2"/>
      <c r="N202" s="3"/>
      <c r="O202" s="3"/>
      <c r="P202" s="3"/>
      <c r="Q202" s="1"/>
      <c r="R202" s="1"/>
      <c r="S202" s="1"/>
      <c r="T202" s="1"/>
      <c r="U202" s="1"/>
      <c r="V202" s="1"/>
      <c r="W202" s="1"/>
      <c r="X202" s="1"/>
      <c r="Y202" s="1"/>
      <c r="Z202" s="1"/>
      <c r="AA202" s="1"/>
      <c r="AB202" s="1"/>
      <c r="AC202" s="1"/>
      <c r="AD202" s="1"/>
      <c r="AE202" s="1"/>
      <c r="AF202" s="1"/>
      <c r="AG202" s="1"/>
      <c r="AH202" s="1"/>
      <c r="AI202" s="1"/>
      <c r="AJ202" s="1"/>
      <c r="AK202" s="1"/>
    </row>
    <row r="203" spans="1:37" ht="12.75" customHeight="1">
      <c r="A203" s="1"/>
      <c r="B203" s="1"/>
      <c r="C203" s="1"/>
      <c r="D203" s="1"/>
      <c r="E203" s="1"/>
      <c r="F203" s="2"/>
      <c r="G203" s="2"/>
      <c r="H203" s="2"/>
      <c r="I203" s="2"/>
      <c r="J203" s="2"/>
      <c r="K203" s="2"/>
      <c r="L203" s="2"/>
      <c r="M203" s="2"/>
      <c r="N203" s="3"/>
      <c r="O203" s="3"/>
      <c r="P203" s="3"/>
      <c r="Q203" s="1"/>
      <c r="R203" s="1"/>
      <c r="S203" s="1"/>
      <c r="T203" s="1"/>
      <c r="U203" s="1"/>
      <c r="V203" s="1"/>
      <c r="W203" s="1"/>
      <c r="X203" s="1"/>
      <c r="Y203" s="1"/>
      <c r="Z203" s="1"/>
      <c r="AA203" s="1"/>
      <c r="AB203" s="1"/>
      <c r="AC203" s="1"/>
      <c r="AD203" s="1"/>
      <c r="AE203" s="1"/>
      <c r="AF203" s="1"/>
      <c r="AG203" s="1"/>
      <c r="AH203" s="1"/>
      <c r="AI203" s="1"/>
      <c r="AJ203" s="1"/>
      <c r="AK203" s="1"/>
    </row>
    <row r="204" spans="1:37" ht="12.75" customHeight="1">
      <c r="A204" s="1"/>
      <c r="B204" s="1"/>
      <c r="C204" s="1"/>
      <c r="D204" s="1"/>
      <c r="E204" s="1"/>
      <c r="F204" s="2"/>
      <c r="G204" s="2"/>
      <c r="H204" s="2"/>
      <c r="I204" s="2"/>
      <c r="J204" s="2"/>
      <c r="K204" s="2"/>
      <c r="L204" s="2"/>
      <c r="M204" s="2"/>
      <c r="N204" s="3"/>
      <c r="O204" s="3"/>
      <c r="P204" s="3"/>
      <c r="Q204" s="1"/>
      <c r="R204" s="1"/>
      <c r="S204" s="1"/>
      <c r="T204" s="1"/>
      <c r="U204" s="1"/>
      <c r="V204" s="1"/>
      <c r="W204" s="1"/>
      <c r="X204" s="1"/>
      <c r="Y204" s="1"/>
      <c r="Z204" s="1"/>
      <c r="AA204" s="1"/>
      <c r="AB204" s="1"/>
      <c r="AC204" s="1"/>
      <c r="AD204" s="1"/>
      <c r="AE204" s="1"/>
      <c r="AF204" s="1"/>
      <c r="AG204" s="1"/>
      <c r="AH204" s="1"/>
      <c r="AI204" s="1"/>
      <c r="AJ204" s="1"/>
      <c r="AK204" s="1"/>
    </row>
    <row r="205" spans="1:37" ht="12.75" customHeight="1">
      <c r="A205" s="1"/>
      <c r="B205" s="1"/>
      <c r="C205" s="1"/>
      <c r="D205" s="1"/>
      <c r="E205" s="1"/>
      <c r="F205" s="2"/>
      <c r="G205" s="2"/>
      <c r="H205" s="2"/>
      <c r="I205" s="2"/>
      <c r="J205" s="2"/>
      <c r="K205" s="2"/>
      <c r="L205" s="2"/>
      <c r="M205" s="2"/>
      <c r="N205" s="3"/>
      <c r="O205" s="3"/>
      <c r="P205" s="3"/>
      <c r="Q205" s="1"/>
      <c r="R205" s="1"/>
      <c r="S205" s="1"/>
      <c r="T205" s="1"/>
      <c r="U205" s="1"/>
      <c r="V205" s="1"/>
      <c r="W205" s="1"/>
      <c r="X205" s="1"/>
      <c r="Y205" s="1"/>
      <c r="Z205" s="1"/>
      <c r="AA205" s="1"/>
      <c r="AB205" s="1"/>
      <c r="AC205" s="1"/>
      <c r="AD205" s="1"/>
      <c r="AE205" s="1"/>
      <c r="AF205" s="1"/>
      <c r="AG205" s="1"/>
      <c r="AH205" s="1"/>
      <c r="AI205" s="1"/>
      <c r="AJ205" s="1"/>
      <c r="AK205" s="1"/>
    </row>
    <row r="206" spans="1:37" ht="12.75" customHeight="1">
      <c r="A206" s="1"/>
      <c r="B206" s="1"/>
      <c r="C206" s="1"/>
      <c r="D206" s="1"/>
      <c r="E206" s="1"/>
      <c r="F206" s="2"/>
      <c r="G206" s="2"/>
      <c r="H206" s="2"/>
      <c r="I206" s="2"/>
      <c r="J206" s="2"/>
      <c r="K206" s="2"/>
      <c r="L206" s="2"/>
      <c r="M206" s="2"/>
      <c r="N206" s="3"/>
      <c r="O206" s="3"/>
      <c r="P206" s="3"/>
      <c r="Q206" s="1"/>
      <c r="R206" s="1"/>
      <c r="S206" s="1"/>
      <c r="T206" s="1"/>
      <c r="U206" s="1"/>
      <c r="V206" s="1"/>
      <c r="W206" s="1"/>
      <c r="X206" s="1"/>
      <c r="Y206" s="1"/>
      <c r="Z206" s="1"/>
      <c r="AA206" s="1"/>
      <c r="AB206" s="1"/>
      <c r="AC206" s="1"/>
      <c r="AD206" s="1"/>
      <c r="AE206" s="1"/>
      <c r="AF206" s="1"/>
      <c r="AG206" s="1"/>
      <c r="AH206" s="1"/>
      <c r="AI206" s="1"/>
      <c r="AJ206" s="1"/>
      <c r="AK206" s="1"/>
    </row>
    <row r="207" spans="1:37" ht="12.75" customHeight="1">
      <c r="A207" s="1"/>
      <c r="B207" s="1"/>
      <c r="C207" s="1"/>
      <c r="D207" s="1"/>
      <c r="E207" s="1"/>
      <c r="F207" s="2"/>
      <c r="G207" s="2"/>
      <c r="H207" s="2"/>
      <c r="I207" s="2"/>
      <c r="J207" s="2"/>
      <c r="K207" s="2"/>
      <c r="L207" s="2"/>
      <c r="M207" s="2"/>
      <c r="N207" s="3"/>
      <c r="O207" s="3"/>
      <c r="P207" s="3"/>
      <c r="Q207" s="1"/>
      <c r="R207" s="1"/>
      <c r="S207" s="1"/>
      <c r="T207" s="1"/>
      <c r="U207" s="1"/>
      <c r="V207" s="1"/>
      <c r="W207" s="1"/>
      <c r="X207" s="1"/>
      <c r="Y207" s="1"/>
      <c r="Z207" s="1"/>
      <c r="AA207" s="1"/>
      <c r="AB207" s="1"/>
      <c r="AC207" s="1"/>
      <c r="AD207" s="1"/>
      <c r="AE207" s="1"/>
      <c r="AF207" s="1"/>
      <c r="AG207" s="1"/>
      <c r="AH207" s="1"/>
      <c r="AI207" s="1"/>
      <c r="AJ207" s="1"/>
      <c r="AK207" s="1"/>
    </row>
    <row r="208" spans="1:37" ht="12.75" customHeight="1">
      <c r="A208" s="1"/>
      <c r="B208" s="1"/>
      <c r="C208" s="1"/>
      <c r="D208" s="1"/>
      <c r="E208" s="1"/>
      <c r="F208" s="2"/>
      <c r="G208" s="2"/>
      <c r="H208" s="2"/>
      <c r="I208" s="2"/>
      <c r="J208" s="2"/>
      <c r="K208" s="2"/>
      <c r="L208" s="2"/>
      <c r="M208" s="2"/>
      <c r="N208" s="3"/>
      <c r="O208" s="3"/>
      <c r="P208" s="3"/>
      <c r="Q208" s="1"/>
      <c r="R208" s="1"/>
      <c r="S208" s="1"/>
      <c r="T208" s="1"/>
      <c r="U208" s="1"/>
      <c r="V208" s="1"/>
      <c r="W208" s="1"/>
      <c r="X208" s="1"/>
      <c r="Y208" s="1"/>
      <c r="Z208" s="1"/>
      <c r="AA208" s="1"/>
      <c r="AB208" s="1"/>
      <c r="AC208" s="1"/>
      <c r="AD208" s="1"/>
      <c r="AE208" s="1"/>
      <c r="AF208" s="1"/>
      <c r="AG208" s="1"/>
      <c r="AH208" s="1"/>
      <c r="AI208" s="1"/>
      <c r="AJ208" s="1"/>
      <c r="AK208" s="1"/>
    </row>
    <row r="209" spans="1:37" ht="12.75" customHeight="1">
      <c r="A209" s="1"/>
      <c r="B209" s="1"/>
      <c r="C209" s="1"/>
      <c r="D209" s="1"/>
      <c r="E209" s="1"/>
      <c r="F209" s="2"/>
      <c r="G209" s="2"/>
      <c r="H209" s="2"/>
      <c r="I209" s="2"/>
      <c r="J209" s="2"/>
      <c r="K209" s="2"/>
      <c r="L209" s="2"/>
      <c r="M209" s="2"/>
      <c r="N209" s="3"/>
      <c r="O209" s="3"/>
      <c r="P209" s="3"/>
      <c r="Q209" s="1"/>
      <c r="R209" s="1"/>
      <c r="S209" s="1"/>
      <c r="T209" s="1"/>
      <c r="U209" s="1"/>
      <c r="V209" s="1"/>
      <c r="W209" s="1"/>
      <c r="X209" s="1"/>
      <c r="Y209" s="1"/>
      <c r="Z209" s="1"/>
      <c r="AA209" s="1"/>
      <c r="AB209" s="1"/>
      <c r="AC209" s="1"/>
      <c r="AD209" s="1"/>
      <c r="AE209" s="1"/>
      <c r="AF209" s="1"/>
      <c r="AG209" s="1"/>
      <c r="AH209" s="1"/>
      <c r="AI209" s="1"/>
      <c r="AJ209" s="1"/>
      <c r="AK209" s="1"/>
    </row>
    <row r="210" spans="1:37" ht="12.75" customHeight="1">
      <c r="A210" s="1"/>
      <c r="B210" s="1"/>
      <c r="C210" s="1"/>
      <c r="D210" s="1"/>
      <c r="E210" s="1"/>
      <c r="F210" s="2"/>
      <c r="G210" s="2"/>
      <c r="H210" s="2"/>
      <c r="I210" s="2"/>
      <c r="J210" s="2"/>
      <c r="K210" s="2"/>
      <c r="L210" s="2"/>
      <c r="M210" s="2"/>
      <c r="N210" s="3"/>
      <c r="O210" s="3"/>
      <c r="P210" s="3"/>
      <c r="Q210" s="1"/>
      <c r="R210" s="1"/>
      <c r="S210" s="1"/>
      <c r="T210" s="1"/>
      <c r="U210" s="1"/>
      <c r="V210" s="1"/>
      <c r="W210" s="1"/>
      <c r="X210" s="1"/>
      <c r="Y210" s="1"/>
      <c r="Z210" s="1"/>
      <c r="AA210" s="1"/>
      <c r="AB210" s="1"/>
      <c r="AC210" s="1"/>
      <c r="AD210" s="1"/>
      <c r="AE210" s="1"/>
      <c r="AF210" s="1"/>
      <c r="AG210" s="1"/>
      <c r="AH210" s="1"/>
      <c r="AI210" s="1"/>
      <c r="AJ210" s="1"/>
      <c r="AK210" s="1"/>
    </row>
    <row r="211" spans="1:37" ht="12.75" customHeight="1">
      <c r="A211" s="1"/>
      <c r="B211" s="1"/>
      <c r="C211" s="1"/>
      <c r="D211" s="1"/>
      <c r="E211" s="1"/>
      <c r="F211" s="2"/>
      <c r="G211" s="2"/>
      <c r="H211" s="2"/>
      <c r="I211" s="2"/>
      <c r="J211" s="2"/>
      <c r="K211" s="2"/>
      <c r="L211" s="2"/>
      <c r="M211" s="2"/>
      <c r="N211" s="3"/>
      <c r="O211" s="3"/>
      <c r="P211" s="3"/>
      <c r="Q211" s="1"/>
      <c r="R211" s="1"/>
      <c r="S211" s="1"/>
      <c r="T211" s="1"/>
      <c r="U211" s="1"/>
      <c r="V211" s="1"/>
      <c r="W211" s="1"/>
      <c r="X211" s="1"/>
      <c r="Y211" s="1"/>
      <c r="Z211" s="1"/>
      <c r="AA211" s="1"/>
      <c r="AB211" s="1"/>
      <c r="AC211" s="1"/>
      <c r="AD211" s="1"/>
      <c r="AE211" s="1"/>
      <c r="AF211" s="1"/>
      <c r="AG211" s="1"/>
      <c r="AH211" s="1"/>
      <c r="AI211" s="1"/>
      <c r="AJ211" s="1"/>
      <c r="AK211" s="1"/>
    </row>
    <row r="212" spans="1:37" ht="12.75" customHeight="1">
      <c r="A212" s="1"/>
      <c r="B212" s="1"/>
      <c r="C212" s="1"/>
      <c r="D212" s="1"/>
      <c r="E212" s="1"/>
      <c r="F212" s="2"/>
      <c r="G212" s="2"/>
      <c r="H212" s="2"/>
      <c r="I212" s="2"/>
      <c r="J212" s="2"/>
      <c r="K212" s="2"/>
      <c r="L212" s="2"/>
      <c r="M212" s="2"/>
      <c r="N212" s="3"/>
      <c r="O212" s="3"/>
      <c r="P212" s="3"/>
      <c r="Q212" s="1"/>
      <c r="R212" s="1"/>
      <c r="S212" s="1"/>
      <c r="T212" s="1"/>
      <c r="U212" s="1"/>
      <c r="V212" s="1"/>
      <c r="W212" s="1"/>
      <c r="X212" s="1"/>
      <c r="Y212" s="1"/>
      <c r="Z212" s="1"/>
      <c r="AA212" s="1"/>
      <c r="AB212" s="1"/>
      <c r="AC212" s="1"/>
      <c r="AD212" s="1"/>
      <c r="AE212" s="1"/>
      <c r="AF212" s="1"/>
      <c r="AG212" s="1"/>
      <c r="AH212" s="1"/>
      <c r="AI212" s="1"/>
      <c r="AJ212" s="1"/>
      <c r="AK212" s="1"/>
    </row>
    <row r="213" spans="1:37" ht="12.75" customHeight="1">
      <c r="A213" s="1"/>
      <c r="B213" s="1"/>
      <c r="C213" s="1"/>
      <c r="D213" s="1"/>
      <c r="E213" s="1"/>
      <c r="F213" s="2"/>
      <c r="G213" s="2"/>
      <c r="H213" s="2"/>
      <c r="I213" s="2"/>
      <c r="J213" s="2"/>
      <c r="K213" s="2"/>
      <c r="L213" s="2"/>
      <c r="M213" s="2"/>
      <c r="N213" s="3"/>
      <c r="O213" s="3"/>
      <c r="P213" s="3"/>
      <c r="Q213" s="1"/>
      <c r="R213" s="1"/>
      <c r="S213" s="1"/>
      <c r="T213" s="1"/>
      <c r="U213" s="1"/>
      <c r="V213" s="1"/>
      <c r="W213" s="1"/>
      <c r="X213" s="1"/>
      <c r="Y213" s="1"/>
      <c r="Z213" s="1"/>
      <c r="AA213" s="1"/>
      <c r="AB213" s="1"/>
      <c r="AC213" s="1"/>
      <c r="AD213" s="1"/>
      <c r="AE213" s="1"/>
      <c r="AF213" s="1"/>
      <c r="AG213" s="1"/>
      <c r="AH213" s="1"/>
      <c r="AI213" s="1"/>
      <c r="AJ213" s="1"/>
      <c r="AK213" s="1"/>
    </row>
    <row r="214" spans="1:37" ht="12.75" customHeight="1">
      <c r="A214" s="1"/>
      <c r="B214" s="1"/>
      <c r="C214" s="1"/>
      <c r="D214" s="1"/>
      <c r="E214" s="1"/>
      <c r="F214" s="2"/>
      <c r="G214" s="2"/>
      <c r="H214" s="2"/>
      <c r="I214" s="2"/>
      <c r="J214" s="2"/>
      <c r="K214" s="2"/>
      <c r="L214" s="2"/>
      <c r="M214" s="2"/>
      <c r="N214" s="3"/>
      <c r="O214" s="3"/>
      <c r="P214" s="3"/>
      <c r="Q214" s="1"/>
      <c r="R214" s="1"/>
      <c r="S214" s="1"/>
      <c r="T214" s="1"/>
      <c r="U214" s="1"/>
      <c r="V214" s="1"/>
      <c r="W214" s="1"/>
      <c r="X214" s="1"/>
      <c r="Y214" s="1"/>
      <c r="Z214" s="1"/>
      <c r="AA214" s="1"/>
      <c r="AB214" s="1"/>
      <c r="AC214" s="1"/>
      <c r="AD214" s="1"/>
      <c r="AE214" s="1"/>
      <c r="AF214" s="1"/>
      <c r="AG214" s="1"/>
      <c r="AH214" s="1"/>
      <c r="AI214" s="1"/>
      <c r="AJ214" s="1"/>
      <c r="AK214" s="1"/>
    </row>
    <row r="215" spans="1:37" ht="12.75" customHeight="1">
      <c r="A215" s="1"/>
      <c r="B215" s="1"/>
      <c r="C215" s="1"/>
      <c r="D215" s="1"/>
      <c r="E215" s="1"/>
      <c r="F215" s="2"/>
      <c r="G215" s="2"/>
      <c r="H215" s="2"/>
      <c r="I215" s="2"/>
      <c r="J215" s="2"/>
      <c r="K215" s="2"/>
      <c r="L215" s="2"/>
      <c r="M215" s="2"/>
      <c r="N215" s="3"/>
      <c r="O215" s="3"/>
      <c r="P215" s="3"/>
      <c r="Q215" s="1"/>
      <c r="R215" s="1"/>
      <c r="S215" s="1"/>
      <c r="T215" s="1"/>
      <c r="U215" s="1"/>
      <c r="V215" s="1"/>
      <c r="W215" s="1"/>
      <c r="X215" s="1"/>
      <c r="Y215" s="1"/>
      <c r="Z215" s="1"/>
      <c r="AA215" s="1"/>
      <c r="AB215" s="1"/>
      <c r="AC215" s="1"/>
      <c r="AD215" s="1"/>
      <c r="AE215" s="1"/>
      <c r="AF215" s="1"/>
      <c r="AG215" s="1"/>
      <c r="AH215" s="1"/>
      <c r="AI215" s="1"/>
      <c r="AJ215" s="1"/>
      <c r="AK215" s="1"/>
    </row>
    <row r="216" spans="1:37" ht="12.75" customHeight="1">
      <c r="A216" s="1"/>
      <c r="B216" s="1"/>
      <c r="C216" s="1"/>
      <c r="D216" s="1"/>
      <c r="E216" s="1"/>
      <c r="F216" s="2"/>
      <c r="G216" s="2"/>
      <c r="H216" s="2"/>
      <c r="I216" s="2"/>
      <c r="J216" s="2"/>
      <c r="K216" s="2"/>
      <c r="L216" s="2"/>
      <c r="M216" s="2"/>
      <c r="N216" s="3"/>
      <c r="O216" s="3"/>
      <c r="P216" s="3"/>
      <c r="Q216" s="1"/>
      <c r="R216" s="1"/>
      <c r="S216" s="1"/>
      <c r="T216" s="1"/>
      <c r="U216" s="1"/>
      <c r="V216" s="1"/>
      <c r="W216" s="1"/>
      <c r="X216" s="1"/>
      <c r="Y216" s="1"/>
      <c r="Z216" s="1"/>
      <c r="AA216" s="1"/>
      <c r="AB216" s="1"/>
      <c r="AC216" s="1"/>
      <c r="AD216" s="1"/>
      <c r="AE216" s="1"/>
      <c r="AF216" s="1"/>
      <c r="AG216" s="1"/>
      <c r="AH216" s="1"/>
      <c r="AI216" s="1"/>
      <c r="AJ216" s="1"/>
      <c r="AK216" s="1"/>
    </row>
    <row r="217" spans="1:37" ht="12.75" customHeight="1">
      <c r="A217" s="1"/>
      <c r="B217" s="1"/>
      <c r="C217" s="1"/>
      <c r="D217" s="1"/>
      <c r="E217" s="1"/>
      <c r="F217" s="2"/>
      <c r="G217" s="2"/>
      <c r="H217" s="2"/>
      <c r="I217" s="2"/>
      <c r="J217" s="2"/>
      <c r="K217" s="2"/>
      <c r="L217" s="2"/>
      <c r="M217" s="2"/>
      <c r="N217" s="3"/>
      <c r="O217" s="3"/>
      <c r="P217" s="3"/>
      <c r="Q217" s="1"/>
      <c r="R217" s="1"/>
      <c r="S217" s="1"/>
      <c r="T217" s="1"/>
      <c r="U217" s="1"/>
      <c r="V217" s="1"/>
      <c r="W217" s="1"/>
      <c r="X217" s="1"/>
      <c r="Y217" s="1"/>
      <c r="Z217" s="1"/>
      <c r="AA217" s="1"/>
      <c r="AB217" s="1"/>
      <c r="AC217" s="1"/>
      <c r="AD217" s="1"/>
      <c r="AE217" s="1"/>
      <c r="AF217" s="1"/>
      <c r="AG217" s="1"/>
      <c r="AH217" s="1"/>
      <c r="AI217" s="1"/>
      <c r="AJ217" s="1"/>
      <c r="AK217" s="1"/>
    </row>
    <row r="218" spans="1:37" ht="12.75" customHeight="1">
      <c r="A218" s="1"/>
      <c r="B218" s="1"/>
      <c r="C218" s="1"/>
      <c r="D218" s="1"/>
      <c r="E218" s="1"/>
      <c r="F218" s="2"/>
      <c r="G218" s="2"/>
      <c r="H218" s="2"/>
      <c r="I218" s="2"/>
      <c r="J218" s="2"/>
      <c r="K218" s="2"/>
      <c r="L218" s="2"/>
      <c r="M218" s="2"/>
      <c r="N218" s="3"/>
      <c r="O218" s="3"/>
      <c r="P218" s="3"/>
      <c r="Q218" s="1"/>
      <c r="R218" s="1"/>
      <c r="S218" s="1"/>
      <c r="T218" s="1"/>
      <c r="U218" s="1"/>
      <c r="V218" s="1"/>
      <c r="W218" s="1"/>
      <c r="X218" s="1"/>
      <c r="Y218" s="1"/>
      <c r="Z218" s="1"/>
      <c r="AA218" s="1"/>
      <c r="AB218" s="1"/>
      <c r="AC218" s="1"/>
      <c r="AD218" s="1"/>
      <c r="AE218" s="1"/>
      <c r="AF218" s="1"/>
      <c r="AG218" s="1"/>
      <c r="AH218" s="1"/>
      <c r="AI218" s="1"/>
      <c r="AJ218" s="1"/>
      <c r="AK218" s="1"/>
    </row>
    <row r="219" spans="1:37" ht="12.75" customHeight="1">
      <c r="A219" s="1"/>
      <c r="B219" s="1"/>
      <c r="C219" s="1"/>
      <c r="D219" s="1"/>
      <c r="E219" s="1"/>
      <c r="F219" s="2"/>
      <c r="G219" s="2"/>
      <c r="H219" s="2"/>
      <c r="I219" s="2"/>
      <c r="J219" s="2"/>
      <c r="K219" s="2"/>
      <c r="L219" s="2"/>
      <c r="M219" s="2"/>
      <c r="N219" s="3"/>
      <c r="O219" s="3"/>
      <c r="P219" s="3"/>
      <c r="Q219" s="1"/>
      <c r="R219" s="1"/>
      <c r="S219" s="1"/>
      <c r="T219" s="1"/>
      <c r="U219" s="1"/>
      <c r="V219" s="1"/>
      <c r="W219" s="1"/>
      <c r="X219" s="1"/>
      <c r="Y219" s="1"/>
      <c r="Z219" s="1"/>
      <c r="AA219" s="1"/>
      <c r="AB219" s="1"/>
      <c r="AC219" s="1"/>
      <c r="AD219" s="1"/>
      <c r="AE219" s="1"/>
      <c r="AF219" s="1"/>
      <c r="AG219" s="1"/>
      <c r="AH219" s="1"/>
      <c r="AI219" s="1"/>
      <c r="AJ219" s="1"/>
      <c r="AK219" s="1"/>
    </row>
    <row r="220" spans="1:37" ht="12.75" customHeight="1">
      <c r="A220" s="1"/>
      <c r="B220" s="1"/>
      <c r="C220" s="1"/>
      <c r="D220" s="1"/>
      <c r="E220" s="1"/>
      <c r="F220" s="2"/>
      <c r="G220" s="2"/>
      <c r="H220" s="2"/>
      <c r="I220" s="2"/>
      <c r="J220" s="2"/>
      <c r="K220" s="2"/>
      <c r="L220" s="2"/>
      <c r="M220" s="2"/>
      <c r="N220" s="3"/>
      <c r="O220" s="3"/>
      <c r="P220" s="3"/>
      <c r="Q220" s="1"/>
      <c r="R220" s="1"/>
      <c r="S220" s="1"/>
      <c r="T220" s="1"/>
      <c r="U220" s="1"/>
      <c r="V220" s="1"/>
      <c r="W220" s="1"/>
      <c r="X220" s="1"/>
      <c r="Y220" s="1"/>
      <c r="Z220" s="1"/>
      <c r="AA220" s="1"/>
      <c r="AB220" s="1"/>
      <c r="AC220" s="1"/>
      <c r="AD220" s="1"/>
      <c r="AE220" s="1"/>
      <c r="AF220" s="1"/>
      <c r="AG220" s="1"/>
      <c r="AH220" s="1"/>
      <c r="AI220" s="1"/>
      <c r="AJ220" s="1"/>
      <c r="AK220" s="1"/>
    </row>
    <row r="221" spans="1:37" ht="12.75" customHeight="1">
      <c r="A221" s="1"/>
      <c r="B221" s="1"/>
      <c r="C221" s="1"/>
      <c r="D221" s="1"/>
      <c r="E221" s="1"/>
      <c r="F221" s="2"/>
      <c r="G221" s="2"/>
      <c r="H221" s="2"/>
      <c r="I221" s="2"/>
      <c r="J221" s="2"/>
      <c r="K221" s="2"/>
      <c r="L221" s="2"/>
      <c r="M221" s="2"/>
      <c r="N221" s="3"/>
      <c r="O221" s="3"/>
      <c r="P221" s="3"/>
      <c r="Q221" s="1"/>
      <c r="R221" s="1"/>
      <c r="S221" s="1"/>
      <c r="T221" s="1"/>
      <c r="U221" s="1"/>
      <c r="V221" s="1"/>
      <c r="W221" s="1"/>
      <c r="X221" s="1"/>
      <c r="Y221" s="1"/>
      <c r="Z221" s="1"/>
      <c r="AA221" s="1"/>
      <c r="AB221" s="1"/>
      <c r="AC221" s="1"/>
      <c r="AD221" s="1"/>
      <c r="AE221" s="1"/>
      <c r="AF221" s="1"/>
      <c r="AG221" s="1"/>
      <c r="AH221" s="1"/>
      <c r="AI221" s="1"/>
      <c r="AJ221" s="1"/>
      <c r="AK221" s="1"/>
    </row>
    <row r="222" spans="1:37" ht="12.75" customHeight="1">
      <c r="A222" s="1"/>
      <c r="B222" s="1"/>
      <c r="C222" s="1"/>
      <c r="D222" s="1"/>
      <c r="E222" s="1"/>
      <c r="F222" s="2"/>
      <c r="G222" s="2"/>
      <c r="H222" s="2"/>
      <c r="I222" s="2"/>
      <c r="J222" s="2"/>
      <c r="K222" s="2"/>
      <c r="L222" s="2"/>
      <c r="M222" s="2"/>
      <c r="N222" s="3"/>
      <c r="O222" s="3"/>
      <c r="P222" s="3"/>
      <c r="Q222" s="1"/>
      <c r="R222" s="1"/>
      <c r="S222" s="1"/>
      <c r="T222" s="1"/>
      <c r="U222" s="1"/>
      <c r="V222" s="1"/>
      <c r="W222" s="1"/>
      <c r="X222" s="1"/>
      <c r="Y222" s="1"/>
      <c r="Z222" s="1"/>
      <c r="AA222" s="1"/>
      <c r="AB222" s="1"/>
      <c r="AC222" s="1"/>
      <c r="AD222" s="1"/>
      <c r="AE222" s="1"/>
      <c r="AF222" s="1"/>
      <c r="AG222" s="1"/>
      <c r="AH222" s="1"/>
      <c r="AI222" s="1"/>
      <c r="AJ222" s="1"/>
      <c r="AK222" s="1"/>
    </row>
    <row r="223" spans="1:37" ht="12.75" customHeight="1">
      <c r="A223" s="1"/>
      <c r="B223" s="1"/>
      <c r="C223" s="1"/>
      <c r="D223" s="1"/>
      <c r="E223" s="1"/>
      <c r="F223" s="2"/>
      <c r="G223" s="2"/>
      <c r="H223" s="2"/>
      <c r="I223" s="2"/>
      <c r="J223" s="2"/>
      <c r="K223" s="2"/>
      <c r="L223" s="2"/>
      <c r="M223" s="2"/>
      <c r="N223" s="3"/>
      <c r="O223" s="3"/>
      <c r="P223" s="3"/>
      <c r="Q223" s="1"/>
      <c r="R223" s="1"/>
      <c r="S223" s="1"/>
      <c r="T223" s="1"/>
      <c r="U223" s="1"/>
      <c r="V223" s="1"/>
      <c r="W223" s="1"/>
      <c r="X223" s="1"/>
      <c r="Y223" s="1"/>
      <c r="Z223" s="1"/>
      <c r="AA223" s="1"/>
      <c r="AB223" s="1"/>
      <c r="AC223" s="1"/>
      <c r="AD223" s="1"/>
      <c r="AE223" s="1"/>
      <c r="AF223" s="1"/>
      <c r="AG223" s="1"/>
      <c r="AH223" s="1"/>
      <c r="AI223" s="1"/>
      <c r="AJ223" s="1"/>
      <c r="AK223" s="1"/>
    </row>
    <row r="224" spans="1:37" ht="12.75" customHeight="1">
      <c r="A224" s="1"/>
      <c r="B224" s="1"/>
      <c r="C224" s="1"/>
      <c r="D224" s="1"/>
      <c r="E224" s="1"/>
      <c r="F224" s="2"/>
      <c r="G224" s="2"/>
      <c r="H224" s="2"/>
      <c r="I224" s="2"/>
      <c r="J224" s="2"/>
      <c r="K224" s="2"/>
      <c r="L224" s="2"/>
      <c r="M224" s="2"/>
      <c r="N224" s="3"/>
      <c r="O224" s="3"/>
      <c r="P224" s="3"/>
      <c r="Q224" s="1"/>
      <c r="R224" s="1"/>
      <c r="S224" s="1"/>
      <c r="T224" s="1"/>
      <c r="U224" s="1"/>
      <c r="V224" s="1"/>
      <c r="W224" s="1"/>
      <c r="X224" s="1"/>
      <c r="Y224" s="1"/>
      <c r="Z224" s="1"/>
      <c r="AA224" s="1"/>
      <c r="AB224" s="1"/>
      <c r="AC224" s="1"/>
      <c r="AD224" s="1"/>
      <c r="AE224" s="1"/>
      <c r="AF224" s="1"/>
      <c r="AG224" s="1"/>
      <c r="AH224" s="1"/>
      <c r="AI224" s="1"/>
      <c r="AJ224" s="1"/>
      <c r="AK224" s="1"/>
    </row>
    <row r="225" spans="1:37" ht="12.75" customHeight="1">
      <c r="A225" s="1"/>
      <c r="B225" s="1"/>
      <c r="C225" s="1"/>
      <c r="D225" s="1"/>
      <c r="E225" s="1"/>
      <c r="F225" s="2"/>
      <c r="G225" s="2"/>
      <c r="H225" s="2"/>
      <c r="I225" s="2"/>
      <c r="J225" s="2"/>
      <c r="K225" s="2"/>
      <c r="L225" s="2"/>
      <c r="M225" s="2"/>
      <c r="N225" s="3"/>
      <c r="O225" s="3"/>
      <c r="P225" s="3"/>
      <c r="Q225" s="1"/>
      <c r="R225" s="1"/>
      <c r="S225" s="1"/>
      <c r="T225" s="1"/>
      <c r="U225" s="1"/>
      <c r="V225" s="1"/>
      <c r="W225" s="1"/>
      <c r="X225" s="1"/>
      <c r="Y225" s="1"/>
      <c r="Z225" s="1"/>
      <c r="AA225" s="1"/>
      <c r="AB225" s="1"/>
      <c r="AC225" s="1"/>
      <c r="AD225" s="1"/>
      <c r="AE225" s="1"/>
      <c r="AF225" s="1"/>
      <c r="AG225" s="1"/>
      <c r="AH225" s="1"/>
      <c r="AI225" s="1"/>
      <c r="AJ225" s="1"/>
      <c r="AK225" s="1"/>
    </row>
    <row r="226" spans="1:37" ht="12.75" customHeight="1">
      <c r="A226" s="1"/>
      <c r="B226" s="1"/>
      <c r="C226" s="1"/>
      <c r="D226" s="1"/>
      <c r="E226" s="1"/>
      <c r="F226" s="2"/>
      <c r="G226" s="2"/>
      <c r="H226" s="2"/>
      <c r="I226" s="2"/>
      <c r="J226" s="2"/>
      <c r="K226" s="2"/>
      <c r="L226" s="2"/>
      <c r="M226" s="2"/>
      <c r="N226" s="3"/>
      <c r="O226" s="3"/>
      <c r="P226" s="3"/>
      <c r="Q226" s="1"/>
      <c r="R226" s="1"/>
      <c r="S226" s="1"/>
      <c r="T226" s="1"/>
      <c r="U226" s="1"/>
      <c r="V226" s="1"/>
      <c r="W226" s="1"/>
      <c r="X226" s="1"/>
      <c r="Y226" s="1"/>
      <c r="Z226" s="1"/>
      <c r="AA226" s="1"/>
      <c r="AB226" s="1"/>
      <c r="AC226" s="1"/>
      <c r="AD226" s="1"/>
      <c r="AE226" s="1"/>
      <c r="AF226" s="1"/>
      <c r="AG226" s="1"/>
      <c r="AH226" s="1"/>
      <c r="AI226" s="1"/>
      <c r="AJ226" s="1"/>
      <c r="AK226" s="1"/>
    </row>
    <row r="227" spans="1:37" ht="12.75" customHeight="1">
      <c r="A227" s="1"/>
      <c r="B227" s="1"/>
      <c r="C227" s="1"/>
      <c r="D227" s="1"/>
      <c r="E227" s="1"/>
      <c r="F227" s="2"/>
      <c r="G227" s="2"/>
      <c r="H227" s="2"/>
      <c r="I227" s="2"/>
      <c r="J227" s="2"/>
      <c r="K227" s="2"/>
      <c r="L227" s="2"/>
      <c r="M227" s="2"/>
      <c r="N227" s="3"/>
      <c r="O227" s="3"/>
      <c r="P227" s="3"/>
      <c r="Q227" s="1"/>
      <c r="R227" s="1"/>
      <c r="S227" s="1"/>
      <c r="T227" s="1"/>
      <c r="U227" s="1"/>
      <c r="V227" s="1"/>
      <c r="W227" s="1"/>
      <c r="X227" s="1"/>
      <c r="Y227" s="1"/>
      <c r="Z227" s="1"/>
      <c r="AA227" s="1"/>
      <c r="AB227" s="1"/>
      <c r="AC227" s="1"/>
      <c r="AD227" s="1"/>
      <c r="AE227" s="1"/>
      <c r="AF227" s="1"/>
      <c r="AG227" s="1"/>
      <c r="AH227" s="1"/>
      <c r="AI227" s="1"/>
      <c r="AJ227" s="1"/>
      <c r="AK227" s="1"/>
    </row>
    <row r="228" spans="1:37" ht="12.75" customHeight="1">
      <c r="A228" s="1"/>
      <c r="B228" s="1"/>
      <c r="C228" s="1"/>
      <c r="D228" s="1"/>
      <c r="E228" s="1"/>
      <c r="F228" s="2"/>
      <c r="G228" s="2"/>
      <c r="H228" s="2"/>
      <c r="I228" s="2"/>
      <c r="J228" s="2"/>
      <c r="K228" s="2"/>
      <c r="L228" s="2"/>
      <c r="M228" s="2"/>
      <c r="N228" s="3"/>
      <c r="O228" s="3"/>
      <c r="P228" s="3"/>
      <c r="Q228" s="1"/>
      <c r="R228" s="1"/>
      <c r="S228" s="1"/>
      <c r="T228" s="1"/>
      <c r="U228" s="1"/>
      <c r="V228" s="1"/>
      <c r="W228" s="1"/>
      <c r="X228" s="1"/>
      <c r="Y228" s="1"/>
      <c r="Z228" s="1"/>
      <c r="AA228" s="1"/>
      <c r="AB228" s="1"/>
      <c r="AC228" s="1"/>
      <c r="AD228" s="1"/>
      <c r="AE228" s="1"/>
      <c r="AF228" s="1"/>
      <c r="AG228" s="1"/>
      <c r="AH228" s="1"/>
      <c r="AI228" s="1"/>
      <c r="AJ228" s="1"/>
      <c r="AK228" s="1"/>
    </row>
    <row r="229" spans="1:37" ht="12.75" customHeight="1">
      <c r="A229" s="1"/>
      <c r="B229" s="1"/>
      <c r="C229" s="1"/>
      <c r="D229" s="1"/>
      <c r="E229" s="1"/>
      <c r="F229" s="2"/>
      <c r="G229" s="2"/>
      <c r="H229" s="2"/>
      <c r="I229" s="2"/>
      <c r="J229" s="2"/>
      <c r="K229" s="2"/>
      <c r="L229" s="2"/>
      <c r="M229" s="2"/>
      <c r="N229" s="3"/>
      <c r="O229" s="3"/>
      <c r="P229" s="3"/>
      <c r="Q229" s="1"/>
      <c r="R229" s="1"/>
      <c r="S229" s="1"/>
      <c r="T229" s="1"/>
      <c r="U229" s="1"/>
      <c r="V229" s="1"/>
      <c r="W229" s="1"/>
      <c r="X229" s="1"/>
      <c r="Y229" s="1"/>
      <c r="Z229" s="1"/>
      <c r="AA229" s="1"/>
      <c r="AB229" s="1"/>
      <c r="AC229" s="1"/>
      <c r="AD229" s="1"/>
      <c r="AE229" s="1"/>
      <c r="AF229" s="1"/>
      <c r="AG229" s="1"/>
      <c r="AH229" s="1"/>
      <c r="AI229" s="1"/>
      <c r="AJ229" s="1"/>
      <c r="AK229" s="1"/>
    </row>
    <row r="230" spans="1:37" ht="12.75" customHeight="1">
      <c r="A230" s="1"/>
      <c r="B230" s="1"/>
      <c r="C230" s="1"/>
      <c r="D230" s="1"/>
      <c r="E230" s="1"/>
      <c r="F230" s="2"/>
      <c r="G230" s="2"/>
      <c r="H230" s="2"/>
      <c r="I230" s="2"/>
      <c r="J230" s="2"/>
      <c r="K230" s="2"/>
      <c r="L230" s="2"/>
      <c r="M230" s="2"/>
      <c r="N230" s="3"/>
      <c r="O230" s="3"/>
      <c r="P230" s="3"/>
      <c r="Q230" s="1"/>
      <c r="R230" s="1"/>
      <c r="S230" s="1"/>
      <c r="T230" s="1"/>
      <c r="U230" s="1"/>
      <c r="V230" s="1"/>
      <c r="W230" s="1"/>
      <c r="X230" s="1"/>
      <c r="Y230" s="1"/>
      <c r="Z230" s="1"/>
      <c r="AA230" s="1"/>
      <c r="AB230" s="1"/>
      <c r="AC230" s="1"/>
      <c r="AD230" s="1"/>
      <c r="AE230" s="1"/>
      <c r="AF230" s="1"/>
      <c r="AG230" s="1"/>
      <c r="AH230" s="1"/>
      <c r="AI230" s="1"/>
      <c r="AJ230" s="1"/>
      <c r="AK230" s="1"/>
    </row>
    <row r="231" spans="1:37" ht="12.75" customHeight="1">
      <c r="A231" s="1"/>
      <c r="B231" s="1"/>
      <c r="C231" s="1"/>
      <c r="D231" s="1"/>
      <c r="E231" s="1"/>
      <c r="F231" s="2"/>
      <c r="G231" s="2"/>
      <c r="H231" s="2"/>
      <c r="I231" s="2"/>
      <c r="J231" s="2"/>
      <c r="K231" s="2"/>
      <c r="L231" s="2"/>
      <c r="M231" s="2"/>
      <c r="N231" s="3"/>
      <c r="O231" s="3"/>
      <c r="P231" s="3"/>
      <c r="Q231" s="1"/>
      <c r="R231" s="1"/>
      <c r="S231" s="1"/>
      <c r="T231" s="1"/>
      <c r="U231" s="1"/>
      <c r="V231" s="1"/>
      <c r="W231" s="1"/>
      <c r="X231" s="1"/>
      <c r="Y231" s="1"/>
      <c r="Z231" s="1"/>
      <c r="AA231" s="1"/>
      <c r="AB231" s="1"/>
      <c r="AC231" s="1"/>
      <c r="AD231" s="1"/>
      <c r="AE231" s="1"/>
      <c r="AF231" s="1"/>
      <c r="AG231" s="1"/>
      <c r="AH231" s="1"/>
      <c r="AI231" s="1"/>
      <c r="AJ231" s="1"/>
      <c r="AK231" s="1"/>
    </row>
    <row r="232" spans="1:37" ht="12.75" customHeight="1">
      <c r="A232" s="1"/>
      <c r="B232" s="1"/>
      <c r="C232" s="1"/>
      <c r="D232" s="1"/>
      <c r="E232" s="1"/>
      <c r="F232" s="2"/>
      <c r="G232" s="2"/>
      <c r="H232" s="2"/>
      <c r="I232" s="2"/>
      <c r="J232" s="2"/>
      <c r="K232" s="2"/>
      <c r="L232" s="2"/>
      <c r="M232" s="2"/>
      <c r="N232" s="3"/>
      <c r="O232" s="3"/>
      <c r="P232" s="3"/>
      <c r="Q232" s="1"/>
      <c r="R232" s="1"/>
      <c r="S232" s="1"/>
      <c r="T232" s="1"/>
      <c r="U232" s="1"/>
      <c r="V232" s="1"/>
      <c r="W232" s="1"/>
      <c r="X232" s="1"/>
      <c r="Y232" s="1"/>
      <c r="Z232" s="1"/>
      <c r="AA232" s="1"/>
      <c r="AB232" s="1"/>
      <c r="AC232" s="1"/>
      <c r="AD232" s="1"/>
      <c r="AE232" s="1"/>
      <c r="AF232" s="1"/>
      <c r="AG232" s="1"/>
      <c r="AH232" s="1"/>
      <c r="AI232" s="1"/>
      <c r="AJ232" s="1"/>
      <c r="AK232" s="1"/>
    </row>
    <row r="233" spans="1:37" ht="12.75" customHeight="1">
      <c r="A233" s="1"/>
      <c r="B233" s="1"/>
      <c r="C233" s="1"/>
      <c r="D233" s="1"/>
      <c r="E233" s="1"/>
      <c r="F233" s="2"/>
      <c r="G233" s="2"/>
      <c r="H233" s="2"/>
      <c r="I233" s="2"/>
      <c r="J233" s="2"/>
      <c r="K233" s="2"/>
      <c r="L233" s="2"/>
      <c r="M233" s="2"/>
      <c r="N233" s="3"/>
      <c r="O233" s="3"/>
      <c r="P233" s="3"/>
      <c r="Q233" s="1"/>
      <c r="R233" s="1"/>
      <c r="S233" s="1"/>
      <c r="T233" s="1"/>
      <c r="U233" s="1"/>
      <c r="V233" s="1"/>
      <c r="W233" s="1"/>
      <c r="X233" s="1"/>
      <c r="Y233" s="1"/>
      <c r="Z233" s="1"/>
      <c r="AA233" s="1"/>
      <c r="AB233" s="1"/>
      <c r="AC233" s="1"/>
      <c r="AD233" s="1"/>
      <c r="AE233" s="1"/>
      <c r="AF233" s="1"/>
      <c r="AG233" s="1"/>
      <c r="AH233" s="1"/>
      <c r="AI233" s="1"/>
      <c r="AJ233" s="1"/>
      <c r="AK233" s="1"/>
    </row>
    <row r="234" spans="1:37" ht="12.75" customHeight="1">
      <c r="A234" s="1"/>
      <c r="B234" s="1"/>
      <c r="C234" s="1"/>
      <c r="D234" s="1"/>
      <c r="E234" s="1"/>
      <c r="F234" s="2"/>
      <c r="G234" s="2"/>
      <c r="H234" s="2"/>
      <c r="I234" s="2"/>
      <c r="J234" s="2"/>
      <c r="K234" s="2"/>
      <c r="L234" s="2"/>
      <c r="M234" s="2"/>
      <c r="N234" s="3"/>
      <c r="O234" s="3"/>
      <c r="P234" s="3"/>
      <c r="Q234" s="1"/>
      <c r="R234" s="1"/>
      <c r="S234" s="1"/>
      <c r="T234" s="1"/>
      <c r="U234" s="1"/>
      <c r="V234" s="1"/>
      <c r="W234" s="1"/>
      <c r="X234" s="1"/>
      <c r="Y234" s="1"/>
      <c r="Z234" s="1"/>
      <c r="AA234" s="1"/>
      <c r="AB234" s="1"/>
      <c r="AC234" s="1"/>
      <c r="AD234" s="1"/>
      <c r="AE234" s="1"/>
      <c r="AF234" s="1"/>
      <c r="AG234" s="1"/>
      <c r="AH234" s="1"/>
      <c r="AI234" s="1"/>
      <c r="AJ234" s="1"/>
      <c r="AK234" s="1"/>
    </row>
    <row r="235" spans="1:37" ht="12.75" customHeight="1">
      <c r="A235" s="1"/>
      <c r="B235" s="1"/>
      <c r="C235" s="1"/>
      <c r="D235" s="1"/>
      <c r="E235" s="1"/>
      <c r="F235" s="2"/>
      <c r="G235" s="2"/>
      <c r="H235" s="2"/>
      <c r="I235" s="2"/>
      <c r="J235" s="2"/>
      <c r="K235" s="2"/>
      <c r="L235" s="2"/>
      <c r="M235" s="2"/>
      <c r="N235" s="3"/>
      <c r="O235" s="3"/>
      <c r="P235" s="3"/>
      <c r="Q235" s="1"/>
      <c r="R235" s="1"/>
      <c r="S235" s="1"/>
      <c r="T235" s="1"/>
      <c r="U235" s="1"/>
      <c r="V235" s="1"/>
      <c r="W235" s="1"/>
      <c r="X235" s="1"/>
      <c r="Y235" s="1"/>
      <c r="Z235" s="1"/>
      <c r="AA235" s="1"/>
      <c r="AB235" s="1"/>
      <c r="AC235" s="1"/>
      <c r="AD235" s="1"/>
      <c r="AE235" s="1"/>
      <c r="AF235" s="1"/>
      <c r="AG235" s="1"/>
      <c r="AH235" s="1"/>
      <c r="AI235" s="1"/>
      <c r="AJ235" s="1"/>
      <c r="AK235" s="1"/>
    </row>
    <row r="236" spans="1:37" ht="12.75" customHeight="1">
      <c r="A236" s="1"/>
      <c r="B236" s="1"/>
      <c r="C236" s="1"/>
      <c r="D236" s="1"/>
      <c r="E236" s="1"/>
      <c r="F236" s="2"/>
      <c r="G236" s="2"/>
      <c r="H236" s="2"/>
      <c r="I236" s="2"/>
      <c r="J236" s="2"/>
      <c r="K236" s="2"/>
      <c r="L236" s="2"/>
      <c r="M236" s="2"/>
      <c r="N236" s="3"/>
      <c r="O236" s="3"/>
      <c r="P236" s="3"/>
      <c r="Q236" s="1"/>
      <c r="R236" s="1"/>
      <c r="S236" s="1"/>
      <c r="T236" s="1"/>
      <c r="U236" s="1"/>
      <c r="V236" s="1"/>
      <c r="W236" s="1"/>
      <c r="X236" s="1"/>
      <c r="Y236" s="1"/>
      <c r="Z236" s="1"/>
      <c r="AA236" s="1"/>
      <c r="AB236" s="1"/>
      <c r="AC236" s="1"/>
      <c r="AD236" s="1"/>
      <c r="AE236" s="1"/>
      <c r="AF236" s="1"/>
      <c r="AG236" s="1"/>
      <c r="AH236" s="1"/>
      <c r="AI236" s="1"/>
      <c r="AJ236" s="1"/>
      <c r="AK236" s="1"/>
    </row>
    <row r="237" spans="1:37" ht="12.75" customHeight="1">
      <c r="A237" s="1"/>
      <c r="B237" s="1"/>
      <c r="C237" s="1"/>
      <c r="D237" s="1"/>
      <c r="E237" s="1"/>
      <c r="F237" s="2"/>
      <c r="G237" s="2"/>
      <c r="H237" s="2"/>
      <c r="I237" s="2"/>
      <c r="J237" s="2"/>
      <c r="K237" s="2"/>
      <c r="L237" s="2"/>
      <c r="M237" s="2"/>
      <c r="N237" s="3"/>
      <c r="O237" s="3"/>
      <c r="P237" s="3"/>
      <c r="Q237" s="1"/>
      <c r="R237" s="1"/>
      <c r="S237" s="1"/>
      <c r="T237" s="1"/>
      <c r="U237" s="1"/>
      <c r="V237" s="1"/>
      <c r="W237" s="1"/>
      <c r="X237" s="1"/>
      <c r="Y237" s="1"/>
      <c r="Z237" s="1"/>
      <c r="AA237" s="1"/>
      <c r="AB237" s="1"/>
      <c r="AC237" s="1"/>
      <c r="AD237" s="1"/>
      <c r="AE237" s="1"/>
      <c r="AF237" s="1"/>
      <c r="AG237" s="1"/>
      <c r="AH237" s="1"/>
      <c r="AI237" s="1"/>
      <c r="AJ237" s="1"/>
      <c r="AK237" s="1"/>
    </row>
    <row r="238" spans="1:37" ht="12.75" customHeight="1">
      <c r="A238" s="1"/>
      <c r="B238" s="1"/>
      <c r="C238" s="1"/>
      <c r="D238" s="1"/>
      <c r="E238" s="1"/>
      <c r="F238" s="2"/>
      <c r="G238" s="2"/>
      <c r="H238" s="2"/>
      <c r="I238" s="2"/>
      <c r="J238" s="2"/>
      <c r="K238" s="2"/>
      <c r="L238" s="2"/>
      <c r="M238" s="2"/>
      <c r="N238" s="3"/>
      <c r="O238" s="3"/>
      <c r="P238" s="3"/>
      <c r="Q238" s="1"/>
      <c r="R238" s="1"/>
      <c r="S238" s="1"/>
      <c r="T238" s="1"/>
      <c r="U238" s="1"/>
      <c r="V238" s="1"/>
      <c r="W238" s="1"/>
      <c r="X238" s="1"/>
      <c r="Y238" s="1"/>
      <c r="Z238" s="1"/>
      <c r="AA238" s="1"/>
      <c r="AB238" s="1"/>
      <c r="AC238" s="1"/>
      <c r="AD238" s="1"/>
      <c r="AE238" s="1"/>
      <c r="AF238" s="1"/>
      <c r="AG238" s="1"/>
      <c r="AH238" s="1"/>
      <c r="AI238" s="1"/>
      <c r="AJ238" s="1"/>
      <c r="AK238" s="1"/>
    </row>
    <row r="239" spans="1:37" ht="12.75" customHeight="1">
      <c r="A239" s="1"/>
      <c r="B239" s="1"/>
      <c r="C239" s="1"/>
      <c r="D239" s="1"/>
      <c r="E239" s="1"/>
      <c r="F239" s="2"/>
      <c r="G239" s="2"/>
      <c r="H239" s="2"/>
      <c r="I239" s="2"/>
      <c r="J239" s="2"/>
      <c r="K239" s="2"/>
      <c r="L239" s="2"/>
      <c r="M239" s="2"/>
      <c r="N239" s="3"/>
      <c r="O239" s="3"/>
      <c r="P239" s="3"/>
      <c r="Q239" s="1"/>
      <c r="R239" s="1"/>
      <c r="S239" s="1"/>
      <c r="T239" s="1"/>
      <c r="U239" s="1"/>
      <c r="V239" s="1"/>
      <c r="W239" s="1"/>
      <c r="X239" s="1"/>
      <c r="Y239" s="1"/>
      <c r="Z239" s="1"/>
      <c r="AA239" s="1"/>
      <c r="AB239" s="1"/>
      <c r="AC239" s="1"/>
      <c r="AD239" s="1"/>
      <c r="AE239" s="1"/>
      <c r="AF239" s="1"/>
      <c r="AG239" s="1"/>
      <c r="AH239" s="1"/>
      <c r="AI239" s="1"/>
      <c r="AJ239" s="1"/>
      <c r="AK239" s="1"/>
    </row>
    <row r="240" spans="1:37" ht="12.75" customHeight="1">
      <c r="A240" s="1"/>
      <c r="B240" s="1"/>
      <c r="C240" s="1"/>
      <c r="D240" s="1"/>
      <c r="E240" s="1"/>
      <c r="F240" s="2"/>
      <c r="G240" s="2"/>
      <c r="H240" s="2"/>
      <c r="I240" s="2"/>
      <c r="J240" s="2"/>
      <c r="K240" s="2"/>
      <c r="L240" s="2"/>
      <c r="M240" s="2"/>
      <c r="N240" s="3"/>
      <c r="O240" s="3"/>
      <c r="P240" s="3"/>
      <c r="Q240" s="1"/>
      <c r="R240" s="1"/>
      <c r="S240" s="1"/>
      <c r="T240" s="1"/>
      <c r="U240" s="1"/>
      <c r="V240" s="1"/>
      <c r="W240" s="1"/>
      <c r="X240" s="1"/>
      <c r="Y240" s="1"/>
      <c r="Z240" s="1"/>
      <c r="AA240" s="1"/>
      <c r="AB240" s="1"/>
      <c r="AC240" s="1"/>
      <c r="AD240" s="1"/>
      <c r="AE240" s="1"/>
      <c r="AF240" s="1"/>
      <c r="AG240" s="1"/>
      <c r="AH240" s="1"/>
      <c r="AI240" s="1"/>
      <c r="AJ240" s="1"/>
      <c r="AK240" s="1"/>
    </row>
    <row r="241" spans="1:37" ht="12.75" customHeight="1">
      <c r="A241" s="1"/>
      <c r="B241" s="1"/>
      <c r="C241" s="1"/>
      <c r="D241" s="1"/>
      <c r="E241" s="1"/>
      <c r="F241" s="2"/>
      <c r="G241" s="2"/>
      <c r="H241" s="2"/>
      <c r="I241" s="2"/>
      <c r="J241" s="2"/>
      <c r="K241" s="2"/>
      <c r="L241" s="2"/>
      <c r="M241" s="2"/>
      <c r="N241" s="3"/>
      <c r="O241" s="3"/>
      <c r="P241" s="3"/>
      <c r="Q241" s="1"/>
      <c r="R241" s="1"/>
      <c r="S241" s="1"/>
      <c r="T241" s="1"/>
      <c r="U241" s="1"/>
      <c r="V241" s="1"/>
      <c r="W241" s="1"/>
      <c r="X241" s="1"/>
      <c r="Y241" s="1"/>
      <c r="Z241" s="1"/>
      <c r="AA241" s="1"/>
      <c r="AB241" s="1"/>
      <c r="AC241" s="1"/>
      <c r="AD241" s="1"/>
      <c r="AE241" s="1"/>
      <c r="AF241" s="1"/>
      <c r="AG241" s="1"/>
      <c r="AH241" s="1"/>
      <c r="AI241" s="1"/>
      <c r="AJ241" s="1"/>
      <c r="AK241" s="1"/>
    </row>
    <row r="242" spans="1:37" ht="12.75" customHeight="1">
      <c r="A242" s="1"/>
      <c r="B242" s="1"/>
      <c r="C242" s="1"/>
      <c r="D242" s="1"/>
      <c r="E242" s="1"/>
      <c r="F242" s="2"/>
      <c r="G242" s="2"/>
      <c r="H242" s="2"/>
      <c r="I242" s="2"/>
      <c r="J242" s="2"/>
      <c r="K242" s="2"/>
      <c r="L242" s="2"/>
      <c r="M242" s="2"/>
      <c r="N242" s="3"/>
      <c r="O242" s="3"/>
      <c r="P242" s="3"/>
      <c r="Q242" s="1"/>
      <c r="R242" s="1"/>
      <c r="S242" s="1"/>
      <c r="T242" s="1"/>
      <c r="U242" s="1"/>
      <c r="V242" s="1"/>
      <c r="W242" s="1"/>
      <c r="X242" s="1"/>
      <c r="Y242" s="1"/>
      <c r="Z242" s="1"/>
      <c r="AA242" s="1"/>
      <c r="AB242" s="1"/>
      <c r="AC242" s="1"/>
      <c r="AD242" s="1"/>
      <c r="AE242" s="1"/>
      <c r="AF242" s="1"/>
      <c r="AG242" s="1"/>
      <c r="AH242" s="1"/>
      <c r="AI242" s="1"/>
      <c r="AJ242" s="1"/>
      <c r="AK242" s="1"/>
    </row>
    <row r="243" spans="1:37" ht="12.75" customHeight="1">
      <c r="A243" s="1"/>
      <c r="B243" s="1"/>
      <c r="C243" s="1"/>
      <c r="D243" s="1"/>
      <c r="E243" s="1"/>
      <c r="F243" s="2"/>
      <c r="G243" s="2"/>
      <c r="H243" s="2"/>
      <c r="I243" s="2"/>
      <c r="J243" s="2"/>
      <c r="K243" s="2"/>
      <c r="L243" s="2"/>
      <c r="M243" s="2"/>
      <c r="N243" s="3"/>
      <c r="O243" s="3"/>
      <c r="P243" s="3"/>
      <c r="Q243" s="1"/>
      <c r="R243" s="1"/>
      <c r="S243" s="1"/>
      <c r="T243" s="1"/>
      <c r="U243" s="1"/>
      <c r="V243" s="1"/>
      <c r="W243" s="1"/>
      <c r="X243" s="1"/>
      <c r="Y243" s="1"/>
      <c r="Z243" s="1"/>
      <c r="AA243" s="1"/>
      <c r="AB243" s="1"/>
      <c r="AC243" s="1"/>
      <c r="AD243" s="1"/>
      <c r="AE243" s="1"/>
      <c r="AF243" s="1"/>
      <c r="AG243" s="1"/>
      <c r="AH243" s="1"/>
      <c r="AI243" s="1"/>
      <c r="AJ243" s="1"/>
      <c r="AK243" s="1"/>
    </row>
    <row r="244" spans="1:37" ht="12.75" customHeight="1">
      <c r="A244" s="1"/>
      <c r="B244" s="1"/>
      <c r="C244" s="1"/>
      <c r="D244" s="1"/>
      <c r="E244" s="1"/>
      <c r="F244" s="2"/>
      <c r="G244" s="2"/>
      <c r="H244" s="2"/>
      <c r="I244" s="2"/>
      <c r="J244" s="2"/>
      <c r="K244" s="2"/>
      <c r="L244" s="2"/>
      <c r="M244" s="2"/>
      <c r="N244" s="3"/>
      <c r="O244" s="3"/>
      <c r="P244" s="3"/>
      <c r="Q244" s="1"/>
      <c r="R244" s="1"/>
      <c r="S244" s="1"/>
      <c r="T244" s="1"/>
      <c r="U244" s="1"/>
      <c r="V244" s="1"/>
      <c r="W244" s="1"/>
      <c r="X244" s="1"/>
      <c r="Y244" s="1"/>
      <c r="Z244" s="1"/>
      <c r="AA244" s="1"/>
      <c r="AB244" s="1"/>
      <c r="AC244" s="1"/>
      <c r="AD244" s="1"/>
      <c r="AE244" s="1"/>
      <c r="AF244" s="1"/>
      <c r="AG244" s="1"/>
      <c r="AH244" s="1"/>
      <c r="AI244" s="1"/>
      <c r="AJ244" s="1"/>
      <c r="AK244" s="1"/>
    </row>
    <row r="245" spans="1:37" ht="12.75" customHeight="1">
      <c r="A245" s="1"/>
      <c r="B245" s="1"/>
      <c r="C245" s="1"/>
      <c r="D245" s="1"/>
      <c r="E245" s="1"/>
      <c r="F245" s="2"/>
      <c r="G245" s="2"/>
      <c r="H245" s="2"/>
      <c r="I245" s="2"/>
      <c r="J245" s="2"/>
      <c r="K245" s="2"/>
      <c r="L245" s="2"/>
      <c r="M245" s="2"/>
      <c r="N245" s="3"/>
      <c r="O245" s="3"/>
      <c r="P245" s="3"/>
      <c r="Q245" s="1"/>
      <c r="R245" s="1"/>
      <c r="S245" s="1"/>
      <c r="T245" s="1"/>
      <c r="U245" s="1"/>
      <c r="V245" s="1"/>
      <c r="W245" s="1"/>
      <c r="X245" s="1"/>
      <c r="Y245" s="1"/>
      <c r="Z245" s="1"/>
      <c r="AA245" s="1"/>
      <c r="AB245" s="1"/>
      <c r="AC245" s="1"/>
      <c r="AD245" s="1"/>
      <c r="AE245" s="1"/>
      <c r="AF245" s="1"/>
      <c r="AG245" s="1"/>
      <c r="AH245" s="1"/>
      <c r="AI245" s="1"/>
      <c r="AJ245" s="1"/>
      <c r="AK245" s="1"/>
    </row>
    <row r="246" spans="1:37" ht="12.75" customHeight="1">
      <c r="A246" s="1"/>
      <c r="B246" s="1"/>
      <c r="C246" s="1"/>
      <c r="D246" s="1"/>
      <c r="E246" s="1"/>
      <c r="F246" s="2"/>
      <c r="G246" s="2"/>
      <c r="H246" s="2"/>
      <c r="I246" s="2"/>
      <c r="J246" s="2"/>
      <c r="K246" s="2"/>
      <c r="L246" s="2"/>
      <c r="M246" s="2"/>
      <c r="N246" s="3"/>
      <c r="O246" s="3"/>
      <c r="P246" s="3"/>
      <c r="Q246" s="1"/>
      <c r="R246" s="1"/>
      <c r="S246" s="1"/>
      <c r="T246" s="1"/>
      <c r="U246" s="1"/>
      <c r="V246" s="1"/>
      <c r="W246" s="1"/>
      <c r="X246" s="1"/>
      <c r="Y246" s="1"/>
      <c r="Z246" s="1"/>
      <c r="AA246" s="1"/>
      <c r="AB246" s="1"/>
      <c r="AC246" s="1"/>
      <c r="AD246" s="1"/>
      <c r="AE246" s="1"/>
      <c r="AF246" s="1"/>
      <c r="AG246" s="1"/>
      <c r="AH246" s="1"/>
      <c r="AI246" s="1"/>
      <c r="AJ246" s="1"/>
      <c r="AK246" s="1"/>
    </row>
    <row r="247" spans="1:37" ht="12.75" customHeight="1">
      <c r="A247" s="1"/>
      <c r="B247" s="1"/>
      <c r="C247" s="1"/>
      <c r="D247" s="1"/>
      <c r="E247" s="1"/>
      <c r="F247" s="2"/>
      <c r="G247" s="2"/>
      <c r="H247" s="2"/>
      <c r="I247" s="2"/>
      <c r="J247" s="2"/>
      <c r="K247" s="2"/>
      <c r="L247" s="2"/>
      <c r="M247" s="2"/>
      <c r="N247" s="3"/>
      <c r="O247" s="3"/>
      <c r="P247" s="3"/>
      <c r="Q247" s="1"/>
      <c r="R247" s="1"/>
      <c r="S247" s="1"/>
      <c r="T247" s="1"/>
      <c r="U247" s="1"/>
      <c r="V247" s="1"/>
      <c r="W247" s="1"/>
      <c r="X247" s="1"/>
      <c r="Y247" s="1"/>
      <c r="Z247" s="1"/>
      <c r="AA247" s="1"/>
      <c r="AB247" s="1"/>
      <c r="AC247" s="1"/>
      <c r="AD247" s="1"/>
      <c r="AE247" s="1"/>
      <c r="AF247" s="1"/>
      <c r="AG247" s="1"/>
      <c r="AH247" s="1"/>
      <c r="AI247" s="1"/>
      <c r="AJ247" s="1"/>
      <c r="AK247" s="1"/>
    </row>
    <row r="248" spans="1:37" ht="12.75" customHeight="1">
      <c r="A248" s="1"/>
      <c r="B248" s="1"/>
      <c r="C248" s="1"/>
      <c r="D248" s="1"/>
      <c r="E248" s="1"/>
      <c r="F248" s="2"/>
      <c r="G248" s="2"/>
      <c r="H248" s="2"/>
      <c r="I248" s="2"/>
      <c r="J248" s="2"/>
      <c r="K248" s="2"/>
      <c r="L248" s="2"/>
      <c r="M248" s="2"/>
      <c r="N248" s="3"/>
      <c r="O248" s="3"/>
      <c r="P248" s="3"/>
      <c r="Q248" s="1"/>
      <c r="R248" s="1"/>
      <c r="S248" s="1"/>
      <c r="T248" s="1"/>
      <c r="U248" s="1"/>
      <c r="V248" s="1"/>
      <c r="W248" s="1"/>
      <c r="X248" s="1"/>
      <c r="Y248" s="1"/>
      <c r="Z248" s="1"/>
      <c r="AA248" s="1"/>
      <c r="AB248" s="1"/>
      <c r="AC248" s="1"/>
      <c r="AD248" s="1"/>
      <c r="AE248" s="1"/>
      <c r="AF248" s="1"/>
      <c r="AG248" s="1"/>
      <c r="AH248" s="1"/>
      <c r="AI248" s="1"/>
      <c r="AJ248" s="1"/>
      <c r="AK248" s="1"/>
    </row>
    <row r="249" spans="1:37" ht="12.75" customHeight="1">
      <c r="A249" s="1"/>
      <c r="B249" s="1"/>
      <c r="C249" s="1"/>
      <c r="D249" s="1"/>
      <c r="E249" s="1"/>
      <c r="F249" s="2"/>
      <c r="G249" s="2"/>
      <c r="H249" s="2"/>
      <c r="I249" s="2"/>
      <c r="J249" s="2"/>
      <c r="K249" s="2"/>
      <c r="L249" s="2"/>
      <c r="M249" s="2"/>
      <c r="N249" s="3"/>
      <c r="O249" s="3"/>
      <c r="P249" s="3"/>
      <c r="Q249" s="1"/>
      <c r="R249" s="1"/>
      <c r="S249" s="1"/>
      <c r="T249" s="1"/>
      <c r="U249" s="1"/>
      <c r="V249" s="1"/>
      <c r="W249" s="1"/>
      <c r="X249" s="1"/>
      <c r="Y249" s="1"/>
      <c r="Z249" s="1"/>
      <c r="AA249" s="1"/>
      <c r="AB249" s="1"/>
      <c r="AC249" s="1"/>
      <c r="AD249" s="1"/>
      <c r="AE249" s="1"/>
      <c r="AF249" s="1"/>
      <c r="AG249" s="1"/>
      <c r="AH249" s="1"/>
      <c r="AI249" s="1"/>
      <c r="AJ249" s="1"/>
      <c r="AK249" s="1"/>
    </row>
    <row r="250" spans="1:37" ht="12.75" customHeight="1">
      <c r="A250" s="1"/>
      <c r="B250" s="1"/>
      <c r="C250" s="1"/>
      <c r="D250" s="1"/>
      <c r="E250" s="1"/>
      <c r="F250" s="2"/>
      <c r="G250" s="2"/>
      <c r="H250" s="2"/>
      <c r="I250" s="2"/>
      <c r="J250" s="2"/>
      <c r="K250" s="2"/>
      <c r="L250" s="2"/>
      <c r="M250" s="2"/>
      <c r="N250" s="3"/>
      <c r="O250" s="3"/>
      <c r="P250" s="3"/>
      <c r="Q250" s="1"/>
      <c r="R250" s="1"/>
      <c r="S250" s="1"/>
      <c r="T250" s="1"/>
      <c r="U250" s="1"/>
      <c r="V250" s="1"/>
      <c r="W250" s="1"/>
      <c r="X250" s="1"/>
      <c r="Y250" s="1"/>
      <c r="Z250" s="1"/>
      <c r="AA250" s="1"/>
      <c r="AB250" s="1"/>
      <c r="AC250" s="1"/>
      <c r="AD250" s="1"/>
      <c r="AE250" s="1"/>
      <c r="AF250" s="1"/>
      <c r="AG250" s="1"/>
      <c r="AH250" s="1"/>
      <c r="AI250" s="1"/>
      <c r="AJ250" s="1"/>
      <c r="AK250" s="1"/>
    </row>
    <row r="251" spans="1:37" ht="12.75" customHeight="1">
      <c r="A251" s="1"/>
      <c r="B251" s="1"/>
      <c r="C251" s="1"/>
      <c r="D251" s="1"/>
      <c r="E251" s="1"/>
      <c r="F251" s="2"/>
      <c r="G251" s="2"/>
      <c r="H251" s="2"/>
      <c r="I251" s="2"/>
      <c r="J251" s="2"/>
      <c r="K251" s="2"/>
      <c r="L251" s="2"/>
      <c r="M251" s="2"/>
      <c r="N251" s="3"/>
      <c r="O251" s="3"/>
      <c r="P251" s="3"/>
      <c r="Q251" s="1"/>
      <c r="R251" s="1"/>
      <c r="S251" s="1"/>
      <c r="T251" s="1"/>
      <c r="U251" s="1"/>
      <c r="V251" s="1"/>
      <c r="W251" s="1"/>
      <c r="X251" s="1"/>
      <c r="Y251" s="1"/>
      <c r="Z251" s="1"/>
      <c r="AA251" s="1"/>
      <c r="AB251" s="1"/>
      <c r="AC251" s="1"/>
      <c r="AD251" s="1"/>
      <c r="AE251" s="1"/>
      <c r="AF251" s="1"/>
      <c r="AG251" s="1"/>
      <c r="AH251" s="1"/>
      <c r="AI251" s="1"/>
      <c r="AJ251" s="1"/>
      <c r="AK251" s="1"/>
    </row>
    <row r="252" spans="1:37" ht="12.75" customHeight="1">
      <c r="A252" s="1"/>
      <c r="B252" s="1"/>
      <c r="C252" s="1"/>
      <c r="D252" s="1"/>
      <c r="E252" s="1"/>
      <c r="F252" s="2"/>
      <c r="G252" s="2"/>
      <c r="H252" s="2"/>
      <c r="I252" s="2"/>
      <c r="J252" s="2"/>
      <c r="K252" s="2"/>
      <c r="L252" s="2"/>
      <c r="M252" s="2"/>
      <c r="N252" s="3"/>
      <c r="O252" s="3"/>
      <c r="P252" s="3"/>
      <c r="Q252" s="1"/>
      <c r="R252" s="1"/>
      <c r="S252" s="1"/>
      <c r="T252" s="1"/>
      <c r="U252" s="1"/>
      <c r="V252" s="1"/>
      <c r="W252" s="1"/>
      <c r="X252" s="1"/>
      <c r="Y252" s="1"/>
      <c r="Z252" s="1"/>
      <c r="AA252" s="1"/>
      <c r="AB252" s="1"/>
      <c r="AC252" s="1"/>
      <c r="AD252" s="1"/>
      <c r="AE252" s="1"/>
      <c r="AF252" s="1"/>
      <c r="AG252" s="1"/>
      <c r="AH252" s="1"/>
      <c r="AI252" s="1"/>
      <c r="AJ252" s="1"/>
      <c r="AK252" s="1"/>
    </row>
    <row r="253" spans="1:37" ht="12.75" customHeight="1">
      <c r="A253" s="1"/>
      <c r="B253" s="1"/>
      <c r="C253" s="1"/>
      <c r="D253" s="1"/>
      <c r="E253" s="1"/>
      <c r="F253" s="2"/>
      <c r="G253" s="2"/>
      <c r="H253" s="2"/>
      <c r="I253" s="2"/>
      <c r="J253" s="2"/>
      <c r="K253" s="2"/>
      <c r="L253" s="2"/>
      <c r="M253" s="2"/>
      <c r="N253" s="3"/>
      <c r="O253" s="3"/>
      <c r="P253" s="3"/>
      <c r="Q253" s="1"/>
      <c r="R253" s="1"/>
      <c r="S253" s="1"/>
      <c r="T253" s="1"/>
      <c r="U253" s="1"/>
      <c r="V253" s="1"/>
      <c r="W253" s="1"/>
      <c r="X253" s="1"/>
      <c r="Y253" s="1"/>
      <c r="Z253" s="1"/>
      <c r="AA253" s="1"/>
      <c r="AB253" s="1"/>
      <c r="AC253" s="1"/>
      <c r="AD253" s="1"/>
      <c r="AE253" s="1"/>
      <c r="AF253" s="1"/>
      <c r="AG253" s="1"/>
      <c r="AH253" s="1"/>
      <c r="AI253" s="1"/>
      <c r="AJ253" s="1"/>
      <c r="AK253" s="1"/>
    </row>
    <row r="254" spans="1:37" ht="12.75" customHeight="1">
      <c r="A254" s="1"/>
      <c r="B254" s="1"/>
      <c r="C254" s="1"/>
      <c r="D254" s="1"/>
      <c r="E254" s="1"/>
      <c r="F254" s="2"/>
      <c r="G254" s="2"/>
      <c r="H254" s="2"/>
      <c r="I254" s="2"/>
      <c r="J254" s="2"/>
      <c r="K254" s="2"/>
      <c r="L254" s="2"/>
      <c r="M254" s="2"/>
      <c r="N254" s="3"/>
      <c r="O254" s="3"/>
      <c r="P254" s="3"/>
      <c r="Q254" s="1"/>
      <c r="R254" s="1"/>
      <c r="S254" s="1"/>
      <c r="T254" s="1"/>
      <c r="U254" s="1"/>
      <c r="V254" s="1"/>
      <c r="W254" s="1"/>
      <c r="X254" s="1"/>
      <c r="Y254" s="1"/>
      <c r="Z254" s="1"/>
      <c r="AA254" s="1"/>
      <c r="AB254" s="1"/>
      <c r="AC254" s="1"/>
      <c r="AD254" s="1"/>
      <c r="AE254" s="1"/>
      <c r="AF254" s="1"/>
      <c r="AG254" s="1"/>
      <c r="AH254" s="1"/>
      <c r="AI254" s="1"/>
      <c r="AJ254" s="1"/>
      <c r="AK254" s="1"/>
    </row>
    <row r="255" spans="1:37" ht="12.75" customHeight="1">
      <c r="A255" s="1"/>
      <c r="B255" s="1"/>
      <c r="C255" s="1"/>
      <c r="D255" s="1"/>
      <c r="E255" s="1"/>
      <c r="F255" s="2"/>
      <c r="G255" s="2"/>
      <c r="H255" s="2"/>
      <c r="I255" s="2"/>
      <c r="J255" s="2"/>
      <c r="K255" s="2"/>
      <c r="L255" s="2"/>
      <c r="M255" s="2"/>
      <c r="N255" s="3"/>
      <c r="O255" s="3"/>
      <c r="P255" s="3"/>
      <c r="Q255" s="1"/>
      <c r="R255" s="1"/>
      <c r="S255" s="1"/>
      <c r="T255" s="1"/>
      <c r="U255" s="1"/>
      <c r="V255" s="1"/>
      <c r="W255" s="1"/>
      <c r="X255" s="1"/>
      <c r="Y255" s="1"/>
      <c r="Z255" s="1"/>
      <c r="AA255" s="1"/>
      <c r="AB255" s="1"/>
      <c r="AC255" s="1"/>
      <c r="AD255" s="1"/>
      <c r="AE255" s="1"/>
      <c r="AF255" s="1"/>
      <c r="AG255" s="1"/>
      <c r="AH255" s="1"/>
      <c r="AI255" s="1"/>
      <c r="AJ255" s="1"/>
      <c r="AK255" s="1"/>
    </row>
    <row r="256" spans="1:37" ht="12.75" customHeight="1">
      <c r="A256" s="1"/>
      <c r="B256" s="1"/>
      <c r="C256" s="1"/>
      <c r="D256" s="1"/>
      <c r="E256" s="1"/>
      <c r="F256" s="2"/>
      <c r="G256" s="2"/>
      <c r="H256" s="2"/>
      <c r="I256" s="2"/>
      <c r="J256" s="2"/>
      <c r="K256" s="2"/>
      <c r="L256" s="2"/>
      <c r="M256" s="2"/>
      <c r="N256" s="3"/>
      <c r="O256" s="3"/>
      <c r="P256" s="3"/>
      <c r="Q256" s="1"/>
      <c r="R256" s="1"/>
      <c r="S256" s="1"/>
      <c r="T256" s="1"/>
      <c r="U256" s="1"/>
      <c r="V256" s="1"/>
      <c r="W256" s="1"/>
      <c r="X256" s="1"/>
      <c r="Y256" s="1"/>
      <c r="Z256" s="1"/>
      <c r="AA256" s="1"/>
      <c r="AB256" s="1"/>
      <c r="AC256" s="1"/>
      <c r="AD256" s="1"/>
      <c r="AE256" s="1"/>
      <c r="AF256" s="1"/>
      <c r="AG256" s="1"/>
      <c r="AH256" s="1"/>
      <c r="AI256" s="1"/>
      <c r="AJ256" s="1"/>
      <c r="AK256" s="1"/>
    </row>
    <row r="257" spans="1:37" ht="12.75" customHeight="1">
      <c r="A257" s="1"/>
      <c r="B257" s="1"/>
      <c r="C257" s="1"/>
      <c r="D257" s="1"/>
      <c r="E257" s="1"/>
      <c r="F257" s="2"/>
      <c r="G257" s="2"/>
      <c r="H257" s="2"/>
      <c r="I257" s="2"/>
      <c r="J257" s="2"/>
      <c r="K257" s="2"/>
      <c r="L257" s="2"/>
      <c r="M257" s="2"/>
      <c r="N257" s="3"/>
      <c r="O257" s="3"/>
      <c r="P257" s="3"/>
      <c r="Q257" s="1"/>
      <c r="R257" s="1"/>
      <c r="S257" s="1"/>
      <c r="T257" s="1"/>
      <c r="U257" s="1"/>
      <c r="V257" s="1"/>
      <c r="W257" s="1"/>
      <c r="X257" s="1"/>
      <c r="Y257" s="1"/>
      <c r="Z257" s="1"/>
      <c r="AA257" s="1"/>
      <c r="AB257" s="1"/>
      <c r="AC257" s="1"/>
      <c r="AD257" s="1"/>
      <c r="AE257" s="1"/>
      <c r="AF257" s="1"/>
      <c r="AG257" s="1"/>
      <c r="AH257" s="1"/>
      <c r="AI257" s="1"/>
      <c r="AJ257" s="1"/>
      <c r="AK257" s="1"/>
    </row>
    <row r="258" spans="1:37" ht="12.75" customHeight="1">
      <c r="A258" s="1"/>
      <c r="B258" s="1"/>
      <c r="C258" s="1"/>
      <c r="D258" s="1"/>
      <c r="E258" s="1"/>
      <c r="F258" s="2"/>
      <c r="G258" s="2"/>
      <c r="H258" s="2"/>
      <c r="I258" s="2"/>
      <c r="J258" s="2"/>
      <c r="K258" s="2"/>
      <c r="L258" s="2"/>
      <c r="M258" s="2"/>
      <c r="N258" s="3"/>
      <c r="O258" s="3"/>
      <c r="P258" s="3"/>
      <c r="Q258" s="1"/>
      <c r="R258" s="1"/>
      <c r="S258" s="1"/>
      <c r="T258" s="1"/>
      <c r="U258" s="1"/>
      <c r="V258" s="1"/>
      <c r="W258" s="1"/>
      <c r="X258" s="1"/>
      <c r="Y258" s="1"/>
      <c r="Z258" s="1"/>
      <c r="AA258" s="1"/>
      <c r="AB258" s="1"/>
      <c r="AC258" s="1"/>
      <c r="AD258" s="1"/>
      <c r="AE258" s="1"/>
      <c r="AF258" s="1"/>
      <c r="AG258" s="1"/>
      <c r="AH258" s="1"/>
      <c r="AI258" s="1"/>
      <c r="AJ258" s="1"/>
      <c r="AK258" s="1"/>
    </row>
    <row r="259" spans="1:37" ht="12.75" customHeight="1">
      <c r="A259" s="1"/>
      <c r="B259" s="1"/>
      <c r="C259" s="1"/>
      <c r="D259" s="1"/>
      <c r="E259" s="1"/>
      <c r="F259" s="2"/>
      <c r="G259" s="2"/>
      <c r="H259" s="2"/>
      <c r="I259" s="2"/>
      <c r="J259" s="2"/>
      <c r="K259" s="2"/>
      <c r="L259" s="2"/>
      <c r="M259" s="2"/>
      <c r="N259" s="3"/>
      <c r="O259" s="3"/>
      <c r="P259" s="3"/>
      <c r="Q259" s="1"/>
      <c r="R259" s="1"/>
      <c r="S259" s="1"/>
      <c r="T259" s="1"/>
      <c r="U259" s="1"/>
      <c r="V259" s="1"/>
      <c r="W259" s="1"/>
      <c r="X259" s="1"/>
      <c r="Y259" s="1"/>
      <c r="Z259" s="1"/>
      <c r="AA259" s="1"/>
      <c r="AB259" s="1"/>
      <c r="AC259" s="1"/>
      <c r="AD259" s="1"/>
      <c r="AE259" s="1"/>
      <c r="AF259" s="1"/>
      <c r="AG259" s="1"/>
      <c r="AH259" s="1"/>
      <c r="AI259" s="1"/>
      <c r="AJ259" s="1"/>
      <c r="AK259" s="1"/>
    </row>
    <row r="260" spans="1:37" ht="12.75" customHeight="1">
      <c r="A260" s="1"/>
      <c r="B260" s="1"/>
      <c r="C260" s="1"/>
      <c r="D260" s="1"/>
      <c r="E260" s="1"/>
      <c r="F260" s="2"/>
      <c r="G260" s="2"/>
      <c r="H260" s="2"/>
      <c r="I260" s="2"/>
      <c r="J260" s="2"/>
      <c r="K260" s="2"/>
      <c r="L260" s="2"/>
      <c r="M260" s="2"/>
      <c r="N260" s="3"/>
      <c r="O260" s="3"/>
      <c r="P260" s="3"/>
      <c r="Q260" s="1"/>
      <c r="R260" s="1"/>
      <c r="S260" s="1"/>
      <c r="T260" s="1"/>
      <c r="U260" s="1"/>
      <c r="V260" s="1"/>
      <c r="W260" s="1"/>
      <c r="X260" s="1"/>
      <c r="Y260" s="1"/>
      <c r="Z260" s="1"/>
      <c r="AA260" s="1"/>
      <c r="AB260" s="1"/>
      <c r="AC260" s="1"/>
      <c r="AD260" s="1"/>
      <c r="AE260" s="1"/>
      <c r="AF260" s="1"/>
      <c r="AG260" s="1"/>
      <c r="AH260" s="1"/>
      <c r="AI260" s="1"/>
      <c r="AJ260" s="1"/>
      <c r="AK260" s="1"/>
    </row>
    <row r="261" spans="1:37" ht="12.75" customHeight="1">
      <c r="A261" s="1"/>
      <c r="B261" s="1"/>
      <c r="C261" s="1"/>
      <c r="D261" s="1"/>
      <c r="E261" s="1"/>
      <c r="F261" s="2"/>
      <c r="G261" s="2"/>
      <c r="H261" s="2"/>
      <c r="I261" s="2"/>
      <c r="J261" s="2"/>
      <c r="K261" s="2"/>
      <c r="L261" s="2"/>
      <c r="M261" s="2"/>
      <c r="N261" s="3"/>
      <c r="O261" s="3"/>
      <c r="P261" s="3"/>
      <c r="Q261" s="1"/>
      <c r="R261" s="1"/>
      <c r="S261" s="1"/>
      <c r="T261" s="1"/>
      <c r="U261" s="1"/>
      <c r="V261" s="1"/>
      <c r="W261" s="1"/>
      <c r="X261" s="1"/>
      <c r="Y261" s="1"/>
      <c r="Z261" s="1"/>
      <c r="AA261" s="1"/>
      <c r="AB261" s="1"/>
      <c r="AC261" s="1"/>
      <c r="AD261" s="1"/>
      <c r="AE261" s="1"/>
      <c r="AF261" s="1"/>
      <c r="AG261" s="1"/>
      <c r="AH261" s="1"/>
      <c r="AI261" s="1"/>
      <c r="AJ261" s="1"/>
      <c r="AK261" s="1"/>
    </row>
    <row r="262" spans="1:37" ht="12.75" customHeight="1">
      <c r="A262" s="1"/>
      <c r="B262" s="1"/>
      <c r="C262" s="1"/>
      <c r="D262" s="1"/>
      <c r="E262" s="1"/>
      <c r="F262" s="2"/>
      <c r="G262" s="2"/>
      <c r="H262" s="2"/>
      <c r="I262" s="2"/>
      <c r="J262" s="2"/>
      <c r="K262" s="2"/>
      <c r="L262" s="2"/>
      <c r="M262" s="2"/>
      <c r="N262" s="3"/>
      <c r="O262" s="3"/>
      <c r="P262" s="3"/>
      <c r="Q262" s="1"/>
      <c r="R262" s="1"/>
      <c r="S262" s="1"/>
      <c r="T262" s="1"/>
      <c r="U262" s="1"/>
      <c r="V262" s="1"/>
      <c r="W262" s="1"/>
      <c r="X262" s="1"/>
      <c r="Y262" s="1"/>
      <c r="Z262" s="1"/>
      <c r="AA262" s="1"/>
      <c r="AB262" s="1"/>
      <c r="AC262" s="1"/>
      <c r="AD262" s="1"/>
      <c r="AE262" s="1"/>
      <c r="AF262" s="1"/>
      <c r="AG262" s="1"/>
      <c r="AH262" s="1"/>
      <c r="AI262" s="1"/>
      <c r="AJ262" s="1"/>
      <c r="AK262" s="1"/>
    </row>
    <row r="263" spans="1:37" ht="12.75" customHeight="1">
      <c r="A263" s="1"/>
      <c r="B263" s="1"/>
      <c r="C263" s="1"/>
      <c r="D263" s="1"/>
      <c r="E263" s="1"/>
      <c r="F263" s="2"/>
      <c r="G263" s="2"/>
      <c r="H263" s="2"/>
      <c r="I263" s="2"/>
      <c r="J263" s="2"/>
      <c r="K263" s="2"/>
      <c r="L263" s="2"/>
      <c r="M263" s="2"/>
      <c r="N263" s="3"/>
      <c r="O263" s="3"/>
      <c r="P263" s="3"/>
      <c r="Q263" s="1"/>
      <c r="R263" s="1"/>
      <c r="S263" s="1"/>
      <c r="T263" s="1"/>
      <c r="U263" s="1"/>
      <c r="V263" s="1"/>
      <c r="W263" s="1"/>
      <c r="X263" s="1"/>
      <c r="Y263" s="1"/>
      <c r="Z263" s="1"/>
      <c r="AA263" s="1"/>
      <c r="AB263" s="1"/>
      <c r="AC263" s="1"/>
      <c r="AD263" s="1"/>
      <c r="AE263" s="1"/>
      <c r="AF263" s="1"/>
      <c r="AG263" s="1"/>
      <c r="AH263" s="1"/>
      <c r="AI263" s="1"/>
      <c r="AJ263" s="1"/>
      <c r="AK263" s="1"/>
    </row>
    <row r="264" spans="1:37" ht="12.75" customHeight="1">
      <c r="A264" s="1"/>
      <c r="B264" s="1"/>
      <c r="C264" s="1"/>
      <c r="D264" s="1"/>
      <c r="E264" s="1"/>
      <c r="F264" s="2"/>
      <c r="G264" s="2"/>
      <c r="H264" s="2"/>
      <c r="I264" s="2"/>
      <c r="J264" s="2"/>
      <c r="K264" s="2"/>
      <c r="L264" s="2"/>
      <c r="M264" s="2"/>
      <c r="N264" s="3"/>
      <c r="O264" s="3"/>
      <c r="P264" s="3"/>
      <c r="Q264" s="1"/>
      <c r="R264" s="1"/>
      <c r="S264" s="1"/>
      <c r="T264" s="1"/>
      <c r="U264" s="1"/>
      <c r="V264" s="1"/>
      <c r="W264" s="1"/>
      <c r="X264" s="1"/>
      <c r="Y264" s="1"/>
      <c r="Z264" s="1"/>
      <c r="AA264" s="1"/>
      <c r="AB264" s="1"/>
      <c r="AC264" s="1"/>
      <c r="AD264" s="1"/>
      <c r="AE264" s="1"/>
      <c r="AF264" s="1"/>
      <c r="AG264" s="1"/>
      <c r="AH264" s="1"/>
      <c r="AI264" s="1"/>
      <c r="AJ264" s="1"/>
      <c r="AK264" s="1"/>
    </row>
    <row r="265" spans="1:37" ht="12.75" customHeight="1">
      <c r="A265" s="1"/>
      <c r="B265" s="1"/>
      <c r="C265" s="1"/>
      <c r="D265" s="1"/>
      <c r="E265" s="1"/>
      <c r="F265" s="2"/>
      <c r="G265" s="2"/>
      <c r="H265" s="2"/>
      <c r="I265" s="2"/>
      <c r="J265" s="2"/>
      <c r="K265" s="2"/>
      <c r="L265" s="2"/>
      <c r="M265" s="2"/>
      <c r="N265" s="3"/>
      <c r="O265" s="3"/>
      <c r="P265" s="3"/>
      <c r="Q265" s="1"/>
      <c r="R265" s="1"/>
      <c r="S265" s="1"/>
      <c r="T265" s="1"/>
      <c r="U265" s="1"/>
      <c r="V265" s="1"/>
      <c r="W265" s="1"/>
      <c r="X265" s="1"/>
      <c r="Y265" s="1"/>
      <c r="Z265" s="1"/>
      <c r="AA265" s="1"/>
      <c r="AB265" s="1"/>
      <c r="AC265" s="1"/>
      <c r="AD265" s="1"/>
      <c r="AE265" s="1"/>
      <c r="AF265" s="1"/>
      <c r="AG265" s="1"/>
      <c r="AH265" s="1"/>
      <c r="AI265" s="1"/>
      <c r="AJ265" s="1"/>
      <c r="AK265" s="1"/>
    </row>
    <row r="266" spans="1:37" ht="12.75" customHeight="1">
      <c r="A266" s="1"/>
      <c r="B266" s="1"/>
      <c r="C266" s="1"/>
      <c r="D266" s="1"/>
      <c r="E266" s="1"/>
      <c r="F266" s="2"/>
      <c r="G266" s="2"/>
      <c r="H266" s="2"/>
      <c r="I266" s="2"/>
      <c r="J266" s="2"/>
      <c r="K266" s="2"/>
      <c r="L266" s="2"/>
      <c r="M266" s="2"/>
      <c r="N266" s="3"/>
      <c r="O266" s="3"/>
      <c r="P266" s="3"/>
      <c r="Q266" s="1"/>
      <c r="R266" s="1"/>
      <c r="S266" s="1"/>
      <c r="T266" s="1"/>
      <c r="U266" s="1"/>
      <c r="V266" s="1"/>
      <c r="W266" s="1"/>
      <c r="X266" s="1"/>
      <c r="Y266" s="1"/>
      <c r="Z266" s="1"/>
      <c r="AA266" s="1"/>
      <c r="AB266" s="1"/>
      <c r="AC266" s="1"/>
      <c r="AD266" s="1"/>
      <c r="AE266" s="1"/>
      <c r="AF266" s="1"/>
      <c r="AG266" s="1"/>
      <c r="AH266" s="1"/>
      <c r="AI266" s="1"/>
      <c r="AJ266" s="1"/>
      <c r="AK266" s="1"/>
    </row>
    <row r="267" spans="1:37" ht="12.75" customHeight="1">
      <c r="A267" s="1"/>
      <c r="B267" s="1"/>
      <c r="C267" s="1"/>
      <c r="D267" s="1"/>
      <c r="E267" s="1"/>
      <c r="F267" s="2"/>
      <c r="G267" s="2"/>
      <c r="H267" s="2"/>
      <c r="I267" s="2"/>
      <c r="J267" s="2"/>
      <c r="K267" s="2"/>
      <c r="L267" s="2"/>
      <c r="M267" s="2"/>
      <c r="N267" s="3"/>
      <c r="O267" s="3"/>
      <c r="P267" s="3"/>
      <c r="Q267" s="1"/>
      <c r="R267" s="1"/>
      <c r="S267" s="1"/>
      <c r="T267" s="1"/>
      <c r="U267" s="1"/>
      <c r="V267" s="1"/>
      <c r="W267" s="1"/>
      <c r="X267" s="1"/>
      <c r="Y267" s="1"/>
      <c r="Z267" s="1"/>
      <c r="AA267" s="1"/>
      <c r="AB267" s="1"/>
      <c r="AC267" s="1"/>
      <c r="AD267" s="1"/>
      <c r="AE267" s="1"/>
      <c r="AF267" s="1"/>
      <c r="AG267" s="1"/>
      <c r="AH267" s="1"/>
      <c r="AI267" s="1"/>
      <c r="AJ267" s="1"/>
      <c r="AK267" s="1"/>
    </row>
    <row r="268" spans="1:37" ht="12.75" customHeight="1">
      <c r="A268" s="1"/>
      <c r="B268" s="1"/>
      <c r="C268" s="1"/>
      <c r="D268" s="1"/>
      <c r="E268" s="1"/>
      <c r="F268" s="2"/>
      <c r="G268" s="2"/>
      <c r="H268" s="2"/>
      <c r="I268" s="2"/>
      <c r="J268" s="2"/>
      <c r="K268" s="2"/>
      <c r="L268" s="2"/>
      <c r="M268" s="2"/>
      <c r="N268" s="3"/>
      <c r="O268" s="3"/>
      <c r="P268" s="3"/>
      <c r="Q268" s="1"/>
      <c r="R268" s="1"/>
      <c r="S268" s="1"/>
      <c r="T268" s="1"/>
      <c r="U268" s="1"/>
      <c r="V268" s="1"/>
      <c r="W268" s="1"/>
      <c r="X268" s="1"/>
      <c r="Y268" s="1"/>
      <c r="Z268" s="1"/>
      <c r="AA268" s="1"/>
      <c r="AB268" s="1"/>
      <c r="AC268" s="1"/>
      <c r="AD268" s="1"/>
      <c r="AE268" s="1"/>
      <c r="AF268" s="1"/>
      <c r="AG268" s="1"/>
      <c r="AH268" s="1"/>
      <c r="AI268" s="1"/>
      <c r="AJ268" s="1"/>
      <c r="AK268" s="1"/>
    </row>
    <row r="269" spans="1:37" ht="12.75" customHeight="1">
      <c r="A269" s="1"/>
      <c r="B269" s="1"/>
      <c r="C269" s="1"/>
      <c r="D269" s="1"/>
      <c r="E269" s="1"/>
      <c r="F269" s="2"/>
      <c r="G269" s="2"/>
      <c r="H269" s="2"/>
      <c r="I269" s="2"/>
      <c r="J269" s="2"/>
      <c r="K269" s="2"/>
      <c r="L269" s="2"/>
      <c r="M269" s="2"/>
      <c r="N269" s="3"/>
      <c r="O269" s="3"/>
      <c r="P269" s="3"/>
      <c r="Q269" s="1"/>
      <c r="R269" s="1"/>
      <c r="S269" s="1"/>
      <c r="T269" s="1"/>
      <c r="U269" s="1"/>
      <c r="V269" s="1"/>
      <c r="W269" s="1"/>
      <c r="X269" s="1"/>
      <c r="Y269" s="1"/>
      <c r="Z269" s="1"/>
      <c r="AA269" s="1"/>
      <c r="AB269" s="1"/>
      <c r="AC269" s="1"/>
      <c r="AD269" s="1"/>
      <c r="AE269" s="1"/>
      <c r="AF269" s="1"/>
      <c r="AG269" s="1"/>
      <c r="AH269" s="1"/>
      <c r="AI269" s="1"/>
      <c r="AJ269" s="1"/>
      <c r="AK269" s="1"/>
    </row>
    <row r="270" spans="1:37" ht="12.75" customHeight="1">
      <c r="A270" s="1"/>
      <c r="B270" s="1"/>
      <c r="C270" s="1"/>
      <c r="D270" s="1"/>
      <c r="E270" s="1"/>
      <c r="F270" s="2"/>
      <c r="G270" s="2"/>
      <c r="H270" s="2"/>
      <c r="I270" s="2"/>
      <c r="J270" s="2"/>
      <c r="K270" s="2"/>
      <c r="L270" s="2"/>
      <c r="M270" s="2"/>
      <c r="N270" s="3"/>
      <c r="O270" s="3"/>
      <c r="P270" s="3"/>
      <c r="Q270" s="1"/>
      <c r="R270" s="1"/>
      <c r="S270" s="1"/>
      <c r="T270" s="1"/>
      <c r="U270" s="1"/>
      <c r="V270" s="1"/>
      <c r="W270" s="1"/>
      <c r="X270" s="1"/>
      <c r="Y270" s="1"/>
      <c r="Z270" s="1"/>
      <c r="AA270" s="1"/>
      <c r="AB270" s="1"/>
      <c r="AC270" s="1"/>
      <c r="AD270" s="1"/>
      <c r="AE270" s="1"/>
      <c r="AF270" s="1"/>
      <c r="AG270" s="1"/>
      <c r="AH270" s="1"/>
      <c r="AI270" s="1"/>
      <c r="AJ270" s="1"/>
      <c r="AK270" s="1"/>
    </row>
    <row r="271" spans="1:37" ht="12.75" customHeight="1">
      <c r="A271" s="1"/>
      <c r="B271" s="1"/>
      <c r="C271" s="1"/>
      <c r="D271" s="1"/>
      <c r="E271" s="1"/>
      <c r="F271" s="2"/>
      <c r="G271" s="2"/>
      <c r="H271" s="2"/>
      <c r="I271" s="2"/>
      <c r="J271" s="2"/>
      <c r="K271" s="2"/>
      <c r="L271" s="2"/>
      <c r="M271" s="2"/>
      <c r="N271" s="3"/>
      <c r="O271" s="3"/>
      <c r="P271" s="3"/>
      <c r="Q271" s="1"/>
      <c r="R271" s="1"/>
      <c r="S271" s="1"/>
      <c r="T271" s="1"/>
      <c r="U271" s="1"/>
      <c r="V271" s="1"/>
      <c r="W271" s="1"/>
      <c r="X271" s="1"/>
      <c r="Y271" s="1"/>
      <c r="Z271" s="1"/>
      <c r="AA271" s="1"/>
      <c r="AB271" s="1"/>
      <c r="AC271" s="1"/>
      <c r="AD271" s="1"/>
      <c r="AE271" s="1"/>
      <c r="AF271" s="1"/>
      <c r="AG271" s="1"/>
      <c r="AH271" s="1"/>
      <c r="AI271" s="1"/>
      <c r="AJ271" s="1"/>
      <c r="AK271" s="1"/>
    </row>
    <row r="272" spans="1:37" ht="12.75" customHeight="1">
      <c r="A272" s="1"/>
      <c r="B272" s="1"/>
      <c r="C272" s="1"/>
      <c r="D272" s="1"/>
      <c r="E272" s="1"/>
      <c r="F272" s="2"/>
      <c r="G272" s="2"/>
      <c r="H272" s="2"/>
      <c r="I272" s="2"/>
      <c r="J272" s="2"/>
      <c r="K272" s="2"/>
      <c r="L272" s="2"/>
      <c r="M272" s="2"/>
      <c r="N272" s="3"/>
      <c r="O272" s="3"/>
      <c r="P272" s="3"/>
      <c r="Q272" s="1"/>
      <c r="R272" s="1"/>
      <c r="S272" s="1"/>
      <c r="T272" s="1"/>
      <c r="U272" s="1"/>
      <c r="V272" s="1"/>
      <c r="W272" s="1"/>
      <c r="X272" s="1"/>
      <c r="Y272" s="1"/>
      <c r="Z272" s="1"/>
      <c r="AA272" s="1"/>
      <c r="AB272" s="1"/>
      <c r="AC272" s="1"/>
      <c r="AD272" s="1"/>
      <c r="AE272" s="1"/>
      <c r="AF272" s="1"/>
      <c r="AG272" s="1"/>
      <c r="AH272" s="1"/>
      <c r="AI272" s="1"/>
      <c r="AJ272" s="1"/>
      <c r="AK272" s="1"/>
    </row>
    <row r="273" spans="1:37" ht="12.75" customHeight="1">
      <c r="A273" s="1"/>
      <c r="B273" s="1"/>
      <c r="C273" s="1"/>
      <c r="D273" s="1"/>
      <c r="E273" s="1"/>
      <c r="F273" s="2"/>
      <c r="G273" s="2"/>
      <c r="H273" s="2"/>
      <c r="I273" s="2"/>
      <c r="J273" s="2"/>
      <c r="K273" s="2"/>
      <c r="L273" s="2"/>
      <c r="M273" s="2"/>
      <c r="N273" s="3"/>
      <c r="O273" s="3"/>
      <c r="P273" s="3"/>
      <c r="Q273" s="1"/>
      <c r="R273" s="1"/>
      <c r="S273" s="1"/>
      <c r="T273" s="1"/>
      <c r="U273" s="1"/>
      <c r="V273" s="1"/>
      <c r="W273" s="1"/>
      <c r="X273" s="1"/>
      <c r="Y273" s="1"/>
      <c r="Z273" s="1"/>
      <c r="AA273" s="1"/>
      <c r="AB273" s="1"/>
      <c r="AC273" s="1"/>
      <c r="AD273" s="1"/>
      <c r="AE273" s="1"/>
      <c r="AF273" s="1"/>
      <c r="AG273" s="1"/>
      <c r="AH273" s="1"/>
      <c r="AI273" s="1"/>
      <c r="AJ273" s="1"/>
      <c r="AK273" s="1"/>
    </row>
    <row r="274" spans="1:37" ht="12.75" customHeight="1">
      <c r="A274" s="1"/>
      <c r="B274" s="1"/>
      <c r="C274" s="1"/>
      <c r="D274" s="1"/>
      <c r="E274" s="1"/>
      <c r="F274" s="2"/>
      <c r="G274" s="2"/>
      <c r="H274" s="2"/>
      <c r="I274" s="2"/>
      <c r="J274" s="2"/>
      <c r="K274" s="2"/>
      <c r="L274" s="2"/>
      <c r="M274" s="2"/>
      <c r="N274" s="3"/>
      <c r="O274" s="3"/>
      <c r="P274" s="3"/>
      <c r="Q274" s="1"/>
      <c r="R274" s="1"/>
      <c r="S274" s="1"/>
      <c r="T274" s="1"/>
      <c r="U274" s="1"/>
      <c r="V274" s="1"/>
      <c r="W274" s="1"/>
      <c r="X274" s="1"/>
      <c r="Y274" s="1"/>
      <c r="Z274" s="1"/>
      <c r="AA274" s="1"/>
      <c r="AB274" s="1"/>
      <c r="AC274" s="1"/>
      <c r="AD274" s="1"/>
      <c r="AE274" s="1"/>
      <c r="AF274" s="1"/>
      <c r="AG274" s="1"/>
      <c r="AH274" s="1"/>
      <c r="AI274" s="1"/>
      <c r="AJ274" s="1"/>
      <c r="AK274" s="1"/>
    </row>
    <row r="275" spans="1:37" ht="12.75" customHeight="1">
      <c r="A275" s="1"/>
      <c r="B275" s="1"/>
      <c r="C275" s="1"/>
      <c r="D275" s="1"/>
      <c r="E275" s="1"/>
      <c r="F275" s="2"/>
      <c r="G275" s="2"/>
      <c r="H275" s="2"/>
      <c r="I275" s="2"/>
      <c r="J275" s="2"/>
      <c r="K275" s="2"/>
      <c r="L275" s="2"/>
      <c r="M275" s="2"/>
      <c r="N275" s="3"/>
      <c r="O275" s="3"/>
      <c r="P275" s="3"/>
      <c r="Q275" s="1"/>
      <c r="R275" s="1"/>
      <c r="S275" s="1"/>
      <c r="T275" s="1"/>
      <c r="U275" s="1"/>
      <c r="V275" s="1"/>
      <c r="W275" s="1"/>
      <c r="X275" s="1"/>
      <c r="Y275" s="1"/>
      <c r="Z275" s="1"/>
      <c r="AA275" s="1"/>
      <c r="AB275" s="1"/>
      <c r="AC275" s="1"/>
      <c r="AD275" s="1"/>
      <c r="AE275" s="1"/>
      <c r="AF275" s="1"/>
      <c r="AG275" s="1"/>
      <c r="AH275" s="1"/>
      <c r="AI275" s="1"/>
      <c r="AJ275" s="1"/>
      <c r="AK275" s="1"/>
    </row>
    <row r="276" spans="1:37" ht="12.75" customHeight="1">
      <c r="A276" s="1"/>
      <c r="B276" s="1"/>
      <c r="C276" s="1"/>
      <c r="D276" s="1"/>
      <c r="E276" s="1"/>
      <c r="F276" s="2"/>
      <c r="G276" s="2"/>
      <c r="H276" s="2"/>
      <c r="I276" s="2"/>
      <c r="J276" s="2"/>
      <c r="K276" s="2"/>
      <c r="L276" s="2"/>
      <c r="M276" s="2"/>
      <c r="N276" s="3"/>
      <c r="O276" s="3"/>
      <c r="P276" s="3"/>
      <c r="Q276" s="1"/>
      <c r="R276" s="1"/>
      <c r="S276" s="1"/>
      <c r="T276" s="1"/>
      <c r="U276" s="1"/>
      <c r="V276" s="1"/>
      <c r="W276" s="1"/>
      <c r="X276" s="1"/>
      <c r="Y276" s="1"/>
      <c r="Z276" s="1"/>
      <c r="AA276" s="1"/>
      <c r="AB276" s="1"/>
      <c r="AC276" s="1"/>
      <c r="AD276" s="1"/>
      <c r="AE276" s="1"/>
      <c r="AF276" s="1"/>
      <c r="AG276" s="1"/>
      <c r="AH276" s="1"/>
      <c r="AI276" s="1"/>
      <c r="AJ276" s="1"/>
      <c r="AK276" s="1"/>
    </row>
    <row r="277" spans="1:37" ht="12.75" customHeight="1">
      <c r="A277" s="1"/>
      <c r="B277" s="1"/>
      <c r="C277" s="1"/>
      <c r="D277" s="1"/>
      <c r="E277" s="1"/>
      <c r="F277" s="2"/>
      <c r="G277" s="2"/>
      <c r="H277" s="2"/>
      <c r="I277" s="2"/>
      <c r="J277" s="2"/>
      <c r="K277" s="2"/>
      <c r="L277" s="2"/>
      <c r="M277" s="2"/>
      <c r="N277" s="3"/>
      <c r="O277" s="3"/>
      <c r="P277" s="3"/>
      <c r="Q277" s="1"/>
      <c r="R277" s="1"/>
      <c r="S277" s="1"/>
      <c r="T277" s="1"/>
      <c r="U277" s="1"/>
      <c r="V277" s="1"/>
      <c r="W277" s="1"/>
      <c r="X277" s="1"/>
      <c r="Y277" s="1"/>
      <c r="Z277" s="1"/>
      <c r="AA277" s="1"/>
      <c r="AB277" s="1"/>
      <c r="AC277" s="1"/>
      <c r="AD277" s="1"/>
      <c r="AE277" s="1"/>
      <c r="AF277" s="1"/>
      <c r="AG277" s="1"/>
      <c r="AH277" s="1"/>
      <c r="AI277" s="1"/>
      <c r="AJ277" s="1"/>
      <c r="AK277" s="1"/>
    </row>
    <row r="278" spans="1:37" ht="12.75" customHeight="1">
      <c r="A278" s="1"/>
      <c r="B278" s="1"/>
      <c r="C278" s="1"/>
      <c r="D278" s="1"/>
      <c r="E278" s="1"/>
      <c r="F278" s="2"/>
      <c r="G278" s="2"/>
      <c r="H278" s="2"/>
      <c r="I278" s="2"/>
      <c r="J278" s="2"/>
      <c r="K278" s="2"/>
      <c r="L278" s="2"/>
      <c r="M278" s="2"/>
      <c r="N278" s="3"/>
      <c r="O278" s="3"/>
      <c r="P278" s="3"/>
      <c r="Q278" s="1"/>
      <c r="R278" s="1"/>
      <c r="S278" s="1"/>
      <c r="T278" s="1"/>
      <c r="U278" s="1"/>
      <c r="V278" s="1"/>
      <c r="W278" s="1"/>
      <c r="X278" s="1"/>
      <c r="Y278" s="1"/>
      <c r="Z278" s="1"/>
      <c r="AA278" s="1"/>
      <c r="AB278" s="1"/>
      <c r="AC278" s="1"/>
      <c r="AD278" s="1"/>
      <c r="AE278" s="1"/>
      <c r="AF278" s="1"/>
      <c r="AG278" s="1"/>
      <c r="AH278" s="1"/>
      <c r="AI278" s="1"/>
      <c r="AJ278" s="1"/>
      <c r="AK278" s="1"/>
    </row>
    <row r="279" spans="1:37" ht="12.75" customHeight="1">
      <c r="A279" s="1"/>
      <c r="B279" s="1"/>
      <c r="C279" s="1"/>
      <c r="D279" s="1"/>
      <c r="E279" s="1"/>
      <c r="F279" s="2"/>
      <c r="G279" s="2"/>
      <c r="H279" s="2"/>
      <c r="I279" s="2"/>
      <c r="J279" s="2"/>
      <c r="K279" s="2"/>
      <c r="L279" s="2"/>
      <c r="M279" s="2"/>
      <c r="N279" s="3"/>
      <c r="O279" s="3"/>
      <c r="P279" s="3"/>
      <c r="Q279" s="1"/>
      <c r="R279" s="1"/>
      <c r="S279" s="1"/>
      <c r="T279" s="1"/>
      <c r="U279" s="1"/>
      <c r="V279" s="1"/>
      <c r="W279" s="1"/>
      <c r="X279" s="1"/>
      <c r="Y279" s="1"/>
      <c r="Z279" s="1"/>
      <c r="AA279" s="1"/>
      <c r="AB279" s="1"/>
      <c r="AC279" s="1"/>
      <c r="AD279" s="1"/>
      <c r="AE279" s="1"/>
      <c r="AF279" s="1"/>
      <c r="AG279" s="1"/>
      <c r="AH279" s="1"/>
      <c r="AI279" s="1"/>
      <c r="AJ279" s="1"/>
      <c r="AK279" s="1"/>
    </row>
    <row r="280" spans="1:37" ht="12.75" customHeight="1">
      <c r="A280" s="1"/>
      <c r="B280" s="1"/>
      <c r="C280" s="1"/>
      <c r="D280" s="1"/>
      <c r="E280" s="1"/>
      <c r="F280" s="2"/>
      <c r="G280" s="2"/>
      <c r="H280" s="2"/>
      <c r="I280" s="2"/>
      <c r="J280" s="2"/>
      <c r="K280" s="2"/>
      <c r="L280" s="2"/>
      <c r="M280" s="2"/>
      <c r="N280" s="3"/>
      <c r="O280" s="3"/>
      <c r="P280" s="3"/>
      <c r="Q280" s="1"/>
      <c r="R280" s="1"/>
      <c r="S280" s="1"/>
      <c r="T280" s="1"/>
      <c r="U280" s="1"/>
      <c r="V280" s="1"/>
      <c r="W280" s="1"/>
      <c r="X280" s="1"/>
      <c r="Y280" s="1"/>
      <c r="Z280" s="1"/>
      <c r="AA280" s="1"/>
      <c r="AB280" s="1"/>
      <c r="AC280" s="1"/>
      <c r="AD280" s="1"/>
      <c r="AE280" s="1"/>
      <c r="AF280" s="1"/>
      <c r="AG280" s="1"/>
      <c r="AH280" s="1"/>
      <c r="AI280" s="1"/>
      <c r="AJ280" s="1"/>
      <c r="AK280" s="1"/>
    </row>
    <row r="281" spans="1:37" ht="12.75" customHeight="1">
      <c r="A281" s="1"/>
      <c r="B281" s="1"/>
      <c r="C281" s="1"/>
      <c r="D281" s="1"/>
      <c r="E281" s="1"/>
      <c r="F281" s="2"/>
      <c r="G281" s="2"/>
      <c r="H281" s="2"/>
      <c r="I281" s="2"/>
      <c r="J281" s="2"/>
      <c r="K281" s="2"/>
      <c r="L281" s="2"/>
      <c r="M281" s="2"/>
      <c r="N281" s="3"/>
      <c r="O281" s="3"/>
      <c r="P281" s="3"/>
      <c r="Q281" s="1"/>
      <c r="R281" s="1"/>
      <c r="S281" s="1"/>
      <c r="T281" s="1"/>
      <c r="U281" s="1"/>
      <c r="V281" s="1"/>
      <c r="W281" s="1"/>
      <c r="X281" s="1"/>
      <c r="Y281" s="1"/>
      <c r="Z281" s="1"/>
      <c r="AA281" s="1"/>
      <c r="AB281" s="1"/>
      <c r="AC281" s="1"/>
      <c r="AD281" s="1"/>
      <c r="AE281" s="1"/>
      <c r="AF281" s="1"/>
      <c r="AG281" s="1"/>
      <c r="AH281" s="1"/>
      <c r="AI281" s="1"/>
      <c r="AJ281" s="1"/>
      <c r="AK281" s="1"/>
    </row>
    <row r="282" spans="1:37" ht="12.75" customHeight="1">
      <c r="A282" s="1"/>
      <c r="B282" s="1"/>
      <c r="C282" s="1"/>
      <c r="D282" s="1"/>
      <c r="E282" s="1"/>
      <c r="F282" s="2"/>
      <c r="G282" s="2"/>
      <c r="H282" s="2"/>
      <c r="I282" s="2"/>
      <c r="J282" s="2"/>
      <c r="K282" s="2"/>
      <c r="L282" s="2"/>
      <c r="M282" s="2"/>
      <c r="N282" s="3"/>
      <c r="O282" s="3"/>
      <c r="P282" s="3"/>
      <c r="Q282" s="1"/>
      <c r="R282" s="1"/>
      <c r="S282" s="1"/>
      <c r="T282" s="1"/>
      <c r="U282" s="1"/>
      <c r="V282" s="1"/>
      <c r="W282" s="1"/>
      <c r="X282" s="1"/>
      <c r="Y282" s="1"/>
      <c r="Z282" s="1"/>
      <c r="AA282" s="1"/>
      <c r="AB282" s="1"/>
      <c r="AC282" s="1"/>
      <c r="AD282" s="1"/>
      <c r="AE282" s="1"/>
      <c r="AF282" s="1"/>
      <c r="AG282" s="1"/>
      <c r="AH282" s="1"/>
      <c r="AI282" s="1"/>
      <c r="AJ282" s="1"/>
      <c r="AK282" s="1"/>
    </row>
    <row r="283" spans="1:37" ht="12.75" customHeight="1">
      <c r="A283" s="1"/>
      <c r="B283" s="1"/>
      <c r="C283" s="1"/>
      <c r="D283" s="1"/>
      <c r="E283" s="1"/>
      <c r="F283" s="2"/>
      <c r="G283" s="2"/>
      <c r="H283" s="2"/>
      <c r="I283" s="2"/>
      <c r="J283" s="2"/>
      <c r="K283" s="2"/>
      <c r="L283" s="2"/>
      <c r="M283" s="2"/>
      <c r="N283" s="3"/>
      <c r="O283" s="3"/>
      <c r="P283" s="3"/>
      <c r="Q283" s="1"/>
      <c r="R283" s="1"/>
      <c r="S283" s="1"/>
      <c r="T283" s="1"/>
      <c r="U283" s="1"/>
      <c r="V283" s="1"/>
      <c r="W283" s="1"/>
      <c r="X283" s="1"/>
      <c r="Y283" s="1"/>
      <c r="Z283" s="1"/>
      <c r="AA283" s="1"/>
      <c r="AB283" s="1"/>
      <c r="AC283" s="1"/>
      <c r="AD283" s="1"/>
      <c r="AE283" s="1"/>
      <c r="AF283" s="1"/>
      <c r="AG283" s="1"/>
      <c r="AH283" s="1"/>
      <c r="AI283" s="1"/>
      <c r="AJ283" s="1"/>
      <c r="AK283" s="1"/>
    </row>
    <row r="284" spans="1:37" ht="12.75" customHeight="1">
      <c r="A284" s="1"/>
      <c r="B284" s="1"/>
      <c r="C284" s="1"/>
      <c r="D284" s="1"/>
      <c r="E284" s="1"/>
      <c r="F284" s="2"/>
      <c r="G284" s="2"/>
      <c r="H284" s="2"/>
      <c r="I284" s="2"/>
      <c r="J284" s="2"/>
      <c r="K284" s="2"/>
      <c r="L284" s="2"/>
      <c r="M284" s="2"/>
      <c r="N284" s="3"/>
      <c r="O284" s="3"/>
      <c r="P284" s="3"/>
      <c r="Q284" s="1"/>
      <c r="R284" s="1"/>
      <c r="S284" s="1"/>
      <c r="T284" s="1"/>
      <c r="U284" s="1"/>
      <c r="V284" s="1"/>
      <c r="W284" s="1"/>
      <c r="X284" s="1"/>
      <c r="Y284" s="1"/>
      <c r="Z284" s="1"/>
      <c r="AA284" s="1"/>
      <c r="AB284" s="1"/>
      <c r="AC284" s="1"/>
      <c r="AD284" s="1"/>
      <c r="AE284" s="1"/>
      <c r="AF284" s="1"/>
      <c r="AG284" s="1"/>
      <c r="AH284" s="1"/>
      <c r="AI284" s="1"/>
      <c r="AJ284" s="1"/>
      <c r="AK284" s="1"/>
    </row>
    <row r="285" spans="1:37" ht="12.75" customHeight="1">
      <c r="A285" s="1"/>
      <c r="B285" s="1"/>
      <c r="C285" s="1"/>
      <c r="D285" s="1"/>
      <c r="E285" s="1"/>
      <c r="F285" s="2"/>
      <c r="G285" s="2"/>
      <c r="H285" s="2"/>
      <c r="I285" s="2"/>
      <c r="J285" s="2"/>
      <c r="K285" s="2"/>
      <c r="L285" s="2"/>
      <c r="M285" s="2"/>
      <c r="N285" s="3"/>
      <c r="O285" s="3"/>
      <c r="P285" s="3"/>
      <c r="Q285" s="1"/>
      <c r="R285" s="1"/>
      <c r="S285" s="1"/>
      <c r="T285" s="1"/>
      <c r="U285" s="1"/>
      <c r="V285" s="1"/>
      <c r="W285" s="1"/>
      <c r="X285" s="1"/>
      <c r="Y285" s="1"/>
      <c r="Z285" s="1"/>
      <c r="AA285" s="1"/>
      <c r="AB285" s="1"/>
      <c r="AC285" s="1"/>
      <c r="AD285" s="1"/>
      <c r="AE285" s="1"/>
      <c r="AF285" s="1"/>
      <c r="AG285" s="1"/>
      <c r="AH285" s="1"/>
      <c r="AI285" s="1"/>
      <c r="AJ285" s="1"/>
      <c r="AK285" s="1"/>
    </row>
    <row r="286" spans="1:37" ht="12.75" customHeight="1">
      <c r="A286" s="1"/>
      <c r="B286" s="1"/>
      <c r="C286" s="1"/>
      <c r="D286" s="1"/>
      <c r="E286" s="1"/>
      <c r="F286" s="2"/>
      <c r="G286" s="2"/>
      <c r="H286" s="2"/>
      <c r="I286" s="2"/>
      <c r="J286" s="2"/>
      <c r="K286" s="2"/>
      <c r="L286" s="2"/>
      <c r="M286" s="2"/>
      <c r="N286" s="3"/>
      <c r="O286" s="3"/>
      <c r="P286" s="3"/>
      <c r="Q286" s="1"/>
      <c r="R286" s="1"/>
      <c r="S286" s="1"/>
      <c r="T286" s="1"/>
      <c r="U286" s="1"/>
      <c r="V286" s="1"/>
      <c r="W286" s="1"/>
      <c r="X286" s="1"/>
      <c r="Y286" s="1"/>
      <c r="Z286" s="1"/>
      <c r="AA286" s="1"/>
      <c r="AB286" s="1"/>
      <c r="AC286" s="1"/>
      <c r="AD286" s="1"/>
      <c r="AE286" s="1"/>
      <c r="AF286" s="1"/>
      <c r="AG286" s="1"/>
      <c r="AH286" s="1"/>
      <c r="AI286" s="1"/>
      <c r="AJ286" s="1"/>
      <c r="AK286" s="1"/>
    </row>
    <row r="287" spans="1:37" ht="12.75" customHeight="1">
      <c r="A287" s="1"/>
      <c r="B287" s="1"/>
      <c r="C287" s="1"/>
      <c r="D287" s="1"/>
      <c r="E287" s="1"/>
      <c r="F287" s="2"/>
      <c r="G287" s="2"/>
      <c r="H287" s="2"/>
      <c r="I287" s="2"/>
      <c r="J287" s="2"/>
      <c r="K287" s="2"/>
      <c r="L287" s="2"/>
      <c r="M287" s="2"/>
      <c r="N287" s="3"/>
      <c r="O287" s="3"/>
      <c r="P287" s="3"/>
      <c r="Q287" s="1"/>
      <c r="R287" s="1"/>
      <c r="S287" s="1"/>
      <c r="T287" s="1"/>
      <c r="U287" s="1"/>
      <c r="V287" s="1"/>
      <c r="W287" s="1"/>
      <c r="X287" s="1"/>
      <c r="Y287" s="1"/>
      <c r="Z287" s="1"/>
      <c r="AA287" s="1"/>
      <c r="AB287" s="1"/>
      <c r="AC287" s="1"/>
      <c r="AD287" s="1"/>
      <c r="AE287" s="1"/>
      <c r="AF287" s="1"/>
      <c r="AG287" s="1"/>
      <c r="AH287" s="1"/>
      <c r="AI287" s="1"/>
      <c r="AJ287" s="1"/>
      <c r="AK287" s="1"/>
    </row>
    <row r="288" spans="1:37" ht="12.75" customHeight="1">
      <c r="A288" s="1"/>
      <c r="B288" s="1"/>
      <c r="C288" s="1"/>
      <c r="D288" s="1"/>
      <c r="E288" s="1"/>
      <c r="F288" s="2"/>
      <c r="G288" s="2"/>
      <c r="H288" s="2"/>
      <c r="I288" s="2"/>
      <c r="J288" s="2"/>
      <c r="K288" s="2"/>
      <c r="L288" s="2"/>
      <c r="M288" s="2"/>
      <c r="N288" s="3"/>
      <c r="O288" s="3"/>
      <c r="P288" s="3"/>
      <c r="Q288" s="1"/>
      <c r="R288" s="1"/>
      <c r="S288" s="1"/>
      <c r="T288" s="1"/>
      <c r="U288" s="1"/>
      <c r="V288" s="1"/>
      <c r="W288" s="1"/>
      <c r="X288" s="1"/>
      <c r="Y288" s="1"/>
      <c r="Z288" s="1"/>
      <c r="AA288" s="1"/>
      <c r="AB288" s="1"/>
      <c r="AC288" s="1"/>
      <c r="AD288" s="1"/>
      <c r="AE288" s="1"/>
      <c r="AF288" s="1"/>
      <c r="AG288" s="1"/>
      <c r="AH288" s="1"/>
      <c r="AI288" s="1"/>
      <c r="AJ288" s="1"/>
      <c r="AK288" s="1"/>
    </row>
    <row r="289" spans="1:37" ht="12.75" customHeight="1">
      <c r="A289" s="1"/>
      <c r="B289" s="1"/>
      <c r="C289" s="1"/>
      <c r="D289" s="1"/>
      <c r="E289" s="1"/>
      <c r="F289" s="2"/>
      <c r="G289" s="2"/>
      <c r="H289" s="2"/>
      <c r="I289" s="2"/>
      <c r="J289" s="2"/>
      <c r="K289" s="2"/>
      <c r="L289" s="2"/>
      <c r="M289" s="2"/>
      <c r="N289" s="3"/>
      <c r="O289" s="3"/>
      <c r="P289" s="3"/>
      <c r="Q289" s="1"/>
      <c r="R289" s="1"/>
      <c r="S289" s="1"/>
      <c r="T289" s="1"/>
      <c r="U289" s="1"/>
      <c r="V289" s="1"/>
      <c r="W289" s="1"/>
      <c r="X289" s="1"/>
      <c r="Y289" s="1"/>
      <c r="Z289" s="1"/>
      <c r="AA289" s="1"/>
      <c r="AB289" s="1"/>
      <c r="AC289" s="1"/>
      <c r="AD289" s="1"/>
      <c r="AE289" s="1"/>
      <c r="AF289" s="1"/>
      <c r="AG289" s="1"/>
      <c r="AH289" s="1"/>
      <c r="AI289" s="1"/>
      <c r="AJ289" s="1"/>
      <c r="AK289" s="1"/>
    </row>
    <row r="290" spans="1:37" ht="12.75" customHeight="1">
      <c r="A290" s="1"/>
      <c r="B290" s="1"/>
      <c r="C290" s="1"/>
      <c r="D290" s="1"/>
      <c r="E290" s="1"/>
      <c r="F290" s="2"/>
      <c r="G290" s="2"/>
      <c r="H290" s="2"/>
      <c r="I290" s="2"/>
      <c r="J290" s="2"/>
      <c r="K290" s="2"/>
      <c r="L290" s="2"/>
      <c r="M290" s="2"/>
      <c r="N290" s="3"/>
      <c r="O290" s="3"/>
      <c r="P290" s="3"/>
      <c r="Q290" s="1"/>
      <c r="R290" s="1"/>
      <c r="S290" s="1"/>
      <c r="T290" s="1"/>
      <c r="U290" s="1"/>
      <c r="V290" s="1"/>
      <c r="W290" s="1"/>
      <c r="X290" s="1"/>
      <c r="Y290" s="1"/>
      <c r="Z290" s="1"/>
      <c r="AA290" s="1"/>
      <c r="AB290" s="1"/>
      <c r="AC290" s="1"/>
      <c r="AD290" s="1"/>
      <c r="AE290" s="1"/>
      <c r="AF290" s="1"/>
      <c r="AG290" s="1"/>
      <c r="AH290" s="1"/>
      <c r="AI290" s="1"/>
      <c r="AJ290" s="1"/>
      <c r="AK290" s="1"/>
    </row>
    <row r="291" spans="1:37" ht="12.75" customHeight="1">
      <c r="A291" s="1"/>
      <c r="B291" s="1"/>
      <c r="C291" s="1"/>
      <c r="D291" s="1"/>
      <c r="E291" s="1"/>
      <c r="F291" s="2"/>
      <c r="G291" s="2"/>
      <c r="H291" s="2"/>
      <c r="I291" s="2"/>
      <c r="J291" s="2"/>
      <c r="K291" s="2"/>
      <c r="L291" s="2"/>
      <c r="M291" s="2"/>
      <c r="N291" s="3"/>
      <c r="O291" s="3"/>
      <c r="P291" s="3"/>
      <c r="Q291" s="1"/>
      <c r="R291" s="1"/>
      <c r="S291" s="1"/>
      <c r="T291" s="1"/>
      <c r="U291" s="1"/>
      <c r="V291" s="1"/>
      <c r="W291" s="1"/>
      <c r="X291" s="1"/>
      <c r="Y291" s="1"/>
      <c r="Z291" s="1"/>
      <c r="AA291" s="1"/>
      <c r="AB291" s="1"/>
      <c r="AC291" s="1"/>
      <c r="AD291" s="1"/>
      <c r="AE291" s="1"/>
      <c r="AF291" s="1"/>
      <c r="AG291" s="1"/>
      <c r="AH291" s="1"/>
      <c r="AI291" s="1"/>
      <c r="AJ291" s="1"/>
      <c r="AK291" s="1"/>
    </row>
    <row r="292" spans="1:37" ht="12.75" customHeight="1">
      <c r="A292" s="1"/>
      <c r="B292" s="1"/>
      <c r="C292" s="1"/>
      <c r="D292" s="1"/>
      <c r="E292" s="1"/>
      <c r="F292" s="2"/>
      <c r="G292" s="2"/>
      <c r="H292" s="2"/>
      <c r="I292" s="2"/>
      <c r="J292" s="2"/>
      <c r="K292" s="2"/>
      <c r="L292" s="2"/>
      <c r="M292" s="2"/>
      <c r="N292" s="3"/>
      <c r="O292" s="3"/>
      <c r="P292" s="3"/>
      <c r="Q292" s="1"/>
      <c r="R292" s="1"/>
      <c r="S292" s="1"/>
      <c r="T292" s="1"/>
      <c r="U292" s="1"/>
      <c r="V292" s="1"/>
      <c r="W292" s="1"/>
      <c r="X292" s="1"/>
      <c r="Y292" s="1"/>
      <c r="Z292" s="1"/>
      <c r="AA292" s="1"/>
      <c r="AB292" s="1"/>
      <c r="AC292" s="1"/>
      <c r="AD292" s="1"/>
      <c r="AE292" s="1"/>
      <c r="AF292" s="1"/>
      <c r="AG292" s="1"/>
      <c r="AH292" s="1"/>
      <c r="AI292" s="1"/>
      <c r="AJ292" s="1"/>
      <c r="AK292" s="1"/>
    </row>
    <row r="293" spans="1:37" ht="12.75" customHeight="1">
      <c r="A293" s="1"/>
      <c r="B293" s="1"/>
      <c r="C293" s="1"/>
      <c r="D293" s="1"/>
      <c r="E293" s="1"/>
      <c r="F293" s="2"/>
      <c r="G293" s="2"/>
      <c r="H293" s="2"/>
      <c r="I293" s="2"/>
      <c r="J293" s="2"/>
      <c r="K293" s="2"/>
      <c r="L293" s="2"/>
      <c r="M293" s="2"/>
      <c r="N293" s="3"/>
      <c r="O293" s="3"/>
      <c r="P293" s="3"/>
      <c r="Q293" s="1"/>
      <c r="R293" s="1"/>
      <c r="S293" s="1"/>
      <c r="T293" s="1"/>
      <c r="U293" s="1"/>
      <c r="V293" s="1"/>
      <c r="W293" s="1"/>
      <c r="X293" s="1"/>
      <c r="Y293" s="1"/>
      <c r="Z293" s="1"/>
      <c r="AA293" s="1"/>
      <c r="AB293" s="1"/>
      <c r="AC293" s="1"/>
      <c r="AD293" s="1"/>
      <c r="AE293" s="1"/>
      <c r="AF293" s="1"/>
      <c r="AG293" s="1"/>
      <c r="AH293" s="1"/>
      <c r="AI293" s="1"/>
      <c r="AJ293" s="1"/>
      <c r="AK293" s="1"/>
    </row>
    <row r="294" spans="1:37" ht="12.75" customHeight="1">
      <c r="A294" s="1"/>
      <c r="B294" s="1"/>
      <c r="C294" s="1"/>
      <c r="D294" s="1"/>
      <c r="E294" s="1"/>
      <c r="F294" s="2"/>
      <c r="G294" s="2"/>
      <c r="H294" s="2"/>
      <c r="I294" s="2"/>
      <c r="J294" s="2"/>
      <c r="K294" s="2"/>
      <c r="L294" s="2"/>
      <c r="M294" s="2"/>
      <c r="N294" s="3"/>
      <c r="O294" s="3"/>
      <c r="P294" s="3"/>
      <c r="Q294" s="1"/>
      <c r="R294" s="1"/>
      <c r="S294" s="1"/>
      <c r="T294" s="1"/>
      <c r="U294" s="1"/>
      <c r="V294" s="1"/>
      <c r="W294" s="1"/>
      <c r="X294" s="1"/>
      <c r="Y294" s="1"/>
      <c r="Z294" s="1"/>
      <c r="AA294" s="1"/>
      <c r="AB294" s="1"/>
      <c r="AC294" s="1"/>
      <c r="AD294" s="1"/>
      <c r="AE294" s="1"/>
      <c r="AF294" s="1"/>
      <c r="AG294" s="1"/>
      <c r="AH294" s="1"/>
      <c r="AI294" s="1"/>
      <c r="AJ294" s="1"/>
      <c r="AK294" s="1"/>
    </row>
    <row r="295" spans="1:37" ht="12.75" customHeight="1">
      <c r="A295" s="1"/>
      <c r="B295" s="1"/>
      <c r="C295" s="1"/>
      <c r="D295" s="1"/>
      <c r="E295" s="1"/>
      <c r="F295" s="2"/>
      <c r="G295" s="2"/>
      <c r="H295" s="2"/>
      <c r="I295" s="2"/>
      <c r="J295" s="2"/>
      <c r="K295" s="2"/>
      <c r="L295" s="2"/>
      <c r="M295" s="2"/>
      <c r="N295" s="3"/>
      <c r="O295" s="3"/>
      <c r="P295" s="3"/>
      <c r="Q295" s="1"/>
      <c r="R295" s="1"/>
      <c r="S295" s="1"/>
      <c r="T295" s="1"/>
      <c r="U295" s="1"/>
      <c r="V295" s="1"/>
      <c r="W295" s="1"/>
      <c r="X295" s="1"/>
      <c r="Y295" s="1"/>
      <c r="Z295" s="1"/>
      <c r="AA295" s="1"/>
      <c r="AB295" s="1"/>
      <c r="AC295" s="1"/>
      <c r="AD295" s="1"/>
      <c r="AE295" s="1"/>
      <c r="AF295" s="1"/>
      <c r="AG295" s="1"/>
      <c r="AH295" s="1"/>
      <c r="AI295" s="1"/>
      <c r="AJ295" s="1"/>
      <c r="AK295" s="1"/>
    </row>
    <row r="296" spans="1:37" ht="12.75" customHeight="1">
      <c r="A296" s="1"/>
      <c r="B296" s="1"/>
      <c r="C296" s="1"/>
      <c r="D296" s="1"/>
      <c r="E296" s="1"/>
      <c r="F296" s="2"/>
      <c r="G296" s="2"/>
      <c r="H296" s="2"/>
      <c r="I296" s="2"/>
      <c r="J296" s="2"/>
      <c r="K296" s="2"/>
      <c r="L296" s="2"/>
      <c r="M296" s="2"/>
      <c r="N296" s="3"/>
      <c r="O296" s="3"/>
      <c r="P296" s="3"/>
      <c r="Q296" s="1"/>
      <c r="R296" s="1"/>
      <c r="S296" s="1"/>
      <c r="T296" s="1"/>
      <c r="U296" s="1"/>
      <c r="V296" s="1"/>
      <c r="W296" s="1"/>
      <c r="X296" s="1"/>
      <c r="Y296" s="1"/>
      <c r="Z296" s="1"/>
      <c r="AA296" s="1"/>
      <c r="AB296" s="1"/>
      <c r="AC296" s="1"/>
      <c r="AD296" s="1"/>
      <c r="AE296" s="1"/>
      <c r="AF296" s="1"/>
      <c r="AG296" s="1"/>
      <c r="AH296" s="1"/>
      <c r="AI296" s="1"/>
      <c r="AJ296" s="1"/>
      <c r="AK296" s="1"/>
    </row>
    <row r="297" spans="1:37" ht="12.75" customHeight="1">
      <c r="A297" s="1"/>
      <c r="B297" s="1"/>
      <c r="C297" s="1"/>
      <c r="D297" s="1"/>
      <c r="E297" s="1"/>
      <c r="F297" s="2"/>
      <c r="G297" s="2"/>
      <c r="H297" s="2"/>
      <c r="I297" s="2"/>
      <c r="J297" s="2"/>
      <c r="K297" s="2"/>
      <c r="L297" s="2"/>
      <c r="M297" s="2"/>
      <c r="N297" s="3"/>
      <c r="O297" s="3"/>
      <c r="P297" s="3"/>
      <c r="Q297" s="1"/>
      <c r="R297" s="1"/>
      <c r="S297" s="1"/>
      <c r="T297" s="1"/>
      <c r="U297" s="1"/>
      <c r="V297" s="1"/>
      <c r="W297" s="1"/>
      <c r="X297" s="1"/>
      <c r="Y297" s="1"/>
      <c r="Z297" s="1"/>
      <c r="AA297" s="1"/>
      <c r="AB297" s="1"/>
      <c r="AC297" s="1"/>
      <c r="AD297" s="1"/>
      <c r="AE297" s="1"/>
      <c r="AF297" s="1"/>
      <c r="AG297" s="1"/>
      <c r="AH297" s="1"/>
      <c r="AI297" s="1"/>
      <c r="AJ297" s="1"/>
      <c r="AK297" s="1"/>
    </row>
    <row r="298" spans="1:37" ht="12.75" customHeight="1">
      <c r="A298" s="1"/>
      <c r="B298" s="1"/>
      <c r="C298" s="1"/>
      <c r="D298" s="1"/>
      <c r="E298" s="1"/>
      <c r="F298" s="2"/>
      <c r="G298" s="2"/>
      <c r="H298" s="2"/>
      <c r="I298" s="2"/>
      <c r="J298" s="2"/>
      <c r="K298" s="2"/>
      <c r="L298" s="2"/>
      <c r="M298" s="2"/>
      <c r="N298" s="3"/>
      <c r="O298" s="3"/>
      <c r="P298" s="3"/>
      <c r="Q298" s="1"/>
      <c r="R298" s="1"/>
      <c r="S298" s="1"/>
      <c r="T298" s="1"/>
      <c r="U298" s="1"/>
      <c r="V298" s="1"/>
      <c r="W298" s="1"/>
      <c r="X298" s="1"/>
      <c r="Y298" s="1"/>
      <c r="Z298" s="1"/>
      <c r="AA298" s="1"/>
      <c r="AB298" s="1"/>
      <c r="AC298" s="1"/>
      <c r="AD298" s="1"/>
      <c r="AE298" s="1"/>
      <c r="AF298" s="1"/>
      <c r="AG298" s="1"/>
      <c r="AH298" s="1"/>
      <c r="AI298" s="1"/>
      <c r="AJ298" s="1"/>
      <c r="AK298" s="1"/>
    </row>
    <row r="299" spans="1:37" ht="12.75" customHeight="1">
      <c r="A299" s="1"/>
      <c r="B299" s="1"/>
      <c r="C299" s="1"/>
      <c r="D299" s="1"/>
      <c r="E299" s="1"/>
      <c r="F299" s="2"/>
      <c r="G299" s="2"/>
      <c r="H299" s="2"/>
      <c r="I299" s="2"/>
      <c r="J299" s="2"/>
      <c r="K299" s="2"/>
      <c r="L299" s="2"/>
      <c r="M299" s="2"/>
      <c r="N299" s="3"/>
      <c r="O299" s="3"/>
      <c r="P299" s="3"/>
      <c r="Q299" s="1"/>
      <c r="R299" s="1"/>
      <c r="S299" s="1"/>
      <c r="T299" s="1"/>
      <c r="U299" s="1"/>
      <c r="V299" s="1"/>
      <c r="W299" s="1"/>
      <c r="X299" s="1"/>
      <c r="Y299" s="1"/>
      <c r="Z299" s="1"/>
      <c r="AA299" s="1"/>
      <c r="AB299" s="1"/>
      <c r="AC299" s="1"/>
      <c r="AD299" s="1"/>
      <c r="AE299" s="1"/>
      <c r="AF299" s="1"/>
      <c r="AG299" s="1"/>
      <c r="AH299" s="1"/>
      <c r="AI299" s="1"/>
      <c r="AJ299" s="1"/>
      <c r="AK299" s="1"/>
    </row>
    <row r="300" spans="1:37" ht="12.75" customHeight="1">
      <c r="A300" s="1"/>
      <c r="B300" s="1"/>
      <c r="C300" s="1"/>
      <c r="D300" s="1"/>
      <c r="E300" s="1"/>
      <c r="F300" s="2"/>
      <c r="G300" s="2"/>
      <c r="H300" s="2"/>
      <c r="I300" s="2"/>
      <c r="J300" s="2"/>
      <c r="K300" s="2"/>
      <c r="L300" s="2"/>
      <c r="M300" s="2"/>
      <c r="N300" s="3"/>
      <c r="O300" s="3"/>
      <c r="P300" s="3"/>
      <c r="Q300" s="1"/>
      <c r="R300" s="1"/>
      <c r="S300" s="1"/>
      <c r="T300" s="1"/>
      <c r="U300" s="1"/>
      <c r="V300" s="1"/>
      <c r="W300" s="1"/>
      <c r="X300" s="1"/>
      <c r="Y300" s="1"/>
      <c r="Z300" s="1"/>
      <c r="AA300" s="1"/>
      <c r="AB300" s="1"/>
      <c r="AC300" s="1"/>
      <c r="AD300" s="1"/>
      <c r="AE300" s="1"/>
      <c r="AF300" s="1"/>
      <c r="AG300" s="1"/>
      <c r="AH300" s="1"/>
      <c r="AI300" s="1"/>
      <c r="AJ300" s="1"/>
      <c r="AK300" s="1"/>
    </row>
    <row r="301" spans="1:37" ht="12.75" customHeight="1">
      <c r="A301" s="1"/>
      <c r="B301" s="1"/>
      <c r="C301" s="1"/>
      <c r="D301" s="1"/>
      <c r="E301" s="1"/>
      <c r="F301" s="2"/>
      <c r="G301" s="2"/>
      <c r="H301" s="2"/>
      <c r="I301" s="2"/>
      <c r="J301" s="2"/>
      <c r="K301" s="2"/>
      <c r="L301" s="2"/>
      <c r="M301" s="2"/>
      <c r="N301" s="3"/>
      <c r="O301" s="3"/>
      <c r="P301" s="3"/>
      <c r="Q301" s="1"/>
      <c r="R301" s="1"/>
      <c r="S301" s="1"/>
      <c r="T301" s="1"/>
      <c r="U301" s="1"/>
      <c r="V301" s="1"/>
      <c r="W301" s="1"/>
      <c r="X301" s="1"/>
      <c r="Y301" s="1"/>
      <c r="Z301" s="1"/>
      <c r="AA301" s="1"/>
      <c r="AB301" s="1"/>
      <c r="AC301" s="1"/>
      <c r="AD301" s="1"/>
      <c r="AE301" s="1"/>
      <c r="AF301" s="1"/>
      <c r="AG301" s="1"/>
      <c r="AH301" s="1"/>
      <c r="AI301" s="1"/>
      <c r="AJ301" s="1"/>
      <c r="AK301" s="1"/>
    </row>
    <row r="302" spans="1:37" ht="12.75" customHeight="1">
      <c r="A302" s="1"/>
      <c r="B302" s="1"/>
      <c r="C302" s="1"/>
      <c r="D302" s="1"/>
      <c r="E302" s="1"/>
      <c r="F302" s="2"/>
      <c r="G302" s="2"/>
      <c r="H302" s="2"/>
      <c r="I302" s="2"/>
      <c r="J302" s="2"/>
      <c r="K302" s="2"/>
      <c r="L302" s="2"/>
      <c r="M302" s="2"/>
      <c r="N302" s="3"/>
      <c r="O302" s="3"/>
      <c r="P302" s="3"/>
      <c r="Q302" s="1"/>
      <c r="R302" s="1"/>
      <c r="S302" s="1"/>
      <c r="T302" s="1"/>
      <c r="U302" s="1"/>
      <c r="V302" s="1"/>
      <c r="W302" s="1"/>
      <c r="X302" s="1"/>
      <c r="Y302" s="1"/>
      <c r="Z302" s="1"/>
      <c r="AA302" s="1"/>
      <c r="AB302" s="1"/>
      <c r="AC302" s="1"/>
      <c r="AD302" s="1"/>
      <c r="AE302" s="1"/>
      <c r="AF302" s="1"/>
      <c r="AG302" s="1"/>
      <c r="AH302" s="1"/>
      <c r="AI302" s="1"/>
      <c r="AJ302" s="1"/>
      <c r="AK302" s="1"/>
    </row>
    <row r="303" spans="1:37" ht="12.75" customHeight="1">
      <c r="A303" s="1"/>
      <c r="B303" s="1"/>
      <c r="C303" s="1"/>
      <c r="D303" s="1"/>
      <c r="E303" s="1"/>
      <c r="F303" s="2"/>
      <c r="G303" s="2"/>
      <c r="H303" s="2"/>
      <c r="I303" s="2"/>
      <c r="J303" s="2"/>
      <c r="K303" s="2"/>
      <c r="L303" s="2"/>
      <c r="M303" s="2"/>
      <c r="N303" s="3"/>
      <c r="O303" s="3"/>
      <c r="P303" s="3"/>
      <c r="Q303" s="1"/>
      <c r="R303" s="1"/>
      <c r="S303" s="1"/>
      <c r="T303" s="1"/>
      <c r="U303" s="1"/>
      <c r="V303" s="1"/>
      <c r="W303" s="1"/>
      <c r="X303" s="1"/>
      <c r="Y303" s="1"/>
      <c r="Z303" s="1"/>
      <c r="AA303" s="1"/>
      <c r="AB303" s="1"/>
      <c r="AC303" s="1"/>
      <c r="AD303" s="1"/>
      <c r="AE303" s="1"/>
      <c r="AF303" s="1"/>
      <c r="AG303" s="1"/>
      <c r="AH303" s="1"/>
      <c r="AI303" s="1"/>
      <c r="AJ303" s="1"/>
      <c r="AK303" s="1"/>
    </row>
    <row r="304" spans="1:37" ht="12.75" customHeight="1">
      <c r="A304" s="1"/>
      <c r="B304" s="1"/>
      <c r="C304" s="1"/>
      <c r="D304" s="1"/>
      <c r="E304" s="1"/>
      <c r="F304" s="2"/>
      <c r="G304" s="2"/>
      <c r="H304" s="2"/>
      <c r="I304" s="2"/>
      <c r="J304" s="2"/>
      <c r="K304" s="2"/>
      <c r="L304" s="2"/>
      <c r="M304" s="2"/>
      <c r="N304" s="3"/>
      <c r="O304" s="3"/>
      <c r="P304" s="3"/>
      <c r="Q304" s="1"/>
      <c r="R304" s="1"/>
      <c r="S304" s="1"/>
      <c r="T304" s="1"/>
      <c r="U304" s="1"/>
      <c r="V304" s="1"/>
      <c r="W304" s="1"/>
      <c r="X304" s="1"/>
      <c r="Y304" s="1"/>
      <c r="Z304" s="1"/>
      <c r="AA304" s="1"/>
      <c r="AB304" s="1"/>
      <c r="AC304" s="1"/>
      <c r="AD304" s="1"/>
      <c r="AE304" s="1"/>
      <c r="AF304" s="1"/>
      <c r="AG304" s="1"/>
      <c r="AH304" s="1"/>
      <c r="AI304" s="1"/>
      <c r="AJ304" s="1"/>
      <c r="AK304" s="1"/>
    </row>
    <row r="305" spans="1:37" ht="12.75" customHeight="1">
      <c r="A305" s="1"/>
      <c r="B305" s="1"/>
      <c r="C305" s="1"/>
      <c r="D305" s="1"/>
      <c r="E305" s="1"/>
      <c r="F305" s="2"/>
      <c r="G305" s="2"/>
      <c r="H305" s="2"/>
      <c r="I305" s="2"/>
      <c r="J305" s="2"/>
      <c r="K305" s="2"/>
      <c r="L305" s="2"/>
      <c r="M305" s="2"/>
      <c r="N305" s="3"/>
      <c r="O305" s="3"/>
      <c r="P305" s="3"/>
      <c r="Q305" s="1"/>
      <c r="R305" s="1"/>
      <c r="S305" s="1"/>
      <c r="T305" s="1"/>
      <c r="U305" s="1"/>
      <c r="V305" s="1"/>
      <c r="W305" s="1"/>
      <c r="X305" s="1"/>
      <c r="Y305" s="1"/>
      <c r="Z305" s="1"/>
      <c r="AA305" s="1"/>
      <c r="AB305" s="1"/>
      <c r="AC305" s="1"/>
      <c r="AD305" s="1"/>
      <c r="AE305" s="1"/>
      <c r="AF305" s="1"/>
      <c r="AG305" s="1"/>
      <c r="AH305" s="1"/>
      <c r="AI305" s="1"/>
      <c r="AJ305" s="1"/>
      <c r="AK305" s="1"/>
    </row>
    <row r="306" spans="1:37" ht="12.75" customHeight="1">
      <c r="A306" s="1"/>
      <c r="B306" s="1"/>
      <c r="C306" s="1"/>
      <c r="D306" s="1"/>
      <c r="E306" s="1"/>
      <c r="F306" s="2"/>
      <c r="G306" s="2"/>
      <c r="H306" s="2"/>
      <c r="I306" s="2"/>
      <c r="J306" s="2"/>
      <c r="K306" s="2"/>
      <c r="L306" s="2"/>
      <c r="M306" s="2"/>
      <c r="N306" s="3"/>
      <c r="O306" s="3"/>
      <c r="P306" s="3"/>
      <c r="Q306" s="1"/>
      <c r="R306" s="1"/>
      <c r="S306" s="1"/>
      <c r="T306" s="1"/>
      <c r="U306" s="1"/>
      <c r="V306" s="1"/>
      <c r="W306" s="1"/>
      <c r="X306" s="1"/>
      <c r="Y306" s="1"/>
      <c r="Z306" s="1"/>
      <c r="AA306" s="1"/>
      <c r="AB306" s="1"/>
      <c r="AC306" s="1"/>
      <c r="AD306" s="1"/>
      <c r="AE306" s="1"/>
      <c r="AF306" s="1"/>
      <c r="AG306" s="1"/>
      <c r="AH306" s="1"/>
      <c r="AI306" s="1"/>
      <c r="AJ306" s="1"/>
      <c r="AK306" s="1"/>
    </row>
    <row r="307" spans="1:37" ht="12.75" customHeight="1">
      <c r="A307" s="1"/>
      <c r="B307" s="1"/>
      <c r="C307" s="1"/>
      <c r="D307" s="1"/>
      <c r="E307" s="1"/>
      <c r="F307" s="2"/>
      <c r="G307" s="2"/>
      <c r="H307" s="2"/>
      <c r="I307" s="2"/>
      <c r="J307" s="2"/>
      <c r="K307" s="2"/>
      <c r="L307" s="2"/>
      <c r="M307" s="2"/>
      <c r="N307" s="3"/>
      <c r="O307" s="3"/>
      <c r="P307" s="3"/>
      <c r="Q307" s="1"/>
      <c r="R307" s="1"/>
      <c r="S307" s="1"/>
      <c r="T307" s="1"/>
      <c r="U307" s="1"/>
      <c r="V307" s="1"/>
      <c r="W307" s="1"/>
      <c r="X307" s="1"/>
      <c r="Y307" s="1"/>
      <c r="Z307" s="1"/>
      <c r="AA307" s="1"/>
      <c r="AB307" s="1"/>
      <c r="AC307" s="1"/>
      <c r="AD307" s="1"/>
      <c r="AE307" s="1"/>
      <c r="AF307" s="1"/>
      <c r="AG307" s="1"/>
      <c r="AH307" s="1"/>
      <c r="AI307" s="1"/>
      <c r="AJ307" s="1"/>
      <c r="AK307" s="1"/>
    </row>
    <row r="308" spans="1:37" ht="12.75" customHeight="1">
      <c r="A308" s="1"/>
      <c r="B308" s="1"/>
      <c r="C308" s="1"/>
      <c r="D308" s="1"/>
      <c r="E308" s="1"/>
      <c r="F308" s="2"/>
      <c r="G308" s="2"/>
      <c r="H308" s="2"/>
      <c r="I308" s="2"/>
      <c r="J308" s="2"/>
      <c r="K308" s="2"/>
      <c r="L308" s="2"/>
      <c r="M308" s="2"/>
      <c r="N308" s="3"/>
      <c r="O308" s="3"/>
      <c r="P308" s="3"/>
      <c r="Q308" s="1"/>
      <c r="R308" s="1"/>
      <c r="S308" s="1"/>
      <c r="T308" s="1"/>
      <c r="U308" s="1"/>
      <c r="V308" s="1"/>
      <c r="W308" s="1"/>
      <c r="X308" s="1"/>
      <c r="Y308" s="1"/>
      <c r="Z308" s="1"/>
      <c r="AA308" s="1"/>
      <c r="AB308" s="1"/>
      <c r="AC308" s="1"/>
      <c r="AD308" s="1"/>
      <c r="AE308" s="1"/>
      <c r="AF308" s="1"/>
      <c r="AG308" s="1"/>
      <c r="AH308" s="1"/>
      <c r="AI308" s="1"/>
      <c r="AJ308" s="1"/>
      <c r="AK308" s="1"/>
    </row>
    <row r="309" spans="1:37" ht="12.75" customHeight="1">
      <c r="A309" s="1"/>
      <c r="B309" s="1"/>
      <c r="C309" s="1"/>
      <c r="D309" s="1"/>
      <c r="E309" s="1"/>
      <c r="F309" s="2"/>
      <c r="G309" s="2"/>
      <c r="H309" s="2"/>
      <c r="I309" s="2"/>
      <c r="J309" s="2"/>
      <c r="K309" s="2"/>
      <c r="L309" s="2"/>
      <c r="M309" s="2"/>
      <c r="N309" s="3"/>
      <c r="O309" s="3"/>
      <c r="P309" s="3"/>
      <c r="Q309" s="1"/>
      <c r="R309" s="1"/>
      <c r="S309" s="1"/>
      <c r="T309" s="1"/>
      <c r="U309" s="1"/>
      <c r="V309" s="1"/>
      <c r="W309" s="1"/>
      <c r="X309" s="1"/>
      <c r="Y309" s="1"/>
      <c r="Z309" s="1"/>
      <c r="AA309" s="1"/>
      <c r="AB309" s="1"/>
      <c r="AC309" s="1"/>
      <c r="AD309" s="1"/>
      <c r="AE309" s="1"/>
      <c r="AF309" s="1"/>
      <c r="AG309" s="1"/>
      <c r="AH309" s="1"/>
      <c r="AI309" s="1"/>
      <c r="AJ309" s="1"/>
      <c r="AK309" s="1"/>
    </row>
    <row r="310" spans="1:37" ht="12.75" customHeight="1">
      <c r="A310" s="1"/>
      <c r="B310" s="1"/>
      <c r="C310" s="1"/>
      <c r="D310" s="1"/>
      <c r="E310" s="1"/>
      <c r="F310" s="2"/>
      <c r="G310" s="2"/>
      <c r="H310" s="2"/>
      <c r="I310" s="2"/>
      <c r="J310" s="2"/>
      <c r="K310" s="2"/>
      <c r="L310" s="2"/>
      <c r="M310" s="2"/>
      <c r="N310" s="3"/>
      <c r="O310" s="3"/>
      <c r="P310" s="3"/>
      <c r="Q310" s="1"/>
      <c r="R310" s="1"/>
      <c r="S310" s="1"/>
      <c r="T310" s="1"/>
      <c r="U310" s="1"/>
      <c r="V310" s="1"/>
      <c r="W310" s="1"/>
      <c r="X310" s="1"/>
      <c r="Y310" s="1"/>
      <c r="Z310" s="1"/>
      <c r="AA310" s="1"/>
      <c r="AB310" s="1"/>
      <c r="AC310" s="1"/>
      <c r="AD310" s="1"/>
      <c r="AE310" s="1"/>
      <c r="AF310" s="1"/>
      <c r="AG310" s="1"/>
      <c r="AH310" s="1"/>
      <c r="AI310" s="1"/>
      <c r="AJ310" s="1"/>
      <c r="AK310" s="1"/>
    </row>
    <row r="311" spans="1:37" ht="12.75" customHeight="1">
      <c r="A311" s="1"/>
      <c r="B311" s="1"/>
      <c r="C311" s="1"/>
      <c r="D311" s="1"/>
      <c r="E311" s="1"/>
      <c r="F311" s="2"/>
      <c r="G311" s="2"/>
      <c r="H311" s="2"/>
      <c r="I311" s="2"/>
      <c r="J311" s="2"/>
      <c r="K311" s="2"/>
      <c r="L311" s="2"/>
      <c r="M311" s="2"/>
      <c r="N311" s="3"/>
      <c r="O311" s="3"/>
      <c r="P311" s="3"/>
      <c r="Q311" s="1"/>
      <c r="R311" s="1"/>
      <c r="S311" s="1"/>
      <c r="T311" s="1"/>
      <c r="U311" s="1"/>
      <c r="V311" s="1"/>
      <c r="W311" s="1"/>
      <c r="X311" s="1"/>
      <c r="Y311" s="1"/>
      <c r="Z311" s="1"/>
      <c r="AA311" s="1"/>
      <c r="AB311" s="1"/>
      <c r="AC311" s="1"/>
      <c r="AD311" s="1"/>
      <c r="AE311" s="1"/>
      <c r="AF311" s="1"/>
      <c r="AG311" s="1"/>
      <c r="AH311" s="1"/>
      <c r="AI311" s="1"/>
      <c r="AJ311" s="1"/>
      <c r="AK311" s="1"/>
    </row>
    <row r="312" spans="1:37" ht="12.75" customHeight="1">
      <c r="A312" s="1"/>
      <c r="B312" s="1"/>
      <c r="C312" s="1"/>
      <c r="D312" s="1"/>
      <c r="E312" s="1"/>
      <c r="F312" s="2"/>
      <c r="G312" s="2"/>
      <c r="H312" s="2"/>
      <c r="I312" s="2"/>
      <c r="J312" s="2"/>
      <c r="K312" s="2"/>
      <c r="L312" s="2"/>
      <c r="M312" s="2"/>
      <c r="N312" s="3"/>
      <c r="O312" s="3"/>
      <c r="P312" s="3"/>
      <c r="Q312" s="1"/>
      <c r="R312" s="1"/>
      <c r="S312" s="1"/>
      <c r="T312" s="1"/>
      <c r="U312" s="1"/>
      <c r="V312" s="1"/>
      <c r="W312" s="1"/>
      <c r="X312" s="1"/>
      <c r="Y312" s="1"/>
      <c r="Z312" s="1"/>
      <c r="AA312" s="1"/>
      <c r="AB312" s="1"/>
      <c r="AC312" s="1"/>
      <c r="AD312" s="1"/>
      <c r="AE312" s="1"/>
      <c r="AF312" s="1"/>
      <c r="AG312" s="1"/>
      <c r="AH312" s="1"/>
      <c r="AI312" s="1"/>
      <c r="AJ312" s="1"/>
      <c r="AK312" s="1"/>
    </row>
    <row r="313" spans="1:37" ht="12.75" customHeight="1">
      <c r="A313" s="1"/>
      <c r="B313" s="1"/>
      <c r="C313" s="1"/>
      <c r="D313" s="1"/>
      <c r="E313" s="1"/>
      <c r="F313" s="2"/>
      <c r="G313" s="2"/>
      <c r="H313" s="2"/>
      <c r="I313" s="2"/>
      <c r="J313" s="2"/>
      <c r="K313" s="2"/>
      <c r="L313" s="2"/>
      <c r="M313" s="2"/>
      <c r="N313" s="3"/>
      <c r="O313" s="3"/>
      <c r="P313" s="3"/>
      <c r="Q313" s="1"/>
      <c r="R313" s="1"/>
      <c r="S313" s="1"/>
      <c r="T313" s="1"/>
      <c r="U313" s="1"/>
      <c r="V313" s="1"/>
      <c r="W313" s="1"/>
      <c r="X313" s="1"/>
      <c r="Y313" s="1"/>
      <c r="Z313" s="1"/>
      <c r="AA313" s="1"/>
      <c r="AB313" s="1"/>
      <c r="AC313" s="1"/>
      <c r="AD313" s="1"/>
      <c r="AE313" s="1"/>
      <c r="AF313" s="1"/>
      <c r="AG313" s="1"/>
      <c r="AH313" s="1"/>
      <c r="AI313" s="1"/>
      <c r="AJ313" s="1"/>
      <c r="AK313" s="1"/>
    </row>
    <row r="314" spans="1:37" ht="12.75" customHeight="1">
      <c r="A314" s="1"/>
      <c r="B314" s="1"/>
      <c r="C314" s="1"/>
      <c r="D314" s="1"/>
      <c r="E314" s="1"/>
      <c r="F314" s="2"/>
      <c r="G314" s="2"/>
      <c r="H314" s="2"/>
      <c r="I314" s="2"/>
      <c r="J314" s="2"/>
      <c r="K314" s="2"/>
      <c r="L314" s="2"/>
      <c r="M314" s="2"/>
      <c r="N314" s="3"/>
      <c r="O314" s="3"/>
      <c r="P314" s="3"/>
      <c r="Q314" s="1"/>
      <c r="R314" s="1"/>
      <c r="S314" s="1"/>
      <c r="T314" s="1"/>
      <c r="U314" s="1"/>
      <c r="V314" s="1"/>
      <c r="W314" s="1"/>
      <c r="X314" s="1"/>
      <c r="Y314" s="1"/>
      <c r="Z314" s="1"/>
      <c r="AA314" s="1"/>
      <c r="AB314" s="1"/>
      <c r="AC314" s="1"/>
      <c r="AD314" s="1"/>
      <c r="AE314" s="1"/>
      <c r="AF314" s="1"/>
      <c r="AG314" s="1"/>
      <c r="AH314" s="1"/>
      <c r="AI314" s="1"/>
      <c r="AJ314" s="1"/>
      <c r="AK314" s="1"/>
    </row>
    <row r="315" spans="1:37" ht="12.75" customHeight="1">
      <c r="A315" s="1"/>
      <c r="B315" s="1"/>
      <c r="C315" s="1"/>
      <c r="D315" s="1"/>
      <c r="E315" s="1"/>
      <c r="F315" s="2"/>
      <c r="G315" s="2"/>
      <c r="H315" s="2"/>
      <c r="I315" s="2"/>
      <c r="J315" s="2"/>
      <c r="K315" s="2"/>
      <c r="L315" s="2"/>
      <c r="M315" s="2"/>
      <c r="N315" s="3"/>
      <c r="O315" s="3"/>
      <c r="P315" s="3"/>
      <c r="Q315" s="1"/>
      <c r="R315" s="1"/>
      <c r="S315" s="1"/>
      <c r="T315" s="1"/>
      <c r="U315" s="1"/>
      <c r="V315" s="1"/>
      <c r="W315" s="1"/>
      <c r="X315" s="1"/>
      <c r="Y315" s="1"/>
      <c r="Z315" s="1"/>
      <c r="AA315" s="1"/>
      <c r="AB315" s="1"/>
      <c r="AC315" s="1"/>
      <c r="AD315" s="1"/>
      <c r="AE315" s="1"/>
      <c r="AF315" s="1"/>
      <c r="AG315" s="1"/>
      <c r="AH315" s="1"/>
      <c r="AI315" s="1"/>
      <c r="AJ315" s="1"/>
      <c r="AK315" s="1"/>
    </row>
    <row r="316" spans="1:37" ht="12.75" customHeight="1">
      <c r="A316" s="1"/>
      <c r="B316" s="1"/>
      <c r="C316" s="1"/>
      <c r="D316" s="1"/>
      <c r="E316" s="1"/>
      <c r="F316" s="2"/>
      <c r="G316" s="2"/>
      <c r="H316" s="2"/>
      <c r="I316" s="2"/>
      <c r="J316" s="2"/>
      <c r="K316" s="2"/>
      <c r="L316" s="2"/>
      <c r="M316" s="2"/>
      <c r="N316" s="3"/>
      <c r="O316" s="3"/>
      <c r="P316" s="3"/>
      <c r="Q316" s="1"/>
      <c r="R316" s="1"/>
      <c r="S316" s="1"/>
      <c r="T316" s="1"/>
      <c r="U316" s="1"/>
      <c r="V316" s="1"/>
      <c r="W316" s="1"/>
      <c r="X316" s="1"/>
      <c r="Y316" s="1"/>
      <c r="Z316" s="1"/>
      <c r="AA316" s="1"/>
      <c r="AB316" s="1"/>
      <c r="AC316" s="1"/>
      <c r="AD316" s="1"/>
      <c r="AE316" s="1"/>
      <c r="AF316" s="1"/>
      <c r="AG316" s="1"/>
      <c r="AH316" s="1"/>
      <c r="AI316" s="1"/>
      <c r="AJ316" s="1"/>
      <c r="AK316" s="1"/>
    </row>
    <row r="317" spans="1:37" ht="12.75" customHeight="1">
      <c r="A317" s="1"/>
      <c r="B317" s="1"/>
      <c r="C317" s="1"/>
      <c r="D317" s="1"/>
      <c r="E317" s="1"/>
      <c r="F317" s="2"/>
      <c r="G317" s="2"/>
      <c r="H317" s="2"/>
      <c r="I317" s="2"/>
      <c r="J317" s="2"/>
      <c r="K317" s="2"/>
      <c r="L317" s="2"/>
      <c r="M317" s="2"/>
      <c r="N317" s="3"/>
      <c r="O317" s="3"/>
      <c r="P317" s="3"/>
      <c r="Q317" s="1"/>
      <c r="R317" s="1"/>
      <c r="S317" s="1"/>
      <c r="T317" s="1"/>
      <c r="U317" s="1"/>
      <c r="V317" s="1"/>
      <c r="W317" s="1"/>
      <c r="X317" s="1"/>
      <c r="Y317" s="1"/>
      <c r="Z317" s="1"/>
      <c r="AA317" s="1"/>
      <c r="AB317" s="1"/>
      <c r="AC317" s="1"/>
      <c r="AD317" s="1"/>
      <c r="AE317" s="1"/>
      <c r="AF317" s="1"/>
      <c r="AG317" s="1"/>
      <c r="AH317" s="1"/>
      <c r="AI317" s="1"/>
      <c r="AJ317" s="1"/>
      <c r="AK317" s="1"/>
    </row>
    <row r="318" spans="1:37" ht="12.75" customHeight="1">
      <c r="A318" s="1"/>
      <c r="B318" s="1"/>
      <c r="C318" s="1"/>
      <c r="D318" s="1"/>
      <c r="E318" s="1"/>
      <c r="F318" s="2"/>
      <c r="G318" s="2"/>
      <c r="H318" s="2"/>
      <c r="I318" s="2"/>
      <c r="J318" s="2"/>
      <c r="K318" s="2"/>
      <c r="L318" s="2"/>
      <c r="M318" s="2"/>
      <c r="N318" s="3"/>
      <c r="O318" s="3"/>
      <c r="P318" s="3"/>
      <c r="Q318" s="1"/>
      <c r="R318" s="1"/>
      <c r="S318" s="1"/>
      <c r="T318" s="1"/>
      <c r="U318" s="1"/>
      <c r="V318" s="1"/>
      <c r="W318" s="1"/>
      <c r="X318" s="1"/>
      <c r="Y318" s="1"/>
      <c r="Z318" s="1"/>
      <c r="AA318" s="1"/>
      <c r="AB318" s="1"/>
      <c r="AC318" s="1"/>
      <c r="AD318" s="1"/>
      <c r="AE318" s="1"/>
      <c r="AF318" s="1"/>
      <c r="AG318" s="1"/>
      <c r="AH318" s="1"/>
      <c r="AI318" s="1"/>
      <c r="AJ318" s="1"/>
      <c r="AK318" s="1"/>
    </row>
    <row r="319" spans="1:37" ht="12.75" customHeight="1">
      <c r="A319" s="1"/>
      <c r="B319" s="1"/>
      <c r="C319" s="1"/>
      <c r="D319" s="1"/>
      <c r="E319" s="1"/>
      <c r="F319" s="2"/>
      <c r="G319" s="2"/>
      <c r="H319" s="2"/>
      <c r="I319" s="2"/>
      <c r="J319" s="2"/>
      <c r="K319" s="2"/>
      <c r="L319" s="2"/>
      <c r="M319" s="2"/>
      <c r="N319" s="3"/>
      <c r="O319" s="3"/>
      <c r="P319" s="3"/>
      <c r="Q319" s="1"/>
      <c r="R319" s="1"/>
      <c r="S319" s="1"/>
      <c r="T319" s="1"/>
      <c r="U319" s="1"/>
      <c r="V319" s="1"/>
      <c r="W319" s="1"/>
      <c r="X319" s="1"/>
      <c r="Y319" s="1"/>
      <c r="Z319" s="1"/>
      <c r="AA319" s="1"/>
      <c r="AB319" s="1"/>
      <c r="AC319" s="1"/>
      <c r="AD319" s="1"/>
      <c r="AE319" s="1"/>
      <c r="AF319" s="1"/>
      <c r="AG319" s="1"/>
      <c r="AH319" s="1"/>
      <c r="AI319" s="1"/>
      <c r="AJ319" s="1"/>
      <c r="AK319" s="1"/>
    </row>
    <row r="320" spans="1:37" ht="12.75" customHeight="1">
      <c r="A320" s="1"/>
      <c r="B320" s="1"/>
      <c r="C320" s="1"/>
      <c r="D320" s="1"/>
      <c r="E320" s="1"/>
      <c r="F320" s="2"/>
      <c r="G320" s="2"/>
      <c r="H320" s="2"/>
      <c r="I320" s="2"/>
      <c r="J320" s="2"/>
      <c r="K320" s="2"/>
      <c r="L320" s="2"/>
      <c r="M320" s="2"/>
      <c r="N320" s="3"/>
      <c r="O320" s="3"/>
      <c r="P320" s="3"/>
      <c r="Q320" s="1"/>
      <c r="R320" s="1"/>
      <c r="S320" s="1"/>
      <c r="T320" s="1"/>
      <c r="U320" s="1"/>
      <c r="V320" s="1"/>
      <c r="W320" s="1"/>
      <c r="X320" s="1"/>
      <c r="Y320" s="1"/>
      <c r="Z320" s="1"/>
      <c r="AA320" s="1"/>
      <c r="AB320" s="1"/>
      <c r="AC320" s="1"/>
      <c r="AD320" s="1"/>
      <c r="AE320" s="1"/>
      <c r="AF320" s="1"/>
      <c r="AG320" s="1"/>
      <c r="AH320" s="1"/>
      <c r="AI320" s="1"/>
      <c r="AJ320" s="1"/>
      <c r="AK320" s="1"/>
    </row>
    <row r="321" spans="1:37" ht="12.75" customHeight="1">
      <c r="A321" s="1"/>
      <c r="B321" s="1"/>
      <c r="C321" s="1"/>
      <c r="D321" s="1"/>
      <c r="E321" s="1"/>
      <c r="F321" s="2"/>
      <c r="G321" s="2"/>
      <c r="H321" s="2"/>
      <c r="I321" s="2"/>
      <c r="J321" s="2"/>
      <c r="K321" s="2"/>
      <c r="L321" s="2"/>
      <c r="M321" s="2"/>
      <c r="N321" s="3"/>
      <c r="O321" s="3"/>
      <c r="P321" s="3"/>
      <c r="Q321" s="1"/>
      <c r="R321" s="1"/>
      <c r="S321" s="1"/>
      <c r="T321" s="1"/>
      <c r="U321" s="1"/>
      <c r="V321" s="1"/>
      <c r="W321" s="1"/>
      <c r="X321" s="1"/>
      <c r="Y321" s="1"/>
      <c r="Z321" s="1"/>
      <c r="AA321" s="1"/>
      <c r="AB321" s="1"/>
      <c r="AC321" s="1"/>
      <c r="AD321" s="1"/>
      <c r="AE321" s="1"/>
      <c r="AF321" s="1"/>
      <c r="AG321" s="1"/>
      <c r="AH321" s="1"/>
      <c r="AI321" s="1"/>
      <c r="AJ321" s="1"/>
      <c r="AK321" s="1"/>
    </row>
    <row r="322" spans="1:37" ht="12.75" customHeight="1">
      <c r="A322" s="1"/>
      <c r="B322" s="1"/>
      <c r="C322" s="1"/>
      <c r="D322" s="1"/>
      <c r="E322" s="1"/>
      <c r="F322" s="2"/>
      <c r="G322" s="2"/>
      <c r="H322" s="2"/>
      <c r="I322" s="2"/>
      <c r="J322" s="2"/>
      <c r="K322" s="2"/>
      <c r="L322" s="2"/>
      <c r="M322" s="2"/>
      <c r="N322" s="3"/>
      <c r="O322" s="3"/>
      <c r="P322" s="3"/>
      <c r="Q322" s="1"/>
      <c r="R322" s="1"/>
      <c r="S322" s="1"/>
      <c r="T322" s="1"/>
      <c r="U322" s="1"/>
      <c r="V322" s="1"/>
      <c r="W322" s="1"/>
      <c r="X322" s="1"/>
      <c r="Y322" s="1"/>
      <c r="Z322" s="1"/>
      <c r="AA322" s="1"/>
      <c r="AB322" s="1"/>
      <c r="AC322" s="1"/>
      <c r="AD322" s="1"/>
      <c r="AE322" s="1"/>
      <c r="AF322" s="1"/>
      <c r="AG322" s="1"/>
      <c r="AH322" s="1"/>
      <c r="AI322" s="1"/>
      <c r="AJ322" s="1"/>
      <c r="AK322" s="1"/>
    </row>
    <row r="323" spans="1:37" ht="12.75" customHeight="1">
      <c r="A323" s="1"/>
      <c r="B323" s="1"/>
      <c r="C323" s="1"/>
      <c r="D323" s="1"/>
      <c r="E323" s="1"/>
      <c r="F323" s="2"/>
      <c r="G323" s="2"/>
      <c r="H323" s="2"/>
      <c r="I323" s="2"/>
      <c r="J323" s="2"/>
      <c r="K323" s="2"/>
      <c r="L323" s="2"/>
      <c r="M323" s="2"/>
      <c r="N323" s="3"/>
      <c r="O323" s="3"/>
      <c r="P323" s="3"/>
      <c r="Q323" s="1"/>
      <c r="R323" s="1"/>
      <c r="S323" s="1"/>
      <c r="T323" s="1"/>
      <c r="U323" s="1"/>
      <c r="V323" s="1"/>
      <c r="W323" s="1"/>
      <c r="X323" s="1"/>
      <c r="Y323" s="1"/>
      <c r="Z323" s="1"/>
      <c r="AA323" s="1"/>
      <c r="AB323" s="1"/>
      <c r="AC323" s="1"/>
      <c r="AD323" s="1"/>
      <c r="AE323" s="1"/>
      <c r="AF323" s="1"/>
      <c r="AG323" s="1"/>
      <c r="AH323" s="1"/>
      <c r="AI323" s="1"/>
      <c r="AJ323" s="1"/>
      <c r="AK323" s="1"/>
    </row>
    <row r="324" spans="1:37" ht="12.75" customHeight="1">
      <c r="A324" s="1"/>
      <c r="B324" s="1"/>
      <c r="C324" s="1"/>
      <c r="D324" s="1"/>
      <c r="E324" s="1"/>
      <c r="F324" s="2"/>
      <c r="G324" s="2"/>
      <c r="H324" s="2"/>
      <c r="I324" s="2"/>
      <c r="J324" s="2"/>
      <c r="K324" s="2"/>
      <c r="L324" s="2"/>
      <c r="M324" s="2"/>
      <c r="N324" s="3"/>
      <c r="O324" s="3"/>
      <c r="P324" s="3"/>
      <c r="Q324" s="1"/>
      <c r="R324" s="1"/>
      <c r="S324" s="1"/>
      <c r="T324" s="1"/>
      <c r="U324" s="1"/>
      <c r="V324" s="1"/>
      <c r="W324" s="1"/>
      <c r="X324" s="1"/>
      <c r="Y324" s="1"/>
      <c r="Z324" s="1"/>
      <c r="AA324" s="1"/>
      <c r="AB324" s="1"/>
      <c r="AC324" s="1"/>
      <c r="AD324" s="1"/>
      <c r="AE324" s="1"/>
      <c r="AF324" s="1"/>
      <c r="AG324" s="1"/>
      <c r="AH324" s="1"/>
      <c r="AI324" s="1"/>
      <c r="AJ324" s="1"/>
      <c r="AK324" s="1"/>
    </row>
    <row r="325" spans="1:37" ht="12.75" customHeight="1">
      <c r="A325" s="1"/>
      <c r="B325" s="1"/>
      <c r="C325" s="1"/>
      <c r="D325" s="1"/>
      <c r="E325" s="1"/>
      <c r="F325" s="2"/>
      <c r="G325" s="2"/>
      <c r="H325" s="2"/>
      <c r="I325" s="2"/>
      <c r="J325" s="2"/>
      <c r="K325" s="2"/>
      <c r="L325" s="2"/>
      <c r="M325" s="2"/>
      <c r="N325" s="3"/>
      <c r="O325" s="3"/>
      <c r="P325" s="3"/>
      <c r="Q325" s="1"/>
      <c r="R325" s="1"/>
      <c r="S325" s="1"/>
      <c r="T325" s="1"/>
      <c r="U325" s="1"/>
      <c r="V325" s="1"/>
      <c r="W325" s="1"/>
      <c r="X325" s="1"/>
      <c r="Y325" s="1"/>
      <c r="Z325" s="1"/>
      <c r="AA325" s="1"/>
      <c r="AB325" s="1"/>
      <c r="AC325" s="1"/>
      <c r="AD325" s="1"/>
      <c r="AE325" s="1"/>
      <c r="AF325" s="1"/>
      <c r="AG325" s="1"/>
      <c r="AH325" s="1"/>
      <c r="AI325" s="1"/>
      <c r="AJ325" s="1"/>
      <c r="AK325" s="1"/>
    </row>
    <row r="326" spans="1:37" ht="12.75" customHeight="1">
      <c r="A326" s="1"/>
      <c r="B326" s="1"/>
      <c r="C326" s="1"/>
      <c r="D326" s="1"/>
      <c r="E326" s="1"/>
      <c r="F326" s="2"/>
      <c r="G326" s="2"/>
      <c r="H326" s="2"/>
      <c r="I326" s="2"/>
      <c r="J326" s="2"/>
      <c r="K326" s="2"/>
      <c r="L326" s="2"/>
      <c r="M326" s="2"/>
      <c r="N326" s="3"/>
      <c r="O326" s="3"/>
      <c r="P326" s="3"/>
      <c r="Q326" s="1"/>
      <c r="R326" s="1"/>
      <c r="S326" s="1"/>
      <c r="T326" s="1"/>
      <c r="U326" s="1"/>
      <c r="V326" s="1"/>
      <c r="W326" s="1"/>
      <c r="X326" s="1"/>
      <c r="Y326" s="1"/>
      <c r="Z326" s="1"/>
      <c r="AA326" s="1"/>
      <c r="AB326" s="1"/>
      <c r="AC326" s="1"/>
      <c r="AD326" s="1"/>
      <c r="AE326" s="1"/>
      <c r="AF326" s="1"/>
      <c r="AG326" s="1"/>
      <c r="AH326" s="1"/>
      <c r="AI326" s="1"/>
      <c r="AJ326" s="1"/>
      <c r="AK326" s="1"/>
    </row>
    <row r="327" spans="1:37" ht="12.75" customHeight="1">
      <c r="A327" s="1"/>
      <c r="B327" s="1"/>
      <c r="C327" s="1"/>
      <c r="D327" s="1"/>
      <c r="E327" s="1"/>
      <c r="F327" s="2"/>
      <c r="G327" s="2"/>
      <c r="H327" s="2"/>
      <c r="I327" s="2"/>
      <c r="J327" s="2"/>
      <c r="K327" s="2"/>
      <c r="L327" s="2"/>
      <c r="M327" s="2"/>
      <c r="N327" s="3"/>
      <c r="O327" s="3"/>
      <c r="P327" s="3"/>
      <c r="Q327" s="1"/>
      <c r="R327" s="1"/>
      <c r="S327" s="1"/>
      <c r="T327" s="1"/>
      <c r="U327" s="1"/>
      <c r="V327" s="1"/>
      <c r="W327" s="1"/>
      <c r="X327" s="1"/>
      <c r="Y327" s="1"/>
      <c r="Z327" s="1"/>
      <c r="AA327" s="1"/>
      <c r="AB327" s="1"/>
      <c r="AC327" s="1"/>
      <c r="AD327" s="1"/>
      <c r="AE327" s="1"/>
      <c r="AF327" s="1"/>
      <c r="AG327" s="1"/>
      <c r="AH327" s="1"/>
      <c r="AI327" s="1"/>
      <c r="AJ327" s="1"/>
      <c r="AK327" s="1"/>
    </row>
    <row r="328" spans="1:37" ht="12.75" customHeight="1">
      <c r="A328" s="1"/>
      <c r="B328" s="1"/>
      <c r="C328" s="1"/>
      <c r="D328" s="1"/>
      <c r="E328" s="1"/>
      <c r="F328" s="2"/>
      <c r="G328" s="2"/>
      <c r="H328" s="2"/>
      <c r="I328" s="2"/>
      <c r="J328" s="2"/>
      <c r="K328" s="2"/>
      <c r="L328" s="2"/>
      <c r="M328" s="2"/>
      <c r="N328" s="3"/>
      <c r="O328" s="3"/>
      <c r="P328" s="3"/>
      <c r="Q328" s="1"/>
      <c r="R328" s="1"/>
      <c r="S328" s="1"/>
      <c r="T328" s="1"/>
      <c r="U328" s="1"/>
      <c r="V328" s="1"/>
      <c r="W328" s="1"/>
      <c r="X328" s="1"/>
      <c r="Y328" s="1"/>
      <c r="Z328" s="1"/>
      <c r="AA328" s="1"/>
      <c r="AB328" s="1"/>
      <c r="AC328" s="1"/>
      <c r="AD328" s="1"/>
      <c r="AE328" s="1"/>
      <c r="AF328" s="1"/>
      <c r="AG328" s="1"/>
      <c r="AH328" s="1"/>
      <c r="AI328" s="1"/>
      <c r="AJ328" s="1"/>
      <c r="AK328" s="1"/>
    </row>
    <row r="329" spans="1:37" ht="12.75" customHeight="1">
      <c r="A329" s="1"/>
      <c r="B329" s="1"/>
      <c r="C329" s="1"/>
      <c r="D329" s="1"/>
      <c r="E329" s="1"/>
      <c r="F329" s="2"/>
      <c r="G329" s="2"/>
      <c r="H329" s="2"/>
      <c r="I329" s="2"/>
      <c r="J329" s="2"/>
      <c r="K329" s="2"/>
      <c r="L329" s="2"/>
      <c r="M329" s="2"/>
      <c r="N329" s="3"/>
      <c r="O329" s="3"/>
      <c r="P329" s="3"/>
      <c r="Q329" s="1"/>
      <c r="R329" s="1"/>
      <c r="S329" s="1"/>
      <c r="T329" s="1"/>
      <c r="U329" s="1"/>
      <c r="V329" s="1"/>
      <c r="W329" s="1"/>
      <c r="X329" s="1"/>
      <c r="Y329" s="1"/>
      <c r="Z329" s="1"/>
      <c r="AA329" s="1"/>
      <c r="AB329" s="1"/>
      <c r="AC329" s="1"/>
      <c r="AD329" s="1"/>
      <c r="AE329" s="1"/>
      <c r="AF329" s="1"/>
      <c r="AG329" s="1"/>
      <c r="AH329" s="1"/>
      <c r="AI329" s="1"/>
      <c r="AJ329" s="1"/>
      <c r="AK329" s="1"/>
    </row>
    <row r="330" spans="1:37" ht="12.75" customHeight="1">
      <c r="A330" s="1"/>
      <c r="B330" s="1"/>
      <c r="C330" s="1"/>
      <c r="D330" s="1"/>
      <c r="E330" s="1"/>
      <c r="F330" s="2"/>
      <c r="G330" s="2"/>
      <c r="H330" s="2"/>
      <c r="I330" s="2"/>
      <c r="J330" s="2"/>
      <c r="K330" s="2"/>
      <c r="L330" s="2"/>
      <c r="M330" s="2"/>
      <c r="N330" s="3"/>
      <c r="O330" s="3"/>
      <c r="P330" s="3"/>
      <c r="Q330" s="1"/>
      <c r="R330" s="1"/>
      <c r="S330" s="1"/>
      <c r="T330" s="1"/>
      <c r="U330" s="1"/>
      <c r="V330" s="1"/>
      <c r="W330" s="1"/>
      <c r="X330" s="1"/>
      <c r="Y330" s="1"/>
      <c r="Z330" s="1"/>
      <c r="AA330" s="1"/>
      <c r="AB330" s="1"/>
      <c r="AC330" s="1"/>
      <c r="AD330" s="1"/>
      <c r="AE330" s="1"/>
      <c r="AF330" s="1"/>
      <c r="AG330" s="1"/>
      <c r="AH330" s="1"/>
      <c r="AI330" s="1"/>
      <c r="AJ330" s="1"/>
      <c r="AK330" s="1"/>
    </row>
    <row r="331" spans="1:37" ht="12.75" customHeight="1">
      <c r="A331" s="1"/>
      <c r="B331" s="1"/>
      <c r="C331" s="1"/>
      <c r="D331" s="1"/>
      <c r="E331" s="1"/>
      <c r="F331" s="2"/>
      <c r="G331" s="2"/>
      <c r="H331" s="2"/>
      <c r="I331" s="2"/>
      <c r="J331" s="2"/>
      <c r="K331" s="2"/>
      <c r="L331" s="2"/>
      <c r="M331" s="2"/>
      <c r="N331" s="3"/>
      <c r="O331" s="3"/>
      <c r="P331" s="3"/>
      <c r="Q331" s="1"/>
      <c r="R331" s="1"/>
      <c r="S331" s="1"/>
      <c r="T331" s="1"/>
      <c r="U331" s="1"/>
      <c r="V331" s="1"/>
      <c r="W331" s="1"/>
      <c r="X331" s="1"/>
      <c r="Y331" s="1"/>
      <c r="Z331" s="1"/>
      <c r="AA331" s="1"/>
      <c r="AB331" s="1"/>
      <c r="AC331" s="1"/>
      <c r="AD331" s="1"/>
      <c r="AE331" s="1"/>
      <c r="AF331" s="1"/>
      <c r="AG331" s="1"/>
      <c r="AH331" s="1"/>
      <c r="AI331" s="1"/>
      <c r="AJ331" s="1"/>
      <c r="AK331" s="1"/>
    </row>
    <row r="332" spans="1:37" ht="12.75" customHeight="1">
      <c r="A332" s="1"/>
      <c r="B332" s="1"/>
      <c r="C332" s="1"/>
      <c r="D332" s="1"/>
      <c r="E332" s="1"/>
      <c r="F332" s="2"/>
      <c r="G332" s="2"/>
      <c r="H332" s="2"/>
      <c r="I332" s="2"/>
      <c r="J332" s="2"/>
      <c r="K332" s="2"/>
      <c r="L332" s="2"/>
      <c r="M332" s="2"/>
      <c r="N332" s="3"/>
      <c r="O332" s="3"/>
      <c r="P332" s="3"/>
      <c r="Q332" s="1"/>
      <c r="R332" s="1"/>
      <c r="S332" s="1"/>
      <c r="T332" s="1"/>
      <c r="U332" s="1"/>
      <c r="V332" s="1"/>
      <c r="W332" s="1"/>
      <c r="X332" s="1"/>
      <c r="Y332" s="1"/>
      <c r="Z332" s="1"/>
      <c r="AA332" s="1"/>
      <c r="AB332" s="1"/>
      <c r="AC332" s="1"/>
      <c r="AD332" s="1"/>
      <c r="AE332" s="1"/>
      <c r="AF332" s="1"/>
      <c r="AG332" s="1"/>
      <c r="AH332" s="1"/>
      <c r="AI332" s="1"/>
      <c r="AJ332" s="1"/>
      <c r="AK332" s="1"/>
    </row>
    <row r="333" spans="1:37" ht="12.75" customHeight="1">
      <c r="A333" s="1"/>
      <c r="B333" s="1"/>
      <c r="C333" s="1"/>
      <c r="D333" s="1"/>
      <c r="E333" s="1"/>
      <c r="F333" s="2"/>
      <c r="G333" s="2"/>
      <c r="H333" s="2"/>
      <c r="I333" s="2"/>
      <c r="J333" s="2"/>
      <c r="K333" s="2"/>
      <c r="L333" s="2"/>
      <c r="M333" s="2"/>
      <c r="N333" s="3"/>
      <c r="O333" s="3"/>
      <c r="P333" s="3"/>
      <c r="Q333" s="1"/>
      <c r="R333" s="1"/>
      <c r="S333" s="1"/>
      <c r="T333" s="1"/>
      <c r="U333" s="1"/>
      <c r="V333" s="1"/>
      <c r="W333" s="1"/>
      <c r="X333" s="1"/>
      <c r="Y333" s="1"/>
      <c r="Z333" s="1"/>
      <c r="AA333" s="1"/>
      <c r="AB333" s="1"/>
      <c r="AC333" s="1"/>
      <c r="AD333" s="1"/>
      <c r="AE333" s="1"/>
      <c r="AF333" s="1"/>
      <c r="AG333" s="1"/>
      <c r="AH333" s="1"/>
      <c r="AI333" s="1"/>
      <c r="AJ333" s="1"/>
      <c r="AK333" s="1"/>
    </row>
    <row r="334" spans="1:37" ht="12.75" customHeight="1">
      <c r="A334" s="1"/>
      <c r="B334" s="1"/>
      <c r="C334" s="1"/>
      <c r="D334" s="1"/>
      <c r="E334" s="1"/>
      <c r="F334" s="2"/>
      <c r="G334" s="2"/>
      <c r="H334" s="2"/>
      <c r="I334" s="2"/>
      <c r="J334" s="2"/>
      <c r="K334" s="2"/>
      <c r="L334" s="2"/>
      <c r="M334" s="2"/>
      <c r="N334" s="3"/>
      <c r="O334" s="3"/>
      <c r="P334" s="3"/>
      <c r="Q334" s="1"/>
      <c r="R334" s="1"/>
      <c r="S334" s="1"/>
      <c r="T334" s="1"/>
      <c r="U334" s="1"/>
      <c r="V334" s="1"/>
      <c r="W334" s="1"/>
      <c r="X334" s="1"/>
      <c r="Y334" s="1"/>
      <c r="Z334" s="1"/>
      <c r="AA334" s="1"/>
      <c r="AB334" s="1"/>
      <c r="AC334" s="1"/>
      <c r="AD334" s="1"/>
      <c r="AE334" s="1"/>
      <c r="AF334" s="1"/>
      <c r="AG334" s="1"/>
      <c r="AH334" s="1"/>
      <c r="AI334" s="1"/>
      <c r="AJ334" s="1"/>
      <c r="AK334" s="1"/>
    </row>
    <row r="335" spans="1:37" ht="12.75" customHeight="1">
      <c r="A335" s="1"/>
      <c r="B335" s="1"/>
      <c r="C335" s="1"/>
      <c r="D335" s="1"/>
      <c r="E335" s="1"/>
      <c r="F335" s="2"/>
      <c r="G335" s="2"/>
      <c r="H335" s="2"/>
      <c r="I335" s="2"/>
      <c r="J335" s="2"/>
      <c r="K335" s="2"/>
      <c r="L335" s="2"/>
      <c r="M335" s="2"/>
      <c r="N335" s="3"/>
      <c r="O335" s="3"/>
      <c r="P335" s="3"/>
      <c r="Q335" s="1"/>
      <c r="R335" s="1"/>
      <c r="S335" s="1"/>
      <c r="T335" s="1"/>
      <c r="U335" s="1"/>
      <c r="V335" s="1"/>
      <c r="W335" s="1"/>
      <c r="X335" s="1"/>
      <c r="Y335" s="1"/>
      <c r="Z335" s="1"/>
      <c r="AA335" s="1"/>
      <c r="AB335" s="1"/>
      <c r="AC335" s="1"/>
      <c r="AD335" s="1"/>
      <c r="AE335" s="1"/>
      <c r="AF335" s="1"/>
      <c r="AG335" s="1"/>
      <c r="AH335" s="1"/>
      <c r="AI335" s="1"/>
      <c r="AJ335" s="1"/>
      <c r="AK335" s="1"/>
    </row>
    <row r="336" spans="1:37" ht="12.75" customHeight="1">
      <c r="A336" s="1"/>
      <c r="B336" s="1"/>
      <c r="C336" s="1"/>
      <c r="D336" s="1"/>
      <c r="E336" s="1"/>
      <c r="F336" s="2"/>
      <c r="G336" s="2"/>
      <c r="H336" s="2"/>
      <c r="I336" s="2"/>
      <c r="J336" s="2"/>
      <c r="K336" s="2"/>
      <c r="L336" s="2"/>
      <c r="M336" s="2"/>
      <c r="N336" s="3"/>
      <c r="O336" s="3"/>
      <c r="P336" s="3"/>
      <c r="Q336" s="1"/>
      <c r="R336" s="1"/>
      <c r="S336" s="1"/>
      <c r="T336" s="1"/>
      <c r="U336" s="1"/>
      <c r="V336" s="1"/>
      <c r="W336" s="1"/>
      <c r="X336" s="1"/>
      <c r="Y336" s="1"/>
      <c r="Z336" s="1"/>
      <c r="AA336" s="1"/>
      <c r="AB336" s="1"/>
      <c r="AC336" s="1"/>
      <c r="AD336" s="1"/>
      <c r="AE336" s="1"/>
      <c r="AF336" s="1"/>
      <c r="AG336" s="1"/>
      <c r="AH336" s="1"/>
      <c r="AI336" s="1"/>
      <c r="AJ336" s="1"/>
      <c r="AK336" s="1"/>
    </row>
    <row r="337" spans="1:37" ht="12.75" customHeight="1">
      <c r="A337" s="1"/>
      <c r="B337" s="1"/>
      <c r="C337" s="1"/>
      <c r="D337" s="1"/>
      <c r="E337" s="1"/>
      <c r="F337" s="2"/>
      <c r="G337" s="2"/>
      <c r="H337" s="2"/>
      <c r="I337" s="2"/>
      <c r="J337" s="2"/>
      <c r="K337" s="2"/>
      <c r="L337" s="2"/>
      <c r="M337" s="2"/>
      <c r="N337" s="3"/>
      <c r="O337" s="3"/>
      <c r="P337" s="3"/>
      <c r="Q337" s="1"/>
      <c r="R337" s="1"/>
      <c r="S337" s="1"/>
      <c r="T337" s="1"/>
      <c r="U337" s="1"/>
      <c r="V337" s="1"/>
      <c r="W337" s="1"/>
      <c r="X337" s="1"/>
      <c r="Y337" s="1"/>
      <c r="Z337" s="1"/>
      <c r="AA337" s="1"/>
      <c r="AB337" s="1"/>
      <c r="AC337" s="1"/>
      <c r="AD337" s="1"/>
      <c r="AE337" s="1"/>
      <c r="AF337" s="1"/>
      <c r="AG337" s="1"/>
      <c r="AH337" s="1"/>
      <c r="AI337" s="1"/>
      <c r="AJ337" s="1"/>
      <c r="AK337" s="1"/>
    </row>
    <row r="338" spans="1:37" ht="12.75" customHeight="1">
      <c r="A338" s="1"/>
      <c r="B338" s="1"/>
      <c r="C338" s="1"/>
      <c r="D338" s="1"/>
      <c r="E338" s="1"/>
      <c r="F338" s="2"/>
      <c r="G338" s="2"/>
      <c r="H338" s="2"/>
      <c r="I338" s="2"/>
      <c r="J338" s="2"/>
      <c r="K338" s="2"/>
      <c r="L338" s="2"/>
      <c r="M338" s="2"/>
      <c r="N338" s="3"/>
      <c r="O338" s="3"/>
      <c r="P338" s="3"/>
      <c r="Q338" s="1"/>
      <c r="R338" s="1"/>
      <c r="S338" s="1"/>
      <c r="T338" s="1"/>
      <c r="U338" s="1"/>
      <c r="V338" s="1"/>
      <c r="W338" s="1"/>
      <c r="X338" s="1"/>
      <c r="Y338" s="1"/>
      <c r="Z338" s="1"/>
      <c r="AA338" s="1"/>
      <c r="AB338" s="1"/>
      <c r="AC338" s="1"/>
      <c r="AD338" s="1"/>
      <c r="AE338" s="1"/>
      <c r="AF338" s="1"/>
      <c r="AG338" s="1"/>
      <c r="AH338" s="1"/>
      <c r="AI338" s="1"/>
      <c r="AJ338" s="1"/>
      <c r="AK338" s="1"/>
    </row>
    <row r="339" spans="1:37" ht="12.75" customHeight="1">
      <c r="A339" s="1"/>
      <c r="B339" s="1"/>
      <c r="C339" s="1"/>
      <c r="D339" s="1"/>
      <c r="E339" s="1"/>
      <c r="F339" s="2"/>
      <c r="G339" s="2"/>
      <c r="H339" s="2"/>
      <c r="I339" s="2"/>
      <c r="J339" s="2"/>
      <c r="K339" s="2"/>
      <c r="L339" s="2"/>
      <c r="M339" s="2"/>
      <c r="N339" s="3"/>
      <c r="O339" s="3"/>
      <c r="P339" s="3"/>
      <c r="Q339" s="1"/>
      <c r="R339" s="1"/>
      <c r="S339" s="1"/>
      <c r="T339" s="1"/>
      <c r="U339" s="1"/>
      <c r="V339" s="1"/>
      <c r="W339" s="1"/>
      <c r="X339" s="1"/>
      <c r="Y339" s="1"/>
      <c r="Z339" s="1"/>
      <c r="AA339" s="1"/>
      <c r="AB339" s="1"/>
      <c r="AC339" s="1"/>
      <c r="AD339" s="1"/>
      <c r="AE339" s="1"/>
      <c r="AF339" s="1"/>
      <c r="AG339" s="1"/>
      <c r="AH339" s="1"/>
      <c r="AI339" s="1"/>
      <c r="AJ339" s="1"/>
      <c r="AK339" s="1"/>
    </row>
    <row r="340" spans="1:37" ht="12.75" customHeight="1">
      <c r="A340" s="1"/>
      <c r="B340" s="1"/>
      <c r="C340" s="1"/>
      <c r="D340" s="1"/>
      <c r="E340" s="1"/>
      <c r="F340" s="2"/>
      <c r="G340" s="2"/>
      <c r="H340" s="2"/>
      <c r="I340" s="2"/>
      <c r="J340" s="2"/>
      <c r="K340" s="2"/>
      <c r="L340" s="2"/>
      <c r="M340" s="2"/>
      <c r="N340" s="3"/>
      <c r="O340" s="3"/>
      <c r="P340" s="3"/>
      <c r="Q340" s="1"/>
      <c r="R340" s="1"/>
      <c r="S340" s="1"/>
      <c r="T340" s="1"/>
      <c r="U340" s="1"/>
      <c r="V340" s="1"/>
      <c r="W340" s="1"/>
      <c r="X340" s="1"/>
      <c r="Y340" s="1"/>
      <c r="Z340" s="1"/>
      <c r="AA340" s="1"/>
      <c r="AB340" s="1"/>
      <c r="AC340" s="1"/>
      <c r="AD340" s="1"/>
      <c r="AE340" s="1"/>
      <c r="AF340" s="1"/>
      <c r="AG340" s="1"/>
      <c r="AH340" s="1"/>
      <c r="AI340" s="1"/>
      <c r="AJ340" s="1"/>
      <c r="AK340" s="1"/>
    </row>
    <row r="341" spans="1:37" ht="12.75" customHeight="1">
      <c r="A341" s="1"/>
      <c r="B341" s="1"/>
      <c r="C341" s="1"/>
      <c r="D341" s="1"/>
      <c r="E341" s="1"/>
      <c r="F341" s="2"/>
      <c r="G341" s="2"/>
      <c r="H341" s="2"/>
      <c r="I341" s="2"/>
      <c r="J341" s="2"/>
      <c r="K341" s="2"/>
      <c r="L341" s="2"/>
      <c r="M341" s="2"/>
      <c r="N341" s="3"/>
      <c r="O341" s="3"/>
      <c r="P341" s="3"/>
      <c r="Q341" s="1"/>
      <c r="R341" s="1"/>
      <c r="S341" s="1"/>
      <c r="T341" s="1"/>
      <c r="U341" s="1"/>
      <c r="V341" s="1"/>
      <c r="W341" s="1"/>
      <c r="X341" s="1"/>
      <c r="Y341" s="1"/>
      <c r="Z341" s="1"/>
      <c r="AA341" s="1"/>
      <c r="AB341" s="1"/>
      <c r="AC341" s="1"/>
      <c r="AD341" s="1"/>
      <c r="AE341" s="1"/>
      <c r="AF341" s="1"/>
      <c r="AG341" s="1"/>
      <c r="AH341" s="1"/>
      <c r="AI341" s="1"/>
      <c r="AJ341" s="1"/>
      <c r="AK341" s="1"/>
    </row>
    <row r="342" spans="1:37" ht="12.75" customHeight="1">
      <c r="A342" s="1"/>
      <c r="B342" s="1"/>
      <c r="C342" s="1"/>
      <c r="D342" s="1"/>
      <c r="E342" s="1"/>
      <c r="F342" s="2"/>
      <c r="G342" s="2"/>
      <c r="H342" s="2"/>
      <c r="I342" s="2"/>
      <c r="J342" s="2"/>
      <c r="K342" s="2"/>
      <c r="L342" s="2"/>
      <c r="M342" s="2"/>
      <c r="N342" s="3"/>
      <c r="O342" s="3"/>
      <c r="P342" s="3"/>
      <c r="Q342" s="1"/>
      <c r="R342" s="1"/>
      <c r="S342" s="1"/>
      <c r="T342" s="1"/>
      <c r="U342" s="1"/>
      <c r="V342" s="1"/>
      <c r="W342" s="1"/>
      <c r="X342" s="1"/>
      <c r="Y342" s="1"/>
      <c r="Z342" s="1"/>
      <c r="AA342" s="1"/>
      <c r="AB342" s="1"/>
      <c r="AC342" s="1"/>
      <c r="AD342" s="1"/>
      <c r="AE342" s="1"/>
      <c r="AF342" s="1"/>
      <c r="AG342" s="1"/>
      <c r="AH342" s="1"/>
      <c r="AI342" s="1"/>
      <c r="AJ342" s="1"/>
      <c r="AK342" s="1"/>
    </row>
    <row r="343" spans="1:37" ht="12.75" customHeight="1">
      <c r="A343" s="1"/>
      <c r="B343" s="1"/>
      <c r="C343" s="1"/>
      <c r="D343" s="1"/>
      <c r="E343" s="1"/>
      <c r="F343" s="2"/>
      <c r="G343" s="2"/>
      <c r="H343" s="2"/>
      <c r="I343" s="2"/>
      <c r="J343" s="2"/>
      <c r="K343" s="2"/>
      <c r="L343" s="2"/>
      <c r="M343" s="2"/>
      <c r="N343" s="3"/>
      <c r="O343" s="3"/>
      <c r="P343" s="3"/>
      <c r="Q343" s="1"/>
      <c r="R343" s="1"/>
      <c r="S343" s="1"/>
      <c r="T343" s="1"/>
      <c r="U343" s="1"/>
      <c r="V343" s="1"/>
      <c r="W343" s="1"/>
      <c r="X343" s="1"/>
      <c r="Y343" s="1"/>
      <c r="Z343" s="1"/>
      <c r="AA343" s="1"/>
      <c r="AB343" s="1"/>
      <c r="AC343" s="1"/>
      <c r="AD343" s="1"/>
      <c r="AE343" s="1"/>
      <c r="AF343" s="1"/>
      <c r="AG343" s="1"/>
      <c r="AH343" s="1"/>
      <c r="AI343" s="1"/>
      <c r="AJ343" s="1"/>
      <c r="AK343" s="1"/>
    </row>
    <row r="344" spans="1:37" ht="12.75" customHeight="1">
      <c r="A344" s="1"/>
      <c r="B344" s="1"/>
      <c r="C344" s="1"/>
      <c r="D344" s="1"/>
      <c r="E344" s="1"/>
      <c r="F344" s="2"/>
      <c r="G344" s="2"/>
      <c r="H344" s="2"/>
      <c r="I344" s="2"/>
      <c r="J344" s="2"/>
      <c r="K344" s="2"/>
      <c r="L344" s="2"/>
      <c r="M344" s="2"/>
      <c r="N344" s="3"/>
      <c r="O344" s="3"/>
      <c r="P344" s="3"/>
      <c r="Q344" s="1"/>
      <c r="R344" s="1"/>
      <c r="S344" s="1"/>
      <c r="T344" s="1"/>
      <c r="U344" s="1"/>
      <c r="V344" s="1"/>
      <c r="W344" s="1"/>
      <c r="X344" s="1"/>
      <c r="Y344" s="1"/>
      <c r="Z344" s="1"/>
      <c r="AA344" s="1"/>
      <c r="AB344" s="1"/>
      <c r="AC344" s="1"/>
      <c r="AD344" s="1"/>
      <c r="AE344" s="1"/>
      <c r="AF344" s="1"/>
      <c r="AG344" s="1"/>
      <c r="AH344" s="1"/>
      <c r="AI344" s="1"/>
      <c r="AJ344" s="1"/>
      <c r="AK344" s="1"/>
    </row>
    <row r="345" spans="1:37" ht="12.75" customHeight="1">
      <c r="A345" s="1"/>
      <c r="B345" s="1"/>
      <c r="C345" s="1"/>
      <c r="D345" s="1"/>
      <c r="E345" s="1"/>
      <c r="F345" s="2"/>
      <c r="G345" s="2"/>
      <c r="H345" s="2"/>
      <c r="I345" s="2"/>
      <c r="J345" s="2"/>
      <c r="K345" s="2"/>
      <c r="L345" s="2"/>
      <c r="M345" s="2"/>
      <c r="N345" s="3"/>
      <c r="O345" s="3"/>
      <c r="P345" s="3"/>
      <c r="Q345" s="1"/>
      <c r="R345" s="1"/>
      <c r="S345" s="1"/>
      <c r="T345" s="1"/>
      <c r="U345" s="1"/>
      <c r="V345" s="1"/>
      <c r="W345" s="1"/>
      <c r="X345" s="1"/>
      <c r="Y345" s="1"/>
      <c r="Z345" s="1"/>
      <c r="AA345" s="1"/>
      <c r="AB345" s="1"/>
      <c r="AC345" s="1"/>
      <c r="AD345" s="1"/>
      <c r="AE345" s="1"/>
      <c r="AF345" s="1"/>
      <c r="AG345" s="1"/>
      <c r="AH345" s="1"/>
      <c r="AI345" s="1"/>
      <c r="AJ345" s="1"/>
      <c r="AK345" s="1"/>
    </row>
    <row r="346" spans="1:37" ht="12.75" customHeight="1">
      <c r="A346" s="1"/>
      <c r="B346" s="1"/>
      <c r="C346" s="1"/>
      <c r="D346" s="1"/>
      <c r="E346" s="1"/>
      <c r="F346" s="2"/>
      <c r="G346" s="2"/>
      <c r="H346" s="2"/>
      <c r="I346" s="2"/>
      <c r="J346" s="2"/>
      <c r="K346" s="2"/>
      <c r="L346" s="2"/>
      <c r="M346" s="2"/>
      <c r="N346" s="3"/>
      <c r="O346" s="3"/>
      <c r="P346" s="3"/>
      <c r="Q346" s="1"/>
      <c r="R346" s="1"/>
      <c r="S346" s="1"/>
      <c r="T346" s="1"/>
      <c r="U346" s="1"/>
      <c r="V346" s="1"/>
      <c r="W346" s="1"/>
      <c r="X346" s="1"/>
      <c r="Y346" s="1"/>
      <c r="Z346" s="1"/>
      <c r="AA346" s="1"/>
      <c r="AB346" s="1"/>
      <c r="AC346" s="1"/>
      <c r="AD346" s="1"/>
      <c r="AE346" s="1"/>
      <c r="AF346" s="1"/>
      <c r="AG346" s="1"/>
      <c r="AH346" s="1"/>
      <c r="AI346" s="1"/>
      <c r="AJ346" s="1"/>
      <c r="AK346" s="1"/>
    </row>
    <row r="347" spans="1:37" ht="12.75" customHeight="1">
      <c r="A347" s="1"/>
      <c r="B347" s="1"/>
      <c r="C347" s="1"/>
      <c r="D347" s="1"/>
      <c r="E347" s="1"/>
      <c r="F347" s="2"/>
      <c r="G347" s="2"/>
      <c r="H347" s="2"/>
      <c r="I347" s="2"/>
      <c r="J347" s="2"/>
      <c r="K347" s="2"/>
      <c r="L347" s="2"/>
      <c r="M347" s="2"/>
      <c r="N347" s="3"/>
      <c r="O347" s="3"/>
      <c r="P347" s="3"/>
      <c r="Q347" s="1"/>
      <c r="R347" s="1"/>
      <c r="S347" s="1"/>
      <c r="T347" s="1"/>
      <c r="U347" s="1"/>
      <c r="V347" s="1"/>
      <c r="W347" s="1"/>
      <c r="X347" s="1"/>
      <c r="Y347" s="1"/>
      <c r="Z347" s="1"/>
      <c r="AA347" s="1"/>
      <c r="AB347" s="1"/>
      <c r="AC347" s="1"/>
      <c r="AD347" s="1"/>
      <c r="AE347" s="1"/>
      <c r="AF347" s="1"/>
      <c r="AG347" s="1"/>
      <c r="AH347" s="1"/>
      <c r="AI347" s="1"/>
      <c r="AJ347" s="1"/>
      <c r="AK347" s="1"/>
    </row>
    <row r="348" spans="1:37" ht="12.75" customHeight="1">
      <c r="A348" s="1"/>
      <c r="B348" s="1"/>
      <c r="C348" s="1"/>
      <c r="D348" s="1"/>
      <c r="E348" s="1"/>
      <c r="F348" s="2"/>
      <c r="G348" s="2"/>
      <c r="H348" s="2"/>
      <c r="I348" s="2"/>
      <c r="J348" s="2"/>
      <c r="K348" s="2"/>
      <c r="L348" s="2"/>
      <c r="M348" s="2"/>
      <c r="N348" s="3"/>
      <c r="O348" s="3"/>
      <c r="P348" s="3"/>
      <c r="Q348" s="1"/>
      <c r="R348" s="1"/>
      <c r="S348" s="1"/>
      <c r="T348" s="1"/>
      <c r="U348" s="1"/>
      <c r="V348" s="1"/>
      <c r="W348" s="1"/>
      <c r="X348" s="1"/>
      <c r="Y348" s="1"/>
      <c r="Z348" s="1"/>
      <c r="AA348" s="1"/>
      <c r="AB348" s="1"/>
      <c r="AC348" s="1"/>
      <c r="AD348" s="1"/>
      <c r="AE348" s="1"/>
      <c r="AF348" s="1"/>
      <c r="AG348" s="1"/>
      <c r="AH348" s="1"/>
      <c r="AI348" s="1"/>
      <c r="AJ348" s="1"/>
      <c r="AK348" s="1"/>
    </row>
    <row r="349" spans="1:37" ht="12.75" customHeight="1">
      <c r="A349" s="1"/>
      <c r="B349" s="1"/>
      <c r="C349" s="1"/>
      <c r="D349" s="1"/>
      <c r="E349" s="1"/>
      <c r="F349" s="2"/>
      <c r="G349" s="2"/>
      <c r="H349" s="2"/>
      <c r="I349" s="2"/>
      <c r="J349" s="2"/>
      <c r="K349" s="2"/>
      <c r="L349" s="2"/>
      <c r="M349" s="2"/>
      <c r="N349" s="3"/>
      <c r="O349" s="3"/>
      <c r="P349" s="3"/>
      <c r="Q349" s="1"/>
      <c r="R349" s="1"/>
      <c r="S349" s="1"/>
      <c r="T349" s="1"/>
      <c r="U349" s="1"/>
      <c r="V349" s="1"/>
      <c r="W349" s="1"/>
      <c r="X349" s="1"/>
      <c r="Y349" s="1"/>
      <c r="Z349" s="1"/>
      <c r="AA349" s="1"/>
      <c r="AB349" s="1"/>
      <c r="AC349" s="1"/>
      <c r="AD349" s="1"/>
      <c r="AE349" s="1"/>
      <c r="AF349" s="1"/>
      <c r="AG349" s="1"/>
      <c r="AH349" s="1"/>
      <c r="AI349" s="1"/>
      <c r="AJ349" s="1"/>
      <c r="AK349" s="1"/>
    </row>
    <row r="350" spans="1:37" ht="12.75" customHeight="1">
      <c r="A350" s="1"/>
      <c r="B350" s="1"/>
      <c r="C350" s="1"/>
      <c r="D350" s="1"/>
      <c r="E350" s="1"/>
      <c r="F350" s="2"/>
      <c r="G350" s="2"/>
      <c r="H350" s="2"/>
      <c r="I350" s="2"/>
      <c r="J350" s="2"/>
      <c r="K350" s="2"/>
      <c r="L350" s="2"/>
      <c r="M350" s="2"/>
      <c r="N350" s="3"/>
      <c r="O350" s="3"/>
      <c r="P350" s="3"/>
      <c r="Q350" s="1"/>
      <c r="R350" s="1"/>
      <c r="S350" s="1"/>
      <c r="T350" s="1"/>
      <c r="U350" s="1"/>
      <c r="V350" s="1"/>
      <c r="W350" s="1"/>
      <c r="X350" s="1"/>
      <c r="Y350" s="1"/>
      <c r="Z350" s="1"/>
      <c r="AA350" s="1"/>
      <c r="AB350" s="1"/>
      <c r="AC350" s="1"/>
      <c r="AD350" s="1"/>
      <c r="AE350" s="1"/>
      <c r="AF350" s="1"/>
      <c r="AG350" s="1"/>
      <c r="AH350" s="1"/>
      <c r="AI350" s="1"/>
      <c r="AJ350" s="1"/>
      <c r="AK350" s="1"/>
    </row>
    <row r="351" spans="1:37" ht="12.75" customHeight="1">
      <c r="A351" s="1"/>
      <c r="B351" s="1"/>
      <c r="C351" s="1"/>
      <c r="D351" s="1"/>
      <c r="E351" s="1"/>
      <c r="F351" s="2"/>
      <c r="G351" s="2"/>
      <c r="H351" s="2"/>
      <c r="I351" s="2"/>
      <c r="J351" s="2"/>
      <c r="K351" s="2"/>
      <c r="L351" s="2"/>
      <c r="M351" s="2"/>
      <c r="N351" s="3"/>
      <c r="O351" s="3"/>
      <c r="P351" s="3"/>
      <c r="Q351" s="1"/>
      <c r="R351" s="1"/>
      <c r="S351" s="1"/>
      <c r="T351" s="1"/>
      <c r="U351" s="1"/>
      <c r="V351" s="1"/>
      <c r="W351" s="1"/>
      <c r="X351" s="1"/>
      <c r="Y351" s="1"/>
      <c r="Z351" s="1"/>
      <c r="AA351" s="1"/>
      <c r="AB351" s="1"/>
      <c r="AC351" s="1"/>
      <c r="AD351" s="1"/>
      <c r="AE351" s="1"/>
      <c r="AF351" s="1"/>
      <c r="AG351" s="1"/>
      <c r="AH351" s="1"/>
      <c r="AI351" s="1"/>
      <c r="AJ351" s="1"/>
      <c r="AK351" s="1"/>
    </row>
    <row r="352" spans="1:37" ht="12.75" customHeight="1">
      <c r="A352" s="1"/>
      <c r="B352" s="1"/>
      <c r="C352" s="1"/>
      <c r="D352" s="1"/>
      <c r="E352" s="1"/>
      <c r="F352" s="2"/>
      <c r="G352" s="2"/>
      <c r="H352" s="2"/>
      <c r="I352" s="2"/>
      <c r="J352" s="2"/>
      <c r="K352" s="2"/>
      <c r="L352" s="2"/>
      <c r="M352" s="2"/>
      <c r="N352" s="3"/>
      <c r="O352" s="3"/>
      <c r="P352" s="3"/>
      <c r="Q352" s="1"/>
      <c r="R352" s="1"/>
      <c r="S352" s="1"/>
      <c r="T352" s="1"/>
      <c r="U352" s="1"/>
      <c r="V352" s="1"/>
      <c r="W352" s="1"/>
      <c r="X352" s="1"/>
      <c r="Y352" s="1"/>
      <c r="Z352" s="1"/>
      <c r="AA352" s="1"/>
      <c r="AB352" s="1"/>
      <c r="AC352" s="1"/>
      <c r="AD352" s="1"/>
      <c r="AE352" s="1"/>
      <c r="AF352" s="1"/>
      <c r="AG352" s="1"/>
      <c r="AH352" s="1"/>
      <c r="AI352" s="1"/>
      <c r="AJ352" s="1"/>
      <c r="AK352" s="1"/>
    </row>
    <row r="353" spans="1:37" ht="12.75" customHeight="1">
      <c r="A353" s="1"/>
      <c r="B353" s="1"/>
      <c r="C353" s="1"/>
      <c r="D353" s="1"/>
      <c r="E353" s="1"/>
      <c r="F353" s="2"/>
      <c r="G353" s="2"/>
      <c r="H353" s="2"/>
      <c r="I353" s="2"/>
      <c r="J353" s="2"/>
      <c r="K353" s="2"/>
      <c r="L353" s="2"/>
      <c r="M353" s="2"/>
      <c r="N353" s="3"/>
      <c r="O353" s="3"/>
      <c r="P353" s="3"/>
      <c r="Q353" s="1"/>
      <c r="R353" s="1"/>
      <c r="S353" s="1"/>
      <c r="T353" s="1"/>
      <c r="U353" s="1"/>
      <c r="V353" s="1"/>
      <c r="W353" s="1"/>
      <c r="X353" s="1"/>
      <c r="Y353" s="1"/>
      <c r="Z353" s="1"/>
      <c r="AA353" s="1"/>
      <c r="AB353" s="1"/>
      <c r="AC353" s="1"/>
      <c r="AD353" s="1"/>
      <c r="AE353" s="1"/>
      <c r="AF353" s="1"/>
      <c r="AG353" s="1"/>
      <c r="AH353" s="1"/>
      <c r="AI353" s="1"/>
      <c r="AJ353" s="1"/>
      <c r="AK353" s="1"/>
    </row>
    <row r="354" spans="1:37" ht="12.75" customHeight="1">
      <c r="A354" s="1"/>
      <c r="B354" s="1"/>
      <c r="C354" s="1"/>
      <c r="D354" s="1"/>
      <c r="E354" s="1"/>
      <c r="F354" s="2"/>
      <c r="G354" s="2"/>
      <c r="H354" s="2"/>
      <c r="I354" s="2"/>
      <c r="J354" s="2"/>
      <c r="K354" s="2"/>
      <c r="L354" s="2"/>
      <c r="M354" s="2"/>
      <c r="N354" s="3"/>
      <c r="O354" s="3"/>
      <c r="P354" s="3"/>
      <c r="Q354" s="1"/>
      <c r="R354" s="1"/>
      <c r="S354" s="1"/>
      <c r="T354" s="1"/>
      <c r="U354" s="1"/>
      <c r="V354" s="1"/>
      <c r="W354" s="1"/>
      <c r="X354" s="1"/>
      <c r="Y354" s="1"/>
      <c r="Z354" s="1"/>
      <c r="AA354" s="1"/>
      <c r="AB354" s="1"/>
      <c r="AC354" s="1"/>
      <c r="AD354" s="1"/>
      <c r="AE354" s="1"/>
      <c r="AF354" s="1"/>
      <c r="AG354" s="1"/>
      <c r="AH354" s="1"/>
      <c r="AI354" s="1"/>
      <c r="AJ354" s="1"/>
      <c r="AK354" s="1"/>
    </row>
    <row r="355" spans="1:37" ht="12.75" customHeight="1">
      <c r="A355" s="1"/>
      <c r="B355" s="1"/>
      <c r="C355" s="1"/>
      <c r="D355" s="1"/>
      <c r="E355" s="1"/>
      <c r="F355" s="2"/>
      <c r="G355" s="2"/>
      <c r="H355" s="2"/>
      <c r="I355" s="2"/>
      <c r="J355" s="2"/>
      <c r="K355" s="2"/>
      <c r="L355" s="2"/>
      <c r="M355" s="2"/>
      <c r="N355" s="3"/>
      <c r="O355" s="3"/>
      <c r="P355" s="3"/>
      <c r="Q355" s="1"/>
      <c r="R355" s="1"/>
      <c r="S355" s="1"/>
      <c r="T355" s="1"/>
      <c r="U355" s="1"/>
      <c r="V355" s="1"/>
      <c r="W355" s="1"/>
      <c r="X355" s="1"/>
      <c r="Y355" s="1"/>
      <c r="Z355" s="1"/>
      <c r="AA355" s="1"/>
      <c r="AB355" s="1"/>
      <c r="AC355" s="1"/>
      <c r="AD355" s="1"/>
      <c r="AE355" s="1"/>
      <c r="AF355" s="1"/>
      <c r="AG355" s="1"/>
      <c r="AH355" s="1"/>
      <c r="AI355" s="1"/>
      <c r="AJ355" s="1"/>
      <c r="AK355" s="1"/>
    </row>
    <row r="356" spans="1:37" ht="12.75" customHeight="1">
      <c r="A356" s="1"/>
      <c r="B356" s="1"/>
      <c r="C356" s="1"/>
      <c r="D356" s="1"/>
      <c r="E356" s="1"/>
      <c r="F356" s="2"/>
      <c r="G356" s="2"/>
      <c r="H356" s="2"/>
      <c r="I356" s="2"/>
      <c r="J356" s="2"/>
      <c r="K356" s="2"/>
      <c r="L356" s="2"/>
      <c r="M356" s="2"/>
      <c r="N356" s="3"/>
      <c r="O356" s="3"/>
      <c r="P356" s="3"/>
      <c r="Q356" s="1"/>
      <c r="R356" s="1"/>
      <c r="S356" s="1"/>
      <c r="T356" s="1"/>
      <c r="U356" s="1"/>
      <c r="V356" s="1"/>
      <c r="W356" s="1"/>
      <c r="X356" s="1"/>
      <c r="Y356" s="1"/>
      <c r="Z356" s="1"/>
      <c r="AA356" s="1"/>
      <c r="AB356" s="1"/>
      <c r="AC356" s="1"/>
      <c r="AD356" s="1"/>
      <c r="AE356" s="1"/>
      <c r="AF356" s="1"/>
      <c r="AG356" s="1"/>
      <c r="AH356" s="1"/>
      <c r="AI356" s="1"/>
      <c r="AJ356" s="1"/>
      <c r="AK356" s="1"/>
    </row>
    <row r="357" spans="1:37" ht="12.75" customHeight="1">
      <c r="A357" s="1"/>
      <c r="B357" s="1"/>
      <c r="C357" s="1"/>
      <c r="D357" s="1"/>
      <c r="E357" s="1"/>
      <c r="F357" s="2"/>
      <c r="G357" s="2"/>
      <c r="H357" s="2"/>
      <c r="I357" s="2"/>
      <c r="J357" s="2"/>
      <c r="K357" s="2"/>
      <c r="L357" s="2"/>
      <c r="M357" s="2"/>
      <c r="N357" s="3"/>
      <c r="O357" s="3"/>
      <c r="P357" s="3"/>
      <c r="Q357" s="1"/>
      <c r="R357" s="1"/>
      <c r="S357" s="1"/>
      <c r="T357" s="1"/>
      <c r="U357" s="1"/>
      <c r="V357" s="1"/>
      <c r="W357" s="1"/>
      <c r="X357" s="1"/>
      <c r="Y357" s="1"/>
      <c r="Z357" s="1"/>
      <c r="AA357" s="1"/>
      <c r="AB357" s="1"/>
      <c r="AC357" s="1"/>
      <c r="AD357" s="1"/>
      <c r="AE357" s="1"/>
      <c r="AF357" s="1"/>
      <c r="AG357" s="1"/>
      <c r="AH357" s="1"/>
      <c r="AI357" s="1"/>
      <c r="AJ357" s="1"/>
      <c r="AK357" s="1"/>
    </row>
    <row r="358" spans="1:37" ht="12.75" customHeight="1">
      <c r="A358" s="1"/>
      <c r="B358" s="1"/>
      <c r="C358" s="1"/>
      <c r="D358" s="1"/>
      <c r="E358" s="1"/>
      <c r="F358" s="2"/>
      <c r="G358" s="2"/>
      <c r="H358" s="2"/>
      <c r="I358" s="2"/>
      <c r="J358" s="2"/>
      <c r="K358" s="2"/>
      <c r="L358" s="2"/>
      <c r="M358" s="2"/>
      <c r="N358" s="3"/>
      <c r="O358" s="3"/>
      <c r="P358" s="3"/>
      <c r="Q358" s="1"/>
      <c r="R358" s="1"/>
      <c r="S358" s="1"/>
      <c r="T358" s="1"/>
      <c r="U358" s="1"/>
      <c r="V358" s="1"/>
      <c r="W358" s="1"/>
      <c r="X358" s="1"/>
      <c r="Y358" s="1"/>
      <c r="Z358" s="1"/>
      <c r="AA358" s="1"/>
      <c r="AB358" s="1"/>
      <c r="AC358" s="1"/>
      <c r="AD358" s="1"/>
      <c r="AE358" s="1"/>
      <c r="AF358" s="1"/>
      <c r="AG358" s="1"/>
      <c r="AH358" s="1"/>
      <c r="AI358" s="1"/>
      <c r="AJ358" s="1"/>
      <c r="AK358" s="1"/>
    </row>
    <row r="359" spans="1:37" ht="12.75" customHeight="1">
      <c r="A359" s="1"/>
      <c r="B359" s="1"/>
      <c r="C359" s="1"/>
      <c r="D359" s="1"/>
      <c r="E359" s="1"/>
      <c r="F359" s="2"/>
      <c r="G359" s="2"/>
      <c r="H359" s="2"/>
      <c r="I359" s="2"/>
      <c r="J359" s="2"/>
      <c r="K359" s="2"/>
      <c r="L359" s="2"/>
      <c r="M359" s="2"/>
      <c r="N359" s="3"/>
      <c r="O359" s="3"/>
      <c r="P359" s="3"/>
      <c r="Q359" s="1"/>
      <c r="R359" s="1"/>
      <c r="S359" s="1"/>
      <c r="T359" s="1"/>
      <c r="U359" s="1"/>
      <c r="V359" s="1"/>
      <c r="W359" s="1"/>
      <c r="X359" s="1"/>
      <c r="Y359" s="1"/>
      <c r="Z359" s="1"/>
      <c r="AA359" s="1"/>
      <c r="AB359" s="1"/>
      <c r="AC359" s="1"/>
      <c r="AD359" s="1"/>
      <c r="AE359" s="1"/>
      <c r="AF359" s="1"/>
      <c r="AG359" s="1"/>
      <c r="AH359" s="1"/>
      <c r="AI359" s="1"/>
      <c r="AJ359" s="1"/>
      <c r="AK359" s="1"/>
    </row>
    <row r="360" spans="1:37" ht="12.75" customHeight="1">
      <c r="A360" s="1"/>
      <c r="B360" s="1"/>
      <c r="C360" s="1"/>
      <c r="D360" s="1"/>
      <c r="E360" s="1"/>
      <c r="F360" s="2"/>
      <c r="G360" s="2"/>
      <c r="H360" s="2"/>
      <c r="I360" s="2"/>
      <c r="J360" s="2"/>
      <c r="K360" s="2"/>
      <c r="L360" s="2"/>
      <c r="M360" s="2"/>
      <c r="N360" s="3"/>
      <c r="O360" s="3"/>
      <c r="P360" s="3"/>
      <c r="Q360" s="1"/>
      <c r="R360" s="1"/>
      <c r="S360" s="1"/>
      <c r="T360" s="1"/>
      <c r="U360" s="1"/>
      <c r="V360" s="1"/>
      <c r="W360" s="1"/>
      <c r="X360" s="1"/>
      <c r="Y360" s="1"/>
      <c r="Z360" s="1"/>
      <c r="AA360" s="1"/>
      <c r="AB360" s="1"/>
      <c r="AC360" s="1"/>
      <c r="AD360" s="1"/>
      <c r="AE360" s="1"/>
      <c r="AF360" s="1"/>
      <c r="AG360" s="1"/>
      <c r="AH360" s="1"/>
      <c r="AI360" s="1"/>
      <c r="AJ360" s="1"/>
      <c r="AK360" s="1"/>
    </row>
    <row r="361" spans="1:37" ht="12.75" customHeight="1">
      <c r="A361" s="1"/>
      <c r="B361" s="1"/>
      <c r="C361" s="1"/>
      <c r="D361" s="1"/>
      <c r="E361" s="1"/>
      <c r="F361" s="2"/>
      <c r="G361" s="2"/>
      <c r="H361" s="2"/>
      <c r="I361" s="2"/>
      <c r="J361" s="2"/>
      <c r="K361" s="2"/>
      <c r="L361" s="2"/>
      <c r="M361" s="2"/>
      <c r="N361" s="3"/>
      <c r="O361" s="3"/>
      <c r="P361" s="3"/>
      <c r="Q361" s="1"/>
      <c r="R361" s="1"/>
      <c r="S361" s="1"/>
      <c r="T361" s="1"/>
      <c r="U361" s="1"/>
      <c r="V361" s="1"/>
      <c r="W361" s="1"/>
      <c r="X361" s="1"/>
      <c r="Y361" s="1"/>
      <c r="Z361" s="1"/>
      <c r="AA361" s="1"/>
      <c r="AB361" s="1"/>
      <c r="AC361" s="1"/>
      <c r="AD361" s="1"/>
      <c r="AE361" s="1"/>
      <c r="AF361" s="1"/>
      <c r="AG361" s="1"/>
      <c r="AH361" s="1"/>
      <c r="AI361" s="1"/>
      <c r="AJ361" s="1"/>
      <c r="AK361" s="1"/>
    </row>
    <row r="362" spans="1:37" ht="12.75" customHeight="1">
      <c r="A362" s="1"/>
      <c r="B362" s="1"/>
      <c r="C362" s="1"/>
      <c r="D362" s="1"/>
      <c r="E362" s="1"/>
      <c r="F362" s="2"/>
      <c r="G362" s="2"/>
      <c r="H362" s="2"/>
      <c r="I362" s="2"/>
      <c r="J362" s="2"/>
      <c r="K362" s="2"/>
      <c r="L362" s="2"/>
      <c r="M362" s="2"/>
      <c r="N362" s="3"/>
      <c r="O362" s="3"/>
      <c r="P362" s="3"/>
      <c r="Q362" s="1"/>
      <c r="R362" s="1"/>
      <c r="S362" s="1"/>
      <c r="T362" s="1"/>
      <c r="U362" s="1"/>
      <c r="V362" s="1"/>
      <c r="W362" s="1"/>
      <c r="X362" s="1"/>
      <c r="Y362" s="1"/>
      <c r="Z362" s="1"/>
      <c r="AA362" s="1"/>
      <c r="AB362" s="1"/>
      <c r="AC362" s="1"/>
      <c r="AD362" s="1"/>
      <c r="AE362" s="1"/>
      <c r="AF362" s="1"/>
      <c r="AG362" s="1"/>
      <c r="AH362" s="1"/>
      <c r="AI362" s="1"/>
      <c r="AJ362" s="1"/>
      <c r="AK362" s="1"/>
    </row>
    <row r="363" spans="1:37" ht="12.75" customHeight="1">
      <c r="A363" s="1"/>
      <c r="B363" s="1"/>
      <c r="C363" s="1"/>
      <c r="D363" s="1"/>
      <c r="E363" s="1"/>
      <c r="F363" s="2"/>
      <c r="G363" s="2"/>
      <c r="H363" s="2"/>
      <c r="I363" s="2"/>
      <c r="J363" s="2"/>
      <c r="K363" s="2"/>
      <c r="L363" s="2"/>
      <c r="M363" s="2"/>
      <c r="N363" s="3"/>
      <c r="O363" s="3"/>
      <c r="P363" s="3"/>
      <c r="Q363" s="1"/>
      <c r="R363" s="1"/>
      <c r="S363" s="1"/>
      <c r="T363" s="1"/>
      <c r="U363" s="1"/>
      <c r="V363" s="1"/>
      <c r="W363" s="1"/>
      <c r="X363" s="1"/>
      <c r="Y363" s="1"/>
      <c r="Z363" s="1"/>
      <c r="AA363" s="1"/>
      <c r="AB363" s="1"/>
      <c r="AC363" s="1"/>
      <c r="AD363" s="1"/>
      <c r="AE363" s="1"/>
      <c r="AF363" s="1"/>
      <c r="AG363" s="1"/>
      <c r="AH363" s="1"/>
      <c r="AI363" s="1"/>
      <c r="AJ363" s="1"/>
      <c r="AK363" s="1"/>
    </row>
    <row r="364" spans="1:37" ht="12.75" customHeight="1">
      <c r="A364" s="1"/>
      <c r="B364" s="1"/>
      <c r="C364" s="1"/>
      <c r="D364" s="1"/>
      <c r="E364" s="1"/>
      <c r="F364" s="2"/>
      <c r="G364" s="2"/>
      <c r="H364" s="2"/>
      <c r="I364" s="2"/>
      <c r="J364" s="2"/>
      <c r="K364" s="2"/>
      <c r="L364" s="2"/>
      <c r="M364" s="2"/>
      <c r="N364" s="3"/>
      <c r="O364" s="3"/>
      <c r="P364" s="3"/>
      <c r="Q364" s="1"/>
      <c r="R364" s="1"/>
      <c r="S364" s="1"/>
      <c r="T364" s="1"/>
      <c r="U364" s="1"/>
      <c r="V364" s="1"/>
      <c r="W364" s="1"/>
      <c r="X364" s="1"/>
      <c r="Y364" s="1"/>
      <c r="Z364" s="1"/>
      <c r="AA364" s="1"/>
      <c r="AB364" s="1"/>
      <c r="AC364" s="1"/>
      <c r="AD364" s="1"/>
      <c r="AE364" s="1"/>
      <c r="AF364" s="1"/>
      <c r="AG364" s="1"/>
      <c r="AH364" s="1"/>
      <c r="AI364" s="1"/>
      <c r="AJ364" s="1"/>
      <c r="AK364" s="1"/>
    </row>
    <row r="365" spans="1:37" ht="12.75" customHeight="1">
      <c r="A365" s="1"/>
      <c r="B365" s="1"/>
      <c r="C365" s="1"/>
      <c r="D365" s="1"/>
      <c r="E365" s="1"/>
      <c r="F365" s="2"/>
      <c r="G365" s="2"/>
      <c r="H365" s="2"/>
      <c r="I365" s="2"/>
      <c r="J365" s="2"/>
      <c r="K365" s="2"/>
      <c r="L365" s="2"/>
      <c r="M365" s="2"/>
      <c r="N365" s="3"/>
      <c r="O365" s="3"/>
      <c r="P365" s="3"/>
      <c r="Q365" s="1"/>
      <c r="R365" s="1"/>
      <c r="S365" s="1"/>
      <c r="T365" s="1"/>
      <c r="U365" s="1"/>
      <c r="V365" s="1"/>
      <c r="W365" s="1"/>
      <c r="X365" s="1"/>
      <c r="Y365" s="1"/>
      <c r="Z365" s="1"/>
      <c r="AA365" s="1"/>
      <c r="AB365" s="1"/>
      <c r="AC365" s="1"/>
      <c r="AD365" s="1"/>
      <c r="AE365" s="1"/>
      <c r="AF365" s="1"/>
      <c r="AG365" s="1"/>
      <c r="AH365" s="1"/>
      <c r="AI365" s="1"/>
      <c r="AJ365" s="1"/>
      <c r="AK365" s="1"/>
    </row>
    <row r="366" spans="1:37" ht="12.75" customHeight="1">
      <c r="A366" s="1"/>
      <c r="B366" s="1"/>
      <c r="C366" s="1"/>
      <c r="D366" s="1"/>
      <c r="E366" s="1"/>
      <c r="F366" s="2"/>
      <c r="G366" s="2"/>
      <c r="H366" s="2"/>
      <c r="I366" s="2"/>
      <c r="J366" s="2"/>
      <c r="K366" s="2"/>
      <c r="L366" s="2"/>
      <c r="M366" s="2"/>
      <c r="N366" s="3"/>
      <c r="O366" s="3"/>
      <c r="P366" s="3"/>
      <c r="Q366" s="1"/>
      <c r="R366" s="1"/>
      <c r="S366" s="1"/>
      <c r="T366" s="1"/>
      <c r="U366" s="1"/>
      <c r="V366" s="1"/>
      <c r="W366" s="1"/>
      <c r="X366" s="1"/>
      <c r="Y366" s="1"/>
      <c r="Z366" s="1"/>
      <c r="AA366" s="1"/>
      <c r="AB366" s="1"/>
      <c r="AC366" s="1"/>
      <c r="AD366" s="1"/>
      <c r="AE366" s="1"/>
      <c r="AF366" s="1"/>
      <c r="AG366" s="1"/>
      <c r="AH366" s="1"/>
      <c r="AI366" s="1"/>
      <c r="AJ366" s="1"/>
      <c r="AK366" s="1"/>
    </row>
    <row r="367" spans="1:37" ht="12.75" customHeight="1">
      <c r="A367" s="1"/>
      <c r="B367" s="1"/>
      <c r="C367" s="1"/>
      <c r="D367" s="1"/>
      <c r="E367" s="1"/>
      <c r="F367" s="2"/>
      <c r="G367" s="2"/>
      <c r="H367" s="2"/>
      <c r="I367" s="2"/>
      <c r="J367" s="2"/>
      <c r="K367" s="2"/>
      <c r="L367" s="2"/>
      <c r="M367" s="2"/>
      <c r="N367" s="3"/>
      <c r="O367" s="3"/>
      <c r="P367" s="3"/>
      <c r="Q367" s="1"/>
      <c r="R367" s="1"/>
      <c r="S367" s="1"/>
      <c r="T367" s="1"/>
      <c r="U367" s="1"/>
      <c r="V367" s="1"/>
      <c r="W367" s="1"/>
      <c r="X367" s="1"/>
      <c r="Y367" s="1"/>
      <c r="Z367" s="1"/>
      <c r="AA367" s="1"/>
      <c r="AB367" s="1"/>
      <c r="AC367" s="1"/>
      <c r="AD367" s="1"/>
      <c r="AE367" s="1"/>
      <c r="AF367" s="1"/>
      <c r="AG367" s="1"/>
      <c r="AH367" s="1"/>
      <c r="AI367" s="1"/>
      <c r="AJ367" s="1"/>
      <c r="AK367" s="1"/>
    </row>
    <row r="368" spans="1:37" ht="12.75" customHeight="1">
      <c r="A368" s="1"/>
      <c r="B368" s="1"/>
      <c r="C368" s="1"/>
      <c r="D368" s="1"/>
      <c r="E368" s="1"/>
      <c r="F368" s="2"/>
      <c r="G368" s="2"/>
      <c r="H368" s="2"/>
      <c r="I368" s="2"/>
      <c r="J368" s="2"/>
      <c r="K368" s="2"/>
      <c r="L368" s="2"/>
      <c r="M368" s="2"/>
      <c r="N368" s="3"/>
      <c r="O368" s="3"/>
      <c r="P368" s="3"/>
      <c r="Q368" s="1"/>
      <c r="R368" s="1"/>
      <c r="S368" s="1"/>
      <c r="T368" s="1"/>
      <c r="U368" s="1"/>
      <c r="V368" s="1"/>
      <c r="W368" s="1"/>
      <c r="X368" s="1"/>
      <c r="Y368" s="1"/>
      <c r="Z368" s="1"/>
      <c r="AA368" s="1"/>
      <c r="AB368" s="1"/>
      <c r="AC368" s="1"/>
      <c r="AD368" s="1"/>
      <c r="AE368" s="1"/>
      <c r="AF368" s="1"/>
      <c r="AG368" s="1"/>
      <c r="AH368" s="1"/>
      <c r="AI368" s="1"/>
      <c r="AJ368" s="1"/>
      <c r="AK368" s="1"/>
    </row>
    <row r="369" spans="1:37" ht="12.75" customHeight="1">
      <c r="A369" s="1"/>
      <c r="B369" s="1"/>
      <c r="C369" s="1"/>
      <c r="D369" s="1"/>
      <c r="E369" s="1"/>
      <c r="F369" s="2"/>
      <c r="G369" s="2"/>
      <c r="H369" s="2"/>
      <c r="I369" s="2"/>
      <c r="J369" s="2"/>
      <c r="K369" s="2"/>
      <c r="L369" s="2"/>
      <c r="M369" s="2"/>
      <c r="N369" s="3"/>
      <c r="O369" s="3"/>
      <c r="P369" s="3"/>
      <c r="Q369" s="1"/>
      <c r="R369" s="1"/>
      <c r="S369" s="1"/>
      <c r="T369" s="1"/>
      <c r="U369" s="1"/>
      <c r="V369" s="1"/>
      <c r="W369" s="1"/>
      <c r="X369" s="1"/>
      <c r="Y369" s="1"/>
      <c r="Z369" s="1"/>
      <c r="AA369" s="1"/>
      <c r="AB369" s="1"/>
      <c r="AC369" s="1"/>
      <c r="AD369" s="1"/>
      <c r="AE369" s="1"/>
      <c r="AF369" s="1"/>
      <c r="AG369" s="1"/>
      <c r="AH369" s="1"/>
      <c r="AI369" s="1"/>
      <c r="AJ369" s="1"/>
      <c r="AK369" s="1"/>
    </row>
    <row r="370" spans="1:37" ht="12.75" customHeight="1">
      <c r="A370" s="1"/>
      <c r="B370" s="1"/>
      <c r="C370" s="1"/>
      <c r="D370" s="1"/>
      <c r="E370" s="1"/>
      <c r="F370" s="2"/>
      <c r="G370" s="2"/>
      <c r="H370" s="2"/>
      <c r="I370" s="2"/>
      <c r="J370" s="2"/>
      <c r="K370" s="2"/>
      <c r="L370" s="2"/>
      <c r="M370" s="2"/>
      <c r="N370" s="3"/>
      <c r="O370" s="3"/>
      <c r="P370" s="3"/>
      <c r="Q370" s="1"/>
      <c r="R370" s="1"/>
      <c r="S370" s="1"/>
      <c r="T370" s="1"/>
      <c r="U370" s="1"/>
      <c r="V370" s="1"/>
      <c r="W370" s="1"/>
      <c r="X370" s="1"/>
      <c r="Y370" s="1"/>
      <c r="Z370" s="1"/>
      <c r="AA370" s="1"/>
      <c r="AB370" s="1"/>
      <c r="AC370" s="1"/>
      <c r="AD370" s="1"/>
      <c r="AE370" s="1"/>
      <c r="AF370" s="1"/>
      <c r="AG370" s="1"/>
      <c r="AH370" s="1"/>
      <c r="AI370" s="1"/>
      <c r="AJ370" s="1"/>
      <c r="AK370" s="1"/>
    </row>
    <row r="371" spans="1:37" ht="12.75" customHeight="1">
      <c r="A371" s="1"/>
      <c r="B371" s="1"/>
      <c r="C371" s="1"/>
      <c r="D371" s="1"/>
      <c r="E371" s="1"/>
      <c r="F371" s="2"/>
      <c r="G371" s="2"/>
      <c r="H371" s="2"/>
      <c r="I371" s="2"/>
      <c r="J371" s="2"/>
      <c r="K371" s="2"/>
      <c r="L371" s="2"/>
      <c r="M371" s="2"/>
      <c r="N371" s="3"/>
      <c r="O371" s="3"/>
      <c r="P371" s="3"/>
      <c r="Q371" s="1"/>
      <c r="R371" s="1"/>
      <c r="S371" s="1"/>
      <c r="T371" s="1"/>
      <c r="U371" s="1"/>
      <c r="V371" s="1"/>
      <c r="W371" s="1"/>
      <c r="X371" s="1"/>
      <c r="Y371" s="1"/>
      <c r="Z371" s="1"/>
      <c r="AA371" s="1"/>
      <c r="AB371" s="1"/>
      <c r="AC371" s="1"/>
      <c r="AD371" s="1"/>
      <c r="AE371" s="1"/>
      <c r="AF371" s="1"/>
      <c r="AG371" s="1"/>
      <c r="AH371" s="1"/>
      <c r="AI371" s="1"/>
      <c r="AJ371" s="1"/>
      <c r="AK371" s="1"/>
    </row>
    <row r="372" spans="1:37" ht="12.75" customHeight="1">
      <c r="A372" s="1"/>
      <c r="B372" s="1"/>
      <c r="C372" s="1"/>
      <c r="D372" s="1"/>
      <c r="E372" s="1"/>
      <c r="F372" s="2"/>
      <c r="G372" s="2"/>
      <c r="H372" s="2"/>
      <c r="I372" s="2"/>
      <c r="J372" s="2"/>
      <c r="K372" s="2"/>
      <c r="L372" s="2"/>
      <c r="M372" s="2"/>
      <c r="N372" s="3"/>
      <c r="O372" s="3"/>
      <c r="P372" s="3"/>
      <c r="Q372" s="1"/>
      <c r="R372" s="1"/>
      <c r="S372" s="1"/>
      <c r="T372" s="1"/>
      <c r="U372" s="1"/>
      <c r="V372" s="1"/>
      <c r="W372" s="1"/>
      <c r="X372" s="1"/>
      <c r="Y372" s="1"/>
      <c r="Z372" s="1"/>
      <c r="AA372" s="1"/>
      <c r="AB372" s="1"/>
      <c r="AC372" s="1"/>
      <c r="AD372" s="1"/>
      <c r="AE372" s="1"/>
      <c r="AF372" s="1"/>
      <c r="AG372" s="1"/>
      <c r="AH372" s="1"/>
      <c r="AI372" s="1"/>
      <c r="AJ372" s="1"/>
      <c r="AK372" s="1"/>
    </row>
    <row r="373" spans="1:37" ht="12.75" customHeight="1">
      <c r="A373" s="1"/>
      <c r="B373" s="1"/>
      <c r="C373" s="1"/>
      <c r="D373" s="1"/>
      <c r="E373" s="1"/>
      <c r="F373" s="2"/>
      <c r="G373" s="2"/>
      <c r="H373" s="2"/>
      <c r="I373" s="2"/>
      <c r="J373" s="2"/>
      <c r="K373" s="2"/>
      <c r="L373" s="2"/>
      <c r="M373" s="2"/>
      <c r="N373" s="3"/>
      <c r="O373" s="3"/>
      <c r="P373" s="3"/>
      <c r="Q373" s="1"/>
      <c r="R373" s="1"/>
      <c r="S373" s="1"/>
      <c r="T373" s="1"/>
      <c r="U373" s="1"/>
      <c r="V373" s="1"/>
      <c r="W373" s="1"/>
      <c r="X373" s="1"/>
      <c r="Y373" s="1"/>
      <c r="Z373" s="1"/>
      <c r="AA373" s="1"/>
      <c r="AB373" s="1"/>
      <c r="AC373" s="1"/>
      <c r="AD373" s="1"/>
      <c r="AE373" s="1"/>
      <c r="AF373" s="1"/>
      <c r="AG373" s="1"/>
      <c r="AH373" s="1"/>
      <c r="AI373" s="1"/>
      <c r="AJ373" s="1"/>
      <c r="AK373" s="1"/>
    </row>
    <row r="374" spans="1:37" ht="12.75" customHeight="1">
      <c r="A374" s="1"/>
      <c r="B374" s="1"/>
      <c r="C374" s="1"/>
      <c r="D374" s="1"/>
      <c r="E374" s="1"/>
      <c r="F374" s="2"/>
      <c r="G374" s="2"/>
      <c r="H374" s="2"/>
      <c r="I374" s="2"/>
      <c r="J374" s="2"/>
      <c r="K374" s="2"/>
      <c r="L374" s="2"/>
      <c r="M374" s="2"/>
      <c r="N374" s="3"/>
      <c r="O374" s="3"/>
      <c r="P374" s="3"/>
      <c r="Q374" s="1"/>
      <c r="R374" s="1"/>
      <c r="S374" s="1"/>
      <c r="T374" s="1"/>
      <c r="U374" s="1"/>
      <c r="V374" s="1"/>
      <c r="W374" s="1"/>
      <c r="X374" s="1"/>
      <c r="Y374" s="1"/>
      <c r="Z374" s="1"/>
      <c r="AA374" s="1"/>
      <c r="AB374" s="1"/>
      <c r="AC374" s="1"/>
      <c r="AD374" s="1"/>
      <c r="AE374" s="1"/>
      <c r="AF374" s="1"/>
      <c r="AG374" s="1"/>
      <c r="AH374" s="1"/>
      <c r="AI374" s="1"/>
      <c r="AJ374" s="1"/>
      <c r="AK374" s="1"/>
    </row>
    <row r="375" spans="1:37" ht="12.75" customHeight="1">
      <c r="A375" s="1"/>
      <c r="B375" s="1"/>
      <c r="C375" s="1"/>
      <c r="D375" s="1"/>
      <c r="E375" s="1"/>
      <c r="F375" s="2"/>
      <c r="G375" s="2"/>
      <c r="H375" s="2"/>
      <c r="I375" s="2"/>
      <c r="J375" s="2"/>
      <c r="K375" s="2"/>
      <c r="L375" s="2"/>
      <c r="M375" s="2"/>
      <c r="N375" s="3"/>
      <c r="O375" s="3"/>
      <c r="P375" s="3"/>
      <c r="Q375" s="1"/>
      <c r="R375" s="1"/>
      <c r="S375" s="1"/>
      <c r="T375" s="1"/>
      <c r="U375" s="1"/>
      <c r="V375" s="1"/>
      <c r="W375" s="1"/>
      <c r="X375" s="1"/>
      <c r="Y375" s="1"/>
      <c r="Z375" s="1"/>
      <c r="AA375" s="1"/>
      <c r="AB375" s="1"/>
      <c r="AC375" s="1"/>
      <c r="AD375" s="1"/>
      <c r="AE375" s="1"/>
      <c r="AF375" s="1"/>
      <c r="AG375" s="1"/>
      <c r="AH375" s="1"/>
      <c r="AI375" s="1"/>
      <c r="AJ375" s="1"/>
      <c r="AK375" s="1"/>
    </row>
    <row r="376" spans="1:37" ht="12.75" customHeight="1">
      <c r="A376" s="1"/>
      <c r="B376" s="1"/>
      <c r="C376" s="1"/>
      <c r="D376" s="1"/>
      <c r="E376" s="1"/>
      <c r="F376" s="2"/>
      <c r="G376" s="2"/>
      <c r="H376" s="2"/>
      <c r="I376" s="2"/>
      <c r="J376" s="2"/>
      <c r="K376" s="2"/>
      <c r="L376" s="2"/>
      <c r="M376" s="2"/>
      <c r="N376" s="3"/>
      <c r="O376" s="3"/>
      <c r="P376" s="3"/>
      <c r="Q376" s="1"/>
      <c r="R376" s="1"/>
      <c r="S376" s="1"/>
      <c r="T376" s="1"/>
      <c r="U376" s="1"/>
      <c r="V376" s="1"/>
      <c r="W376" s="1"/>
      <c r="X376" s="1"/>
      <c r="Y376" s="1"/>
      <c r="Z376" s="1"/>
      <c r="AA376" s="1"/>
      <c r="AB376" s="1"/>
      <c r="AC376" s="1"/>
      <c r="AD376" s="1"/>
      <c r="AE376" s="1"/>
      <c r="AF376" s="1"/>
      <c r="AG376" s="1"/>
      <c r="AH376" s="1"/>
      <c r="AI376" s="1"/>
      <c r="AJ376" s="1"/>
      <c r="AK376" s="1"/>
    </row>
    <row r="377" spans="1:37" ht="12.75" customHeight="1">
      <c r="A377" s="1"/>
      <c r="B377" s="1"/>
      <c r="C377" s="1"/>
      <c r="D377" s="1"/>
      <c r="E377" s="1"/>
      <c r="F377" s="2"/>
      <c r="G377" s="2"/>
      <c r="H377" s="2"/>
      <c r="I377" s="2"/>
      <c r="J377" s="2"/>
      <c r="K377" s="2"/>
      <c r="L377" s="2"/>
      <c r="M377" s="2"/>
      <c r="N377" s="3"/>
      <c r="O377" s="3"/>
      <c r="P377" s="3"/>
      <c r="Q377" s="1"/>
      <c r="R377" s="1"/>
      <c r="S377" s="1"/>
      <c r="T377" s="1"/>
      <c r="U377" s="1"/>
      <c r="V377" s="1"/>
      <c r="W377" s="1"/>
      <c r="X377" s="1"/>
      <c r="Y377" s="1"/>
      <c r="Z377" s="1"/>
      <c r="AA377" s="1"/>
      <c r="AB377" s="1"/>
      <c r="AC377" s="1"/>
      <c r="AD377" s="1"/>
      <c r="AE377" s="1"/>
      <c r="AF377" s="1"/>
      <c r="AG377" s="1"/>
      <c r="AH377" s="1"/>
      <c r="AI377" s="1"/>
      <c r="AJ377" s="1"/>
      <c r="AK377" s="1"/>
    </row>
    <row r="378" spans="1:37" ht="12.75" customHeight="1">
      <c r="A378" s="1"/>
      <c r="B378" s="1"/>
      <c r="C378" s="1"/>
      <c r="D378" s="1"/>
      <c r="E378" s="1"/>
      <c r="F378" s="2"/>
      <c r="G378" s="2"/>
      <c r="H378" s="2"/>
      <c r="I378" s="2"/>
      <c r="J378" s="2"/>
      <c r="K378" s="2"/>
      <c r="L378" s="2"/>
      <c r="M378" s="2"/>
      <c r="N378" s="3"/>
      <c r="O378" s="3"/>
      <c r="P378" s="3"/>
      <c r="Q378" s="1"/>
      <c r="R378" s="1"/>
      <c r="S378" s="1"/>
      <c r="T378" s="1"/>
      <c r="U378" s="1"/>
      <c r="V378" s="1"/>
      <c r="W378" s="1"/>
      <c r="X378" s="1"/>
      <c r="Y378" s="1"/>
      <c r="Z378" s="1"/>
      <c r="AA378" s="1"/>
      <c r="AB378" s="1"/>
      <c r="AC378" s="1"/>
      <c r="AD378" s="1"/>
      <c r="AE378" s="1"/>
      <c r="AF378" s="1"/>
      <c r="AG378" s="1"/>
      <c r="AH378" s="1"/>
      <c r="AI378" s="1"/>
      <c r="AJ378" s="1"/>
      <c r="AK378" s="1"/>
    </row>
    <row r="379" spans="1:37" ht="12.75" customHeight="1">
      <c r="A379" s="1"/>
      <c r="B379" s="1"/>
      <c r="C379" s="1"/>
      <c r="D379" s="1"/>
      <c r="E379" s="1"/>
      <c r="F379" s="2"/>
      <c r="G379" s="2"/>
      <c r="H379" s="2"/>
      <c r="I379" s="2"/>
      <c r="J379" s="2"/>
      <c r="K379" s="2"/>
      <c r="L379" s="2"/>
      <c r="M379" s="2"/>
      <c r="N379" s="3"/>
      <c r="O379" s="3"/>
      <c r="P379" s="3"/>
      <c r="Q379" s="1"/>
      <c r="R379" s="1"/>
      <c r="S379" s="1"/>
      <c r="T379" s="1"/>
      <c r="U379" s="1"/>
      <c r="V379" s="1"/>
      <c r="W379" s="1"/>
      <c r="X379" s="1"/>
      <c r="Y379" s="1"/>
      <c r="Z379" s="1"/>
      <c r="AA379" s="1"/>
      <c r="AB379" s="1"/>
      <c r="AC379" s="1"/>
      <c r="AD379" s="1"/>
      <c r="AE379" s="1"/>
      <c r="AF379" s="1"/>
      <c r="AG379" s="1"/>
      <c r="AH379" s="1"/>
      <c r="AI379" s="1"/>
      <c r="AJ379" s="1"/>
      <c r="AK379" s="1"/>
    </row>
    <row r="380" spans="1:37" ht="12.75" customHeight="1">
      <c r="A380" s="1"/>
      <c r="B380" s="1"/>
      <c r="C380" s="1"/>
      <c r="D380" s="1"/>
      <c r="E380" s="1"/>
      <c r="F380" s="2"/>
      <c r="G380" s="2"/>
      <c r="H380" s="2"/>
      <c r="I380" s="2"/>
      <c r="J380" s="2"/>
      <c r="K380" s="2"/>
      <c r="L380" s="2"/>
      <c r="M380" s="2"/>
      <c r="N380" s="3"/>
      <c r="O380" s="3"/>
      <c r="P380" s="3"/>
      <c r="Q380" s="1"/>
      <c r="R380" s="1"/>
      <c r="S380" s="1"/>
      <c r="T380" s="1"/>
      <c r="U380" s="1"/>
      <c r="V380" s="1"/>
      <c r="W380" s="1"/>
      <c r="X380" s="1"/>
      <c r="Y380" s="1"/>
      <c r="Z380" s="1"/>
      <c r="AA380" s="1"/>
      <c r="AB380" s="1"/>
      <c r="AC380" s="1"/>
      <c r="AD380" s="1"/>
      <c r="AE380" s="1"/>
      <c r="AF380" s="1"/>
      <c r="AG380" s="1"/>
      <c r="AH380" s="1"/>
      <c r="AI380" s="1"/>
      <c r="AJ380" s="1"/>
      <c r="AK380" s="1"/>
    </row>
    <row r="381" spans="1:37" ht="12.75" customHeight="1">
      <c r="A381" s="1"/>
      <c r="B381" s="1"/>
      <c r="C381" s="1"/>
      <c r="D381" s="1"/>
      <c r="E381" s="1"/>
      <c r="F381" s="2"/>
      <c r="G381" s="2"/>
      <c r="H381" s="2"/>
      <c r="I381" s="2"/>
      <c r="J381" s="2"/>
      <c r="K381" s="2"/>
      <c r="L381" s="2"/>
      <c r="M381" s="2"/>
      <c r="N381" s="3"/>
      <c r="O381" s="3"/>
      <c r="P381" s="3"/>
      <c r="Q381" s="1"/>
      <c r="R381" s="1"/>
      <c r="S381" s="1"/>
      <c r="T381" s="1"/>
      <c r="U381" s="1"/>
      <c r="V381" s="1"/>
      <c r="W381" s="1"/>
      <c r="X381" s="1"/>
      <c r="Y381" s="1"/>
      <c r="Z381" s="1"/>
      <c r="AA381" s="1"/>
      <c r="AB381" s="1"/>
      <c r="AC381" s="1"/>
      <c r="AD381" s="1"/>
      <c r="AE381" s="1"/>
      <c r="AF381" s="1"/>
      <c r="AG381" s="1"/>
      <c r="AH381" s="1"/>
      <c r="AI381" s="1"/>
      <c r="AJ381" s="1"/>
      <c r="AK381" s="1"/>
    </row>
    <row r="382" spans="1:37" ht="12.75" customHeight="1">
      <c r="A382" s="1"/>
      <c r="B382" s="1"/>
      <c r="C382" s="1"/>
      <c r="D382" s="1"/>
      <c r="E382" s="1"/>
      <c r="F382" s="2"/>
      <c r="G382" s="2"/>
      <c r="H382" s="2"/>
      <c r="I382" s="2"/>
      <c r="J382" s="2"/>
      <c r="K382" s="2"/>
      <c r="L382" s="2"/>
      <c r="M382" s="2"/>
      <c r="N382" s="3"/>
      <c r="O382" s="3"/>
      <c r="P382" s="3"/>
      <c r="Q382" s="1"/>
      <c r="R382" s="1"/>
      <c r="S382" s="1"/>
      <c r="T382" s="1"/>
      <c r="U382" s="1"/>
      <c r="V382" s="1"/>
      <c r="W382" s="1"/>
      <c r="X382" s="1"/>
      <c r="Y382" s="1"/>
      <c r="Z382" s="1"/>
      <c r="AA382" s="1"/>
      <c r="AB382" s="1"/>
      <c r="AC382" s="1"/>
      <c r="AD382" s="1"/>
      <c r="AE382" s="1"/>
      <c r="AF382" s="1"/>
      <c r="AG382" s="1"/>
      <c r="AH382" s="1"/>
      <c r="AI382" s="1"/>
      <c r="AJ382" s="1"/>
      <c r="AK382" s="1"/>
    </row>
    <row r="383" spans="1:37" ht="12.75" customHeight="1">
      <c r="A383" s="1"/>
      <c r="B383" s="1"/>
      <c r="C383" s="1"/>
      <c r="D383" s="1"/>
      <c r="E383" s="1"/>
      <c r="F383" s="2"/>
      <c r="G383" s="2"/>
      <c r="H383" s="2"/>
      <c r="I383" s="2"/>
      <c r="J383" s="2"/>
      <c r="K383" s="2"/>
      <c r="L383" s="2"/>
      <c r="M383" s="2"/>
      <c r="N383" s="3"/>
      <c r="O383" s="3"/>
      <c r="P383" s="3"/>
      <c r="Q383" s="1"/>
      <c r="R383" s="1"/>
      <c r="S383" s="1"/>
      <c r="T383" s="1"/>
      <c r="U383" s="1"/>
      <c r="V383" s="1"/>
      <c r="W383" s="1"/>
      <c r="X383" s="1"/>
      <c r="Y383" s="1"/>
      <c r="Z383" s="1"/>
      <c r="AA383" s="1"/>
      <c r="AB383" s="1"/>
      <c r="AC383" s="1"/>
      <c r="AD383" s="1"/>
      <c r="AE383" s="1"/>
      <c r="AF383" s="1"/>
      <c r="AG383" s="1"/>
      <c r="AH383" s="1"/>
      <c r="AI383" s="1"/>
      <c r="AJ383" s="1"/>
      <c r="AK383" s="1"/>
    </row>
    <row r="384" spans="1:37" ht="12.75" customHeight="1">
      <c r="A384" s="1"/>
      <c r="B384" s="1"/>
      <c r="C384" s="1"/>
      <c r="D384" s="1"/>
      <c r="E384" s="1"/>
      <c r="F384" s="2"/>
      <c r="G384" s="2"/>
      <c r="H384" s="2"/>
      <c r="I384" s="2"/>
      <c r="J384" s="2"/>
      <c r="K384" s="2"/>
      <c r="L384" s="2"/>
      <c r="M384" s="2"/>
      <c r="N384" s="3"/>
      <c r="O384" s="3"/>
      <c r="P384" s="3"/>
      <c r="Q384" s="1"/>
      <c r="R384" s="1"/>
      <c r="S384" s="1"/>
      <c r="T384" s="1"/>
      <c r="U384" s="1"/>
      <c r="V384" s="1"/>
      <c r="W384" s="1"/>
      <c r="X384" s="1"/>
      <c r="Y384" s="1"/>
      <c r="Z384" s="1"/>
      <c r="AA384" s="1"/>
      <c r="AB384" s="1"/>
      <c r="AC384" s="1"/>
      <c r="AD384" s="1"/>
      <c r="AE384" s="1"/>
      <c r="AF384" s="1"/>
      <c r="AG384" s="1"/>
      <c r="AH384" s="1"/>
      <c r="AI384" s="1"/>
      <c r="AJ384" s="1"/>
      <c r="AK384" s="1"/>
    </row>
    <row r="385" spans="1:37" ht="12.75" customHeight="1">
      <c r="A385" s="1"/>
      <c r="B385" s="1"/>
      <c r="C385" s="1"/>
      <c r="D385" s="1"/>
      <c r="E385" s="1"/>
      <c r="F385" s="2"/>
      <c r="G385" s="2"/>
      <c r="H385" s="2"/>
      <c r="I385" s="2"/>
      <c r="J385" s="2"/>
      <c r="K385" s="2"/>
      <c r="L385" s="2"/>
      <c r="M385" s="2"/>
      <c r="N385" s="3"/>
      <c r="O385" s="3"/>
      <c r="P385" s="3"/>
      <c r="Q385" s="1"/>
      <c r="R385" s="1"/>
      <c r="S385" s="1"/>
      <c r="T385" s="1"/>
      <c r="U385" s="1"/>
      <c r="V385" s="1"/>
      <c r="W385" s="1"/>
      <c r="X385" s="1"/>
      <c r="Y385" s="1"/>
      <c r="Z385" s="1"/>
      <c r="AA385" s="1"/>
      <c r="AB385" s="1"/>
      <c r="AC385" s="1"/>
      <c r="AD385" s="1"/>
      <c r="AE385" s="1"/>
      <c r="AF385" s="1"/>
      <c r="AG385" s="1"/>
      <c r="AH385" s="1"/>
      <c r="AI385" s="1"/>
      <c r="AJ385" s="1"/>
      <c r="AK385" s="1"/>
    </row>
    <row r="386" spans="1:37" ht="12.75" customHeight="1">
      <c r="A386" s="1"/>
      <c r="B386" s="1"/>
      <c r="C386" s="1"/>
      <c r="D386" s="1"/>
      <c r="E386" s="1"/>
      <c r="F386" s="2"/>
      <c r="G386" s="2"/>
      <c r="H386" s="2"/>
      <c r="I386" s="2"/>
      <c r="J386" s="2"/>
      <c r="K386" s="2"/>
      <c r="L386" s="2"/>
      <c r="M386" s="2"/>
      <c r="N386" s="3"/>
      <c r="O386" s="3"/>
      <c r="P386" s="3"/>
      <c r="Q386" s="1"/>
      <c r="R386" s="1"/>
      <c r="S386" s="1"/>
      <c r="T386" s="1"/>
      <c r="U386" s="1"/>
      <c r="V386" s="1"/>
      <c r="W386" s="1"/>
      <c r="X386" s="1"/>
      <c r="Y386" s="1"/>
      <c r="Z386" s="1"/>
      <c r="AA386" s="1"/>
      <c r="AB386" s="1"/>
      <c r="AC386" s="1"/>
      <c r="AD386" s="1"/>
      <c r="AE386" s="1"/>
      <c r="AF386" s="1"/>
      <c r="AG386" s="1"/>
      <c r="AH386" s="1"/>
      <c r="AI386" s="1"/>
      <c r="AJ386" s="1"/>
      <c r="AK386" s="1"/>
    </row>
    <row r="387" spans="1:37" ht="12.75" customHeight="1">
      <c r="A387" s="1"/>
      <c r="B387" s="1"/>
      <c r="C387" s="1"/>
      <c r="D387" s="1"/>
      <c r="E387" s="1"/>
      <c r="F387" s="2"/>
      <c r="G387" s="2"/>
      <c r="H387" s="2"/>
      <c r="I387" s="2"/>
      <c r="J387" s="2"/>
      <c r="K387" s="2"/>
      <c r="L387" s="2"/>
      <c r="M387" s="2"/>
      <c r="N387" s="3"/>
      <c r="O387" s="3"/>
      <c r="P387" s="3"/>
      <c r="Q387" s="1"/>
      <c r="R387" s="1"/>
      <c r="S387" s="1"/>
      <c r="T387" s="1"/>
      <c r="U387" s="1"/>
      <c r="V387" s="1"/>
      <c r="W387" s="1"/>
      <c r="X387" s="1"/>
      <c r="Y387" s="1"/>
      <c r="Z387" s="1"/>
      <c r="AA387" s="1"/>
      <c r="AB387" s="1"/>
      <c r="AC387" s="1"/>
      <c r="AD387" s="1"/>
      <c r="AE387" s="1"/>
      <c r="AF387" s="1"/>
      <c r="AG387" s="1"/>
      <c r="AH387" s="1"/>
      <c r="AI387" s="1"/>
      <c r="AJ387" s="1"/>
      <c r="AK387" s="1"/>
    </row>
    <row r="388" spans="1:37" ht="12.75" customHeight="1">
      <c r="A388" s="1"/>
      <c r="B388" s="1"/>
      <c r="C388" s="1"/>
      <c r="D388" s="1"/>
      <c r="E388" s="1"/>
      <c r="F388" s="2"/>
      <c r="G388" s="2"/>
      <c r="H388" s="2"/>
      <c r="I388" s="2"/>
      <c r="J388" s="2"/>
      <c r="K388" s="2"/>
      <c r="L388" s="2"/>
      <c r="M388" s="2"/>
      <c r="N388" s="3"/>
      <c r="O388" s="3"/>
      <c r="P388" s="3"/>
      <c r="Q388" s="1"/>
      <c r="R388" s="1"/>
      <c r="S388" s="1"/>
      <c r="T388" s="1"/>
      <c r="U388" s="1"/>
      <c r="V388" s="1"/>
      <c r="W388" s="1"/>
      <c r="X388" s="1"/>
      <c r="Y388" s="1"/>
      <c r="Z388" s="1"/>
      <c r="AA388" s="1"/>
      <c r="AB388" s="1"/>
      <c r="AC388" s="1"/>
      <c r="AD388" s="1"/>
      <c r="AE388" s="1"/>
      <c r="AF388" s="1"/>
      <c r="AG388" s="1"/>
      <c r="AH388" s="1"/>
      <c r="AI388" s="1"/>
      <c r="AJ388" s="1"/>
      <c r="AK388" s="1"/>
    </row>
    <row r="389" spans="1:37" ht="12.75" customHeight="1">
      <c r="A389" s="1"/>
      <c r="B389" s="1"/>
      <c r="C389" s="1"/>
      <c r="D389" s="1"/>
      <c r="E389" s="1"/>
      <c r="F389" s="2"/>
      <c r="G389" s="2"/>
      <c r="H389" s="2"/>
      <c r="I389" s="2"/>
      <c r="J389" s="2"/>
      <c r="K389" s="2"/>
      <c r="L389" s="2"/>
      <c r="M389" s="2"/>
      <c r="N389" s="3"/>
      <c r="O389" s="3"/>
      <c r="P389" s="3"/>
      <c r="Q389" s="1"/>
      <c r="R389" s="1"/>
      <c r="S389" s="1"/>
      <c r="T389" s="1"/>
      <c r="U389" s="1"/>
      <c r="V389" s="1"/>
      <c r="W389" s="1"/>
      <c r="X389" s="1"/>
      <c r="Y389" s="1"/>
      <c r="Z389" s="1"/>
      <c r="AA389" s="1"/>
      <c r="AB389" s="1"/>
      <c r="AC389" s="1"/>
      <c r="AD389" s="1"/>
      <c r="AE389" s="1"/>
      <c r="AF389" s="1"/>
      <c r="AG389" s="1"/>
      <c r="AH389" s="1"/>
      <c r="AI389" s="1"/>
      <c r="AJ389" s="1"/>
      <c r="AK389" s="1"/>
    </row>
    <row r="390" spans="1:37" ht="12.75" customHeight="1">
      <c r="A390" s="1"/>
      <c r="B390" s="1"/>
      <c r="C390" s="1"/>
      <c r="D390" s="1"/>
      <c r="E390" s="1"/>
      <c r="F390" s="2"/>
      <c r="G390" s="2"/>
      <c r="H390" s="2"/>
      <c r="I390" s="2"/>
      <c r="J390" s="2"/>
      <c r="K390" s="2"/>
      <c r="L390" s="2"/>
      <c r="M390" s="2"/>
      <c r="N390" s="3"/>
      <c r="O390" s="3"/>
      <c r="P390" s="3"/>
      <c r="Q390" s="1"/>
      <c r="R390" s="1"/>
      <c r="S390" s="1"/>
      <c r="T390" s="1"/>
      <c r="U390" s="1"/>
      <c r="V390" s="1"/>
      <c r="W390" s="1"/>
      <c r="X390" s="1"/>
      <c r="Y390" s="1"/>
      <c r="Z390" s="1"/>
      <c r="AA390" s="1"/>
      <c r="AB390" s="1"/>
      <c r="AC390" s="1"/>
      <c r="AD390" s="1"/>
      <c r="AE390" s="1"/>
      <c r="AF390" s="1"/>
      <c r="AG390" s="1"/>
      <c r="AH390" s="1"/>
      <c r="AI390" s="1"/>
      <c r="AJ390" s="1"/>
      <c r="AK390" s="1"/>
    </row>
    <row r="391" spans="1:37" ht="12.75" customHeight="1">
      <c r="A391" s="1"/>
      <c r="B391" s="1"/>
      <c r="C391" s="1"/>
      <c r="D391" s="1"/>
      <c r="E391" s="1"/>
      <c r="F391" s="2"/>
      <c r="G391" s="2"/>
      <c r="H391" s="2"/>
      <c r="I391" s="2"/>
      <c r="J391" s="2"/>
      <c r="K391" s="2"/>
      <c r="L391" s="2"/>
      <c r="M391" s="2"/>
      <c r="N391" s="3"/>
      <c r="O391" s="3"/>
      <c r="P391" s="3"/>
      <c r="Q391" s="1"/>
      <c r="R391" s="1"/>
      <c r="S391" s="1"/>
      <c r="T391" s="1"/>
      <c r="U391" s="1"/>
      <c r="V391" s="1"/>
      <c r="W391" s="1"/>
      <c r="X391" s="1"/>
      <c r="Y391" s="1"/>
      <c r="Z391" s="1"/>
      <c r="AA391" s="1"/>
      <c r="AB391" s="1"/>
      <c r="AC391" s="1"/>
      <c r="AD391" s="1"/>
      <c r="AE391" s="1"/>
      <c r="AF391" s="1"/>
      <c r="AG391" s="1"/>
      <c r="AH391" s="1"/>
      <c r="AI391" s="1"/>
      <c r="AJ391" s="1"/>
      <c r="AK391" s="1"/>
    </row>
    <row r="392" spans="1:37" ht="12.75" customHeight="1">
      <c r="A392" s="1"/>
      <c r="B392" s="1"/>
      <c r="C392" s="1"/>
      <c r="D392" s="1"/>
      <c r="E392" s="1"/>
      <c r="F392" s="2"/>
      <c r="G392" s="2"/>
      <c r="H392" s="2"/>
      <c r="I392" s="2"/>
      <c r="J392" s="2"/>
      <c r="K392" s="2"/>
      <c r="L392" s="2"/>
      <c r="M392" s="2"/>
      <c r="N392" s="3"/>
      <c r="O392" s="3"/>
      <c r="P392" s="3"/>
      <c r="Q392" s="1"/>
      <c r="R392" s="1"/>
      <c r="S392" s="1"/>
      <c r="T392" s="1"/>
      <c r="U392" s="1"/>
      <c r="V392" s="1"/>
      <c r="W392" s="1"/>
      <c r="X392" s="1"/>
      <c r="Y392" s="1"/>
      <c r="Z392" s="1"/>
      <c r="AA392" s="1"/>
      <c r="AB392" s="1"/>
      <c r="AC392" s="1"/>
      <c r="AD392" s="1"/>
      <c r="AE392" s="1"/>
      <c r="AF392" s="1"/>
      <c r="AG392" s="1"/>
      <c r="AH392" s="1"/>
      <c r="AI392" s="1"/>
      <c r="AJ392" s="1"/>
      <c r="AK392" s="1"/>
    </row>
    <row r="393" spans="1:37" ht="12.75" customHeight="1">
      <c r="A393" s="1"/>
      <c r="B393" s="1"/>
      <c r="C393" s="1"/>
      <c r="D393" s="1"/>
      <c r="E393" s="1"/>
      <c r="F393" s="2"/>
      <c r="G393" s="2"/>
      <c r="H393" s="2"/>
      <c r="I393" s="2"/>
      <c r="J393" s="2"/>
      <c r="K393" s="2"/>
      <c r="L393" s="2"/>
      <c r="M393" s="2"/>
      <c r="N393" s="3"/>
      <c r="O393" s="3"/>
      <c r="P393" s="3"/>
      <c r="Q393" s="1"/>
      <c r="R393" s="1"/>
      <c r="S393" s="1"/>
      <c r="T393" s="1"/>
      <c r="U393" s="1"/>
      <c r="V393" s="1"/>
      <c r="W393" s="1"/>
      <c r="X393" s="1"/>
      <c r="Y393" s="1"/>
      <c r="Z393" s="1"/>
      <c r="AA393" s="1"/>
      <c r="AB393" s="1"/>
      <c r="AC393" s="1"/>
      <c r="AD393" s="1"/>
      <c r="AE393" s="1"/>
      <c r="AF393" s="1"/>
      <c r="AG393" s="1"/>
      <c r="AH393" s="1"/>
      <c r="AI393" s="1"/>
      <c r="AJ393" s="1"/>
      <c r="AK393" s="1"/>
    </row>
    <row r="394" spans="1:37" ht="12.75" customHeight="1">
      <c r="A394" s="1"/>
      <c r="B394" s="1"/>
      <c r="C394" s="1"/>
      <c r="D394" s="1"/>
      <c r="E394" s="1"/>
      <c r="F394" s="2"/>
      <c r="G394" s="2"/>
      <c r="H394" s="2"/>
      <c r="I394" s="2"/>
      <c r="J394" s="2"/>
      <c r="K394" s="2"/>
      <c r="L394" s="2"/>
      <c r="M394" s="2"/>
      <c r="N394" s="3"/>
      <c r="O394" s="3"/>
      <c r="P394" s="3"/>
      <c r="Q394" s="1"/>
      <c r="R394" s="1"/>
      <c r="S394" s="1"/>
      <c r="T394" s="1"/>
      <c r="U394" s="1"/>
      <c r="V394" s="1"/>
      <c r="W394" s="1"/>
      <c r="X394" s="1"/>
      <c r="Y394" s="1"/>
      <c r="Z394" s="1"/>
      <c r="AA394" s="1"/>
      <c r="AB394" s="1"/>
      <c r="AC394" s="1"/>
      <c r="AD394" s="1"/>
      <c r="AE394" s="1"/>
      <c r="AF394" s="1"/>
      <c r="AG394" s="1"/>
      <c r="AH394" s="1"/>
      <c r="AI394" s="1"/>
      <c r="AJ394" s="1"/>
      <c r="AK394" s="1"/>
    </row>
    <row r="395" spans="1:37" ht="12.75" customHeight="1">
      <c r="A395" s="1"/>
      <c r="B395" s="1"/>
      <c r="C395" s="1"/>
      <c r="D395" s="1"/>
      <c r="E395" s="1"/>
      <c r="F395" s="2"/>
      <c r="G395" s="2"/>
      <c r="H395" s="2"/>
      <c r="I395" s="2"/>
      <c r="J395" s="2"/>
      <c r="K395" s="2"/>
      <c r="L395" s="2"/>
      <c r="M395" s="2"/>
      <c r="N395" s="3"/>
      <c r="O395" s="3"/>
      <c r="P395" s="3"/>
      <c r="Q395" s="1"/>
      <c r="R395" s="1"/>
      <c r="S395" s="1"/>
      <c r="T395" s="1"/>
      <c r="U395" s="1"/>
      <c r="V395" s="1"/>
      <c r="W395" s="1"/>
      <c r="X395" s="1"/>
      <c r="Y395" s="1"/>
      <c r="Z395" s="1"/>
      <c r="AA395" s="1"/>
      <c r="AB395" s="1"/>
      <c r="AC395" s="1"/>
      <c r="AD395" s="1"/>
      <c r="AE395" s="1"/>
      <c r="AF395" s="1"/>
      <c r="AG395" s="1"/>
      <c r="AH395" s="1"/>
      <c r="AI395" s="1"/>
      <c r="AJ395" s="1"/>
      <c r="AK395" s="1"/>
    </row>
    <row r="396" spans="1:37" ht="12.75" customHeight="1">
      <c r="A396" s="1"/>
      <c r="B396" s="1"/>
      <c r="C396" s="1"/>
      <c r="D396" s="1"/>
      <c r="E396" s="1"/>
      <c r="F396" s="2"/>
      <c r="G396" s="2"/>
      <c r="H396" s="2"/>
      <c r="I396" s="2"/>
      <c r="J396" s="2"/>
      <c r="K396" s="2"/>
      <c r="L396" s="2"/>
      <c r="M396" s="2"/>
      <c r="N396" s="3"/>
      <c r="O396" s="3"/>
      <c r="P396" s="3"/>
      <c r="Q396" s="1"/>
      <c r="R396" s="1"/>
      <c r="S396" s="1"/>
      <c r="T396" s="1"/>
      <c r="U396" s="1"/>
      <c r="V396" s="1"/>
      <c r="W396" s="1"/>
      <c r="X396" s="1"/>
      <c r="Y396" s="1"/>
      <c r="Z396" s="1"/>
      <c r="AA396" s="1"/>
      <c r="AB396" s="1"/>
      <c r="AC396" s="1"/>
      <c r="AD396" s="1"/>
      <c r="AE396" s="1"/>
      <c r="AF396" s="1"/>
      <c r="AG396" s="1"/>
      <c r="AH396" s="1"/>
      <c r="AI396" s="1"/>
      <c r="AJ396" s="1"/>
      <c r="AK396" s="1"/>
    </row>
    <row r="397" spans="1:37" ht="12.75" customHeight="1">
      <c r="A397" s="1"/>
      <c r="B397" s="1"/>
      <c r="C397" s="1"/>
      <c r="D397" s="1"/>
      <c r="E397" s="1"/>
      <c r="F397" s="2"/>
      <c r="G397" s="2"/>
      <c r="H397" s="2"/>
      <c r="I397" s="2"/>
      <c r="J397" s="2"/>
      <c r="K397" s="2"/>
      <c r="L397" s="2"/>
      <c r="M397" s="2"/>
      <c r="N397" s="3"/>
      <c r="O397" s="3"/>
      <c r="P397" s="3"/>
      <c r="Q397" s="1"/>
      <c r="R397" s="1"/>
      <c r="S397" s="1"/>
      <c r="T397" s="1"/>
      <c r="U397" s="1"/>
      <c r="V397" s="1"/>
      <c r="W397" s="1"/>
      <c r="X397" s="1"/>
      <c r="Y397" s="1"/>
      <c r="Z397" s="1"/>
      <c r="AA397" s="1"/>
      <c r="AB397" s="1"/>
      <c r="AC397" s="1"/>
      <c r="AD397" s="1"/>
      <c r="AE397" s="1"/>
      <c r="AF397" s="1"/>
      <c r="AG397" s="1"/>
      <c r="AH397" s="1"/>
      <c r="AI397" s="1"/>
      <c r="AJ397" s="1"/>
      <c r="AK397" s="1"/>
    </row>
    <row r="398" spans="1:37" ht="12.75" customHeight="1">
      <c r="A398" s="1"/>
      <c r="B398" s="1"/>
      <c r="C398" s="1"/>
      <c r="D398" s="1"/>
      <c r="E398" s="1"/>
      <c r="F398" s="2"/>
      <c r="G398" s="2"/>
      <c r="H398" s="2"/>
      <c r="I398" s="2"/>
      <c r="J398" s="2"/>
      <c r="K398" s="2"/>
      <c r="L398" s="2"/>
      <c r="M398" s="2"/>
      <c r="N398" s="3"/>
      <c r="O398" s="3"/>
      <c r="P398" s="3"/>
      <c r="Q398" s="1"/>
      <c r="R398" s="1"/>
      <c r="S398" s="1"/>
      <c r="T398" s="1"/>
      <c r="U398" s="1"/>
      <c r="V398" s="1"/>
      <c r="W398" s="1"/>
      <c r="X398" s="1"/>
      <c r="Y398" s="1"/>
      <c r="Z398" s="1"/>
      <c r="AA398" s="1"/>
      <c r="AB398" s="1"/>
      <c r="AC398" s="1"/>
      <c r="AD398" s="1"/>
      <c r="AE398" s="1"/>
      <c r="AF398" s="1"/>
      <c r="AG398" s="1"/>
      <c r="AH398" s="1"/>
      <c r="AI398" s="1"/>
      <c r="AJ398" s="1"/>
      <c r="AK398" s="1"/>
    </row>
    <row r="399" spans="1:37" ht="12.75" customHeight="1">
      <c r="A399" s="1"/>
      <c r="B399" s="1"/>
      <c r="C399" s="1"/>
      <c r="D399" s="1"/>
      <c r="E399" s="1"/>
      <c r="F399" s="2"/>
      <c r="G399" s="2"/>
      <c r="H399" s="2"/>
      <c r="I399" s="2"/>
      <c r="J399" s="2"/>
      <c r="K399" s="2"/>
      <c r="L399" s="2"/>
      <c r="M399" s="2"/>
      <c r="N399" s="3"/>
      <c r="O399" s="3"/>
      <c r="P399" s="3"/>
      <c r="Q399" s="1"/>
      <c r="R399" s="1"/>
      <c r="S399" s="1"/>
      <c r="T399" s="1"/>
      <c r="U399" s="1"/>
      <c r="V399" s="1"/>
      <c r="W399" s="1"/>
      <c r="X399" s="1"/>
      <c r="Y399" s="1"/>
      <c r="Z399" s="1"/>
      <c r="AA399" s="1"/>
      <c r="AB399" s="1"/>
      <c r="AC399" s="1"/>
      <c r="AD399" s="1"/>
      <c r="AE399" s="1"/>
      <c r="AF399" s="1"/>
      <c r="AG399" s="1"/>
      <c r="AH399" s="1"/>
      <c r="AI399" s="1"/>
      <c r="AJ399" s="1"/>
      <c r="AK399" s="1"/>
    </row>
    <row r="400" spans="1:37" ht="12.75" customHeight="1">
      <c r="A400" s="1"/>
      <c r="B400" s="1"/>
      <c r="C400" s="1"/>
      <c r="D400" s="1"/>
      <c r="E400" s="1"/>
      <c r="F400" s="2"/>
      <c r="G400" s="2"/>
      <c r="H400" s="2"/>
      <c r="I400" s="2"/>
      <c r="J400" s="2"/>
      <c r="K400" s="2"/>
      <c r="L400" s="2"/>
      <c r="M400" s="2"/>
      <c r="N400" s="3"/>
      <c r="O400" s="3"/>
      <c r="P400" s="3"/>
      <c r="Q400" s="1"/>
      <c r="R400" s="1"/>
      <c r="S400" s="1"/>
      <c r="T400" s="1"/>
      <c r="U400" s="1"/>
      <c r="V400" s="1"/>
      <c r="W400" s="1"/>
      <c r="X400" s="1"/>
      <c r="Y400" s="1"/>
      <c r="Z400" s="1"/>
      <c r="AA400" s="1"/>
      <c r="AB400" s="1"/>
      <c r="AC400" s="1"/>
      <c r="AD400" s="1"/>
      <c r="AE400" s="1"/>
      <c r="AF400" s="1"/>
      <c r="AG400" s="1"/>
      <c r="AH400" s="1"/>
      <c r="AI400" s="1"/>
      <c r="AJ400" s="1"/>
      <c r="AK400" s="1"/>
    </row>
    <row r="401" spans="1:37" ht="12.75" customHeight="1">
      <c r="A401" s="1"/>
      <c r="B401" s="1"/>
      <c r="C401" s="1"/>
      <c r="D401" s="1"/>
      <c r="E401" s="1"/>
      <c r="F401" s="2"/>
      <c r="G401" s="2"/>
      <c r="H401" s="2"/>
      <c r="I401" s="2"/>
      <c r="J401" s="2"/>
      <c r="K401" s="2"/>
      <c r="L401" s="2"/>
      <c r="M401" s="2"/>
      <c r="N401" s="3"/>
      <c r="O401" s="3"/>
      <c r="P401" s="3"/>
      <c r="Q401" s="1"/>
      <c r="R401" s="1"/>
      <c r="S401" s="1"/>
      <c r="T401" s="1"/>
      <c r="U401" s="1"/>
      <c r="V401" s="1"/>
      <c r="W401" s="1"/>
      <c r="X401" s="1"/>
      <c r="Y401" s="1"/>
      <c r="Z401" s="1"/>
      <c r="AA401" s="1"/>
      <c r="AB401" s="1"/>
      <c r="AC401" s="1"/>
      <c r="AD401" s="1"/>
      <c r="AE401" s="1"/>
      <c r="AF401" s="1"/>
      <c r="AG401" s="1"/>
      <c r="AH401" s="1"/>
      <c r="AI401" s="1"/>
      <c r="AJ401" s="1"/>
      <c r="AK401" s="1"/>
    </row>
    <row r="402" spans="1:37" ht="12.75" customHeight="1">
      <c r="A402" s="1"/>
      <c r="B402" s="1"/>
      <c r="C402" s="1"/>
      <c r="D402" s="1"/>
      <c r="E402" s="1"/>
      <c r="F402" s="2"/>
      <c r="G402" s="2"/>
      <c r="H402" s="2"/>
      <c r="I402" s="2"/>
      <c r="J402" s="2"/>
      <c r="K402" s="2"/>
      <c r="L402" s="2"/>
      <c r="M402" s="2"/>
      <c r="N402" s="3"/>
      <c r="O402" s="3"/>
      <c r="P402" s="3"/>
      <c r="Q402" s="1"/>
      <c r="R402" s="1"/>
      <c r="S402" s="1"/>
      <c r="T402" s="1"/>
      <c r="U402" s="1"/>
      <c r="V402" s="1"/>
      <c r="W402" s="1"/>
      <c r="X402" s="1"/>
      <c r="Y402" s="1"/>
      <c r="Z402" s="1"/>
      <c r="AA402" s="1"/>
      <c r="AB402" s="1"/>
      <c r="AC402" s="1"/>
      <c r="AD402" s="1"/>
      <c r="AE402" s="1"/>
      <c r="AF402" s="1"/>
      <c r="AG402" s="1"/>
      <c r="AH402" s="1"/>
      <c r="AI402" s="1"/>
      <c r="AJ402" s="1"/>
      <c r="AK402" s="1"/>
    </row>
    <row r="403" spans="1:37" ht="12.75" customHeight="1">
      <c r="A403" s="1"/>
      <c r="B403" s="1"/>
      <c r="C403" s="1"/>
      <c r="D403" s="1"/>
      <c r="E403" s="1"/>
      <c r="F403" s="2"/>
      <c r="G403" s="2"/>
      <c r="H403" s="2"/>
      <c r="I403" s="2"/>
      <c r="J403" s="2"/>
      <c r="K403" s="2"/>
      <c r="L403" s="2"/>
      <c r="M403" s="2"/>
      <c r="N403" s="3"/>
      <c r="O403" s="3"/>
      <c r="P403" s="3"/>
      <c r="Q403" s="1"/>
      <c r="R403" s="1"/>
      <c r="S403" s="1"/>
      <c r="T403" s="1"/>
      <c r="U403" s="1"/>
      <c r="V403" s="1"/>
      <c r="W403" s="1"/>
      <c r="X403" s="1"/>
      <c r="Y403" s="1"/>
      <c r="Z403" s="1"/>
      <c r="AA403" s="1"/>
      <c r="AB403" s="1"/>
      <c r="AC403" s="1"/>
      <c r="AD403" s="1"/>
      <c r="AE403" s="1"/>
      <c r="AF403" s="1"/>
      <c r="AG403" s="1"/>
      <c r="AH403" s="1"/>
      <c r="AI403" s="1"/>
      <c r="AJ403" s="1"/>
      <c r="AK403" s="1"/>
    </row>
    <row r="404" spans="1:37" ht="12.75" customHeight="1">
      <c r="A404" s="1"/>
      <c r="B404" s="1"/>
      <c r="C404" s="1"/>
      <c r="D404" s="1"/>
      <c r="E404" s="1"/>
      <c r="F404" s="2"/>
      <c r="G404" s="2"/>
      <c r="H404" s="2"/>
      <c r="I404" s="2"/>
      <c r="J404" s="2"/>
      <c r="K404" s="2"/>
      <c r="L404" s="2"/>
      <c r="M404" s="2"/>
      <c r="N404" s="3"/>
      <c r="O404" s="3"/>
      <c r="P404" s="3"/>
      <c r="Q404" s="1"/>
      <c r="R404" s="1"/>
      <c r="S404" s="1"/>
      <c r="T404" s="1"/>
      <c r="U404" s="1"/>
      <c r="V404" s="1"/>
      <c r="W404" s="1"/>
      <c r="X404" s="1"/>
      <c r="Y404" s="1"/>
      <c r="Z404" s="1"/>
      <c r="AA404" s="1"/>
      <c r="AB404" s="1"/>
      <c r="AC404" s="1"/>
      <c r="AD404" s="1"/>
      <c r="AE404" s="1"/>
      <c r="AF404" s="1"/>
      <c r="AG404" s="1"/>
      <c r="AH404" s="1"/>
      <c r="AI404" s="1"/>
      <c r="AJ404" s="1"/>
      <c r="AK404" s="1"/>
    </row>
    <row r="405" spans="1:37" ht="12.75" customHeight="1">
      <c r="A405" s="1"/>
      <c r="B405" s="1"/>
      <c r="C405" s="1"/>
      <c r="D405" s="1"/>
      <c r="E405" s="1"/>
      <c r="F405" s="2"/>
      <c r="G405" s="2"/>
      <c r="H405" s="2"/>
      <c r="I405" s="2"/>
      <c r="J405" s="2"/>
      <c r="K405" s="2"/>
      <c r="L405" s="2"/>
      <c r="M405" s="2"/>
      <c r="N405" s="3"/>
      <c r="O405" s="3"/>
      <c r="P405" s="3"/>
      <c r="Q405" s="1"/>
      <c r="R405" s="1"/>
      <c r="S405" s="1"/>
      <c r="T405" s="1"/>
      <c r="U405" s="1"/>
      <c r="V405" s="1"/>
      <c r="W405" s="1"/>
      <c r="X405" s="1"/>
      <c r="Y405" s="1"/>
      <c r="Z405" s="1"/>
      <c r="AA405" s="1"/>
      <c r="AB405" s="1"/>
      <c r="AC405" s="1"/>
      <c r="AD405" s="1"/>
      <c r="AE405" s="1"/>
      <c r="AF405" s="1"/>
      <c r="AG405" s="1"/>
      <c r="AH405" s="1"/>
      <c r="AI405" s="1"/>
      <c r="AJ405" s="1"/>
      <c r="AK405" s="1"/>
    </row>
    <row r="406" spans="1:37" ht="12.75" customHeight="1">
      <c r="A406" s="1"/>
      <c r="B406" s="1"/>
      <c r="C406" s="1"/>
      <c r="D406" s="1"/>
      <c r="E406" s="1"/>
      <c r="F406" s="2"/>
      <c r="G406" s="2"/>
      <c r="H406" s="2"/>
      <c r="I406" s="2"/>
      <c r="J406" s="2"/>
      <c r="K406" s="2"/>
      <c r="L406" s="2"/>
      <c r="M406" s="2"/>
      <c r="N406" s="3"/>
      <c r="O406" s="3"/>
      <c r="P406" s="3"/>
      <c r="Q406" s="1"/>
      <c r="R406" s="1"/>
      <c r="S406" s="1"/>
      <c r="T406" s="1"/>
      <c r="U406" s="1"/>
      <c r="V406" s="1"/>
      <c r="W406" s="1"/>
      <c r="X406" s="1"/>
      <c r="Y406" s="1"/>
      <c r="Z406" s="1"/>
      <c r="AA406" s="1"/>
      <c r="AB406" s="1"/>
      <c r="AC406" s="1"/>
      <c r="AD406" s="1"/>
      <c r="AE406" s="1"/>
      <c r="AF406" s="1"/>
      <c r="AG406" s="1"/>
      <c r="AH406" s="1"/>
      <c r="AI406" s="1"/>
      <c r="AJ406" s="1"/>
      <c r="AK406" s="1"/>
    </row>
    <row r="407" spans="1:37" ht="12.75" customHeight="1">
      <c r="A407" s="1"/>
      <c r="B407" s="1"/>
      <c r="C407" s="1"/>
      <c r="D407" s="1"/>
      <c r="E407" s="1"/>
      <c r="F407" s="2"/>
      <c r="G407" s="2"/>
      <c r="H407" s="2"/>
      <c r="I407" s="2"/>
      <c r="J407" s="2"/>
      <c r="K407" s="2"/>
      <c r="L407" s="2"/>
      <c r="M407" s="2"/>
      <c r="N407" s="3"/>
      <c r="O407" s="3"/>
      <c r="P407" s="3"/>
      <c r="Q407" s="1"/>
      <c r="R407" s="1"/>
      <c r="S407" s="1"/>
      <c r="T407" s="1"/>
      <c r="U407" s="1"/>
      <c r="V407" s="1"/>
      <c r="W407" s="1"/>
      <c r="X407" s="1"/>
      <c r="Y407" s="1"/>
      <c r="Z407" s="1"/>
      <c r="AA407" s="1"/>
      <c r="AB407" s="1"/>
      <c r="AC407" s="1"/>
      <c r="AD407" s="1"/>
      <c r="AE407" s="1"/>
      <c r="AF407" s="1"/>
      <c r="AG407" s="1"/>
      <c r="AH407" s="1"/>
      <c r="AI407" s="1"/>
      <c r="AJ407" s="1"/>
      <c r="AK407" s="1"/>
    </row>
    <row r="408" spans="1:37" ht="12.75" customHeight="1">
      <c r="A408" s="1"/>
      <c r="B408" s="1"/>
      <c r="C408" s="1"/>
      <c r="D408" s="1"/>
      <c r="E408" s="1"/>
      <c r="F408" s="2"/>
      <c r="G408" s="2"/>
      <c r="H408" s="2"/>
      <c r="I408" s="2"/>
      <c r="J408" s="2"/>
      <c r="K408" s="2"/>
      <c r="L408" s="2"/>
      <c r="M408" s="2"/>
      <c r="N408" s="3"/>
      <c r="O408" s="3"/>
      <c r="P408" s="3"/>
      <c r="Q408" s="1"/>
      <c r="R408" s="1"/>
      <c r="S408" s="1"/>
      <c r="T408" s="1"/>
      <c r="U408" s="1"/>
      <c r="V408" s="1"/>
      <c r="W408" s="1"/>
      <c r="X408" s="1"/>
      <c r="Y408" s="1"/>
      <c r="Z408" s="1"/>
      <c r="AA408" s="1"/>
      <c r="AB408" s="1"/>
      <c r="AC408" s="1"/>
      <c r="AD408" s="1"/>
      <c r="AE408" s="1"/>
      <c r="AF408" s="1"/>
      <c r="AG408" s="1"/>
      <c r="AH408" s="1"/>
      <c r="AI408" s="1"/>
      <c r="AJ408" s="1"/>
      <c r="AK408" s="1"/>
    </row>
    <row r="409" spans="1:37" ht="12.75" customHeight="1">
      <c r="A409" s="1"/>
      <c r="B409" s="1"/>
      <c r="C409" s="1"/>
      <c r="D409" s="1"/>
      <c r="E409" s="1"/>
      <c r="F409" s="2"/>
      <c r="G409" s="2"/>
      <c r="H409" s="2"/>
      <c r="I409" s="2"/>
      <c r="J409" s="2"/>
      <c r="K409" s="2"/>
      <c r="L409" s="2"/>
      <c r="M409" s="2"/>
      <c r="N409" s="3"/>
      <c r="O409" s="3"/>
      <c r="P409" s="3"/>
      <c r="Q409" s="1"/>
      <c r="R409" s="1"/>
      <c r="S409" s="1"/>
      <c r="T409" s="1"/>
      <c r="U409" s="1"/>
      <c r="V409" s="1"/>
      <c r="W409" s="1"/>
      <c r="X409" s="1"/>
      <c r="Y409" s="1"/>
      <c r="Z409" s="1"/>
      <c r="AA409" s="1"/>
      <c r="AB409" s="1"/>
      <c r="AC409" s="1"/>
      <c r="AD409" s="1"/>
      <c r="AE409" s="1"/>
      <c r="AF409" s="1"/>
      <c r="AG409" s="1"/>
      <c r="AH409" s="1"/>
      <c r="AI409" s="1"/>
      <c r="AJ409" s="1"/>
      <c r="AK409" s="1"/>
    </row>
    <row r="410" spans="1:37" ht="12.75" customHeight="1">
      <c r="A410" s="1"/>
      <c r="B410" s="1"/>
      <c r="C410" s="1"/>
      <c r="D410" s="1"/>
      <c r="E410" s="1"/>
      <c r="F410" s="2"/>
      <c r="G410" s="2"/>
      <c r="H410" s="2"/>
      <c r="I410" s="2"/>
      <c r="J410" s="2"/>
      <c r="K410" s="2"/>
      <c r="L410" s="2"/>
      <c r="M410" s="2"/>
      <c r="N410" s="3"/>
      <c r="O410" s="3"/>
      <c r="P410" s="3"/>
      <c r="Q410" s="1"/>
      <c r="R410" s="1"/>
      <c r="S410" s="1"/>
      <c r="T410" s="1"/>
      <c r="U410" s="1"/>
      <c r="V410" s="1"/>
      <c r="W410" s="1"/>
      <c r="X410" s="1"/>
      <c r="Y410" s="1"/>
      <c r="Z410" s="1"/>
      <c r="AA410" s="1"/>
      <c r="AB410" s="1"/>
      <c r="AC410" s="1"/>
      <c r="AD410" s="1"/>
      <c r="AE410" s="1"/>
      <c r="AF410" s="1"/>
      <c r="AG410" s="1"/>
      <c r="AH410" s="1"/>
      <c r="AI410" s="1"/>
      <c r="AJ410" s="1"/>
      <c r="AK410" s="1"/>
    </row>
    <row r="411" spans="1:37" ht="12.75" customHeight="1">
      <c r="A411" s="1"/>
      <c r="B411" s="1"/>
      <c r="C411" s="1"/>
      <c r="D411" s="1"/>
      <c r="E411" s="1"/>
      <c r="F411" s="2"/>
      <c r="G411" s="2"/>
      <c r="H411" s="2"/>
      <c r="I411" s="2"/>
      <c r="J411" s="2"/>
      <c r="K411" s="2"/>
      <c r="L411" s="2"/>
      <c r="M411" s="2"/>
      <c r="N411" s="3"/>
      <c r="O411" s="3"/>
      <c r="P411" s="3"/>
      <c r="Q411" s="1"/>
      <c r="R411" s="1"/>
      <c r="S411" s="1"/>
      <c r="T411" s="1"/>
      <c r="U411" s="1"/>
      <c r="V411" s="1"/>
      <c r="W411" s="1"/>
      <c r="X411" s="1"/>
      <c r="Y411" s="1"/>
      <c r="Z411" s="1"/>
      <c r="AA411" s="1"/>
      <c r="AB411" s="1"/>
      <c r="AC411" s="1"/>
      <c r="AD411" s="1"/>
      <c r="AE411" s="1"/>
      <c r="AF411" s="1"/>
      <c r="AG411" s="1"/>
      <c r="AH411" s="1"/>
      <c r="AI411" s="1"/>
      <c r="AJ411" s="1"/>
      <c r="AK411" s="1"/>
    </row>
    <row r="412" spans="1:37" ht="12.75" customHeight="1">
      <c r="A412" s="1"/>
      <c r="B412" s="1"/>
      <c r="C412" s="1"/>
      <c r="D412" s="1"/>
      <c r="E412" s="1"/>
      <c r="F412" s="2"/>
      <c r="G412" s="2"/>
      <c r="H412" s="2"/>
      <c r="I412" s="2"/>
      <c r="J412" s="2"/>
      <c r="K412" s="2"/>
      <c r="L412" s="2"/>
      <c r="M412" s="2"/>
      <c r="N412" s="3"/>
      <c r="O412" s="3"/>
      <c r="P412" s="3"/>
      <c r="Q412" s="1"/>
      <c r="R412" s="1"/>
      <c r="S412" s="1"/>
      <c r="T412" s="1"/>
      <c r="U412" s="1"/>
      <c r="V412" s="1"/>
      <c r="W412" s="1"/>
      <c r="X412" s="1"/>
      <c r="Y412" s="1"/>
      <c r="Z412" s="1"/>
      <c r="AA412" s="1"/>
      <c r="AB412" s="1"/>
      <c r="AC412" s="1"/>
      <c r="AD412" s="1"/>
      <c r="AE412" s="1"/>
      <c r="AF412" s="1"/>
      <c r="AG412" s="1"/>
      <c r="AH412" s="1"/>
      <c r="AI412" s="1"/>
      <c r="AJ412" s="1"/>
      <c r="AK412" s="1"/>
    </row>
    <row r="413" spans="1:37" ht="12.75" customHeight="1">
      <c r="A413" s="1"/>
      <c r="B413" s="1"/>
      <c r="C413" s="1"/>
      <c r="D413" s="1"/>
      <c r="E413" s="1"/>
      <c r="F413" s="2"/>
      <c r="G413" s="2"/>
      <c r="H413" s="2"/>
      <c r="I413" s="2"/>
      <c r="J413" s="2"/>
      <c r="K413" s="2"/>
      <c r="L413" s="2"/>
      <c r="M413" s="2"/>
      <c r="N413" s="3"/>
      <c r="O413" s="3"/>
      <c r="P413" s="3"/>
      <c r="Q413" s="1"/>
      <c r="R413" s="1"/>
      <c r="S413" s="1"/>
      <c r="T413" s="1"/>
      <c r="U413" s="1"/>
      <c r="V413" s="1"/>
      <c r="W413" s="1"/>
      <c r="X413" s="1"/>
      <c r="Y413" s="1"/>
      <c r="Z413" s="1"/>
      <c r="AA413" s="1"/>
      <c r="AB413" s="1"/>
      <c r="AC413" s="1"/>
      <c r="AD413" s="1"/>
      <c r="AE413" s="1"/>
      <c r="AF413" s="1"/>
      <c r="AG413" s="1"/>
      <c r="AH413" s="1"/>
      <c r="AI413" s="1"/>
      <c r="AJ413" s="1"/>
      <c r="AK413" s="1"/>
    </row>
    <row r="414" spans="1:37" ht="12.75" customHeight="1">
      <c r="A414" s="1"/>
      <c r="B414" s="1"/>
      <c r="C414" s="1"/>
      <c r="D414" s="1"/>
      <c r="E414" s="1"/>
      <c r="F414" s="2"/>
      <c r="G414" s="2"/>
      <c r="H414" s="2"/>
      <c r="I414" s="2"/>
      <c r="J414" s="2"/>
      <c r="K414" s="2"/>
      <c r="L414" s="2"/>
      <c r="M414" s="2"/>
      <c r="N414" s="3"/>
      <c r="O414" s="3"/>
      <c r="P414" s="3"/>
      <c r="Q414" s="1"/>
      <c r="R414" s="1"/>
      <c r="S414" s="1"/>
      <c r="T414" s="1"/>
      <c r="U414" s="1"/>
      <c r="V414" s="1"/>
      <c r="W414" s="1"/>
      <c r="X414" s="1"/>
      <c r="Y414" s="1"/>
      <c r="Z414" s="1"/>
      <c r="AA414" s="1"/>
      <c r="AB414" s="1"/>
      <c r="AC414" s="1"/>
      <c r="AD414" s="1"/>
      <c r="AE414" s="1"/>
      <c r="AF414" s="1"/>
      <c r="AG414" s="1"/>
      <c r="AH414" s="1"/>
      <c r="AI414" s="1"/>
      <c r="AJ414" s="1"/>
      <c r="AK414" s="1"/>
    </row>
    <row r="415" spans="1:37" ht="12.75" customHeight="1">
      <c r="A415" s="1"/>
      <c r="B415" s="1"/>
      <c r="C415" s="1"/>
      <c r="D415" s="1"/>
      <c r="E415" s="1"/>
      <c r="F415" s="2"/>
      <c r="G415" s="2"/>
      <c r="H415" s="2"/>
      <c r="I415" s="2"/>
      <c r="J415" s="2"/>
      <c r="K415" s="2"/>
      <c r="L415" s="2"/>
      <c r="M415" s="2"/>
      <c r="N415" s="3"/>
      <c r="O415" s="3"/>
      <c r="P415" s="3"/>
      <c r="Q415" s="1"/>
      <c r="R415" s="1"/>
      <c r="S415" s="1"/>
      <c r="T415" s="1"/>
      <c r="U415" s="1"/>
      <c r="V415" s="1"/>
      <c r="W415" s="1"/>
      <c r="X415" s="1"/>
      <c r="Y415" s="1"/>
      <c r="Z415" s="1"/>
      <c r="AA415" s="1"/>
      <c r="AB415" s="1"/>
      <c r="AC415" s="1"/>
      <c r="AD415" s="1"/>
      <c r="AE415" s="1"/>
      <c r="AF415" s="1"/>
      <c r="AG415" s="1"/>
      <c r="AH415" s="1"/>
      <c r="AI415" s="1"/>
      <c r="AJ415" s="1"/>
      <c r="AK415" s="1"/>
    </row>
    <row r="416" spans="1:37" ht="12.75" customHeight="1">
      <c r="A416" s="1"/>
      <c r="B416" s="1"/>
      <c r="C416" s="1"/>
      <c r="D416" s="1"/>
      <c r="E416" s="1"/>
      <c r="F416" s="2"/>
      <c r="G416" s="2"/>
      <c r="H416" s="2"/>
      <c r="I416" s="2"/>
      <c r="J416" s="2"/>
      <c r="K416" s="2"/>
      <c r="L416" s="2"/>
      <c r="M416" s="2"/>
      <c r="N416" s="3"/>
      <c r="O416" s="3"/>
      <c r="P416" s="3"/>
      <c r="Q416" s="1"/>
      <c r="R416" s="1"/>
      <c r="S416" s="1"/>
      <c r="T416" s="1"/>
      <c r="U416" s="1"/>
      <c r="V416" s="1"/>
      <c r="W416" s="1"/>
      <c r="X416" s="1"/>
      <c r="Y416" s="1"/>
      <c r="Z416" s="1"/>
      <c r="AA416" s="1"/>
      <c r="AB416" s="1"/>
      <c r="AC416" s="1"/>
      <c r="AD416" s="1"/>
      <c r="AE416" s="1"/>
      <c r="AF416" s="1"/>
      <c r="AG416" s="1"/>
      <c r="AH416" s="1"/>
      <c r="AI416" s="1"/>
      <c r="AJ416" s="1"/>
      <c r="AK416" s="1"/>
    </row>
    <row r="417" spans="1:37" ht="12.75" customHeight="1">
      <c r="A417" s="1"/>
      <c r="B417" s="1"/>
      <c r="C417" s="1"/>
      <c r="D417" s="1"/>
      <c r="E417" s="1"/>
      <c r="F417" s="2"/>
      <c r="G417" s="2"/>
      <c r="H417" s="2"/>
      <c r="I417" s="2"/>
      <c r="J417" s="2"/>
      <c r="K417" s="2"/>
      <c r="L417" s="2"/>
      <c r="M417" s="2"/>
      <c r="N417" s="3"/>
      <c r="O417" s="3"/>
      <c r="P417" s="3"/>
      <c r="Q417" s="1"/>
      <c r="R417" s="1"/>
      <c r="S417" s="1"/>
      <c r="T417" s="1"/>
      <c r="U417" s="1"/>
      <c r="V417" s="1"/>
      <c r="W417" s="1"/>
      <c r="X417" s="1"/>
      <c r="Y417" s="1"/>
      <c r="Z417" s="1"/>
      <c r="AA417" s="1"/>
      <c r="AB417" s="1"/>
      <c r="AC417" s="1"/>
      <c r="AD417" s="1"/>
      <c r="AE417" s="1"/>
      <c r="AF417" s="1"/>
      <c r="AG417" s="1"/>
      <c r="AH417" s="1"/>
      <c r="AI417" s="1"/>
      <c r="AJ417" s="1"/>
      <c r="AK417" s="1"/>
    </row>
    <row r="418" spans="1:37" ht="12.75" customHeight="1">
      <c r="A418" s="1"/>
      <c r="B418" s="1"/>
      <c r="C418" s="1"/>
      <c r="D418" s="1"/>
      <c r="E418" s="1"/>
      <c r="F418" s="2"/>
      <c r="G418" s="2"/>
      <c r="H418" s="2"/>
      <c r="I418" s="2"/>
      <c r="J418" s="2"/>
      <c r="K418" s="2"/>
      <c r="L418" s="2"/>
      <c r="M418" s="2"/>
      <c r="N418" s="3"/>
      <c r="O418" s="3"/>
      <c r="P418" s="3"/>
      <c r="Q418" s="1"/>
      <c r="R418" s="1"/>
      <c r="S418" s="1"/>
      <c r="T418" s="1"/>
      <c r="U418" s="1"/>
      <c r="V418" s="1"/>
      <c r="W418" s="1"/>
      <c r="X418" s="1"/>
      <c r="Y418" s="1"/>
      <c r="Z418" s="1"/>
      <c r="AA418" s="1"/>
      <c r="AB418" s="1"/>
      <c r="AC418" s="1"/>
      <c r="AD418" s="1"/>
      <c r="AE418" s="1"/>
      <c r="AF418" s="1"/>
      <c r="AG418" s="1"/>
      <c r="AH418" s="1"/>
      <c r="AI418" s="1"/>
      <c r="AJ418" s="1"/>
      <c r="AK418" s="1"/>
    </row>
    <row r="419" spans="1:37" ht="12.75" customHeight="1">
      <c r="A419" s="1"/>
      <c r="B419" s="1"/>
      <c r="C419" s="1"/>
      <c r="D419" s="1"/>
      <c r="E419" s="1"/>
      <c r="F419" s="2"/>
      <c r="G419" s="2"/>
      <c r="H419" s="2"/>
      <c r="I419" s="2"/>
      <c r="J419" s="2"/>
      <c r="K419" s="2"/>
      <c r="L419" s="2"/>
      <c r="M419" s="2"/>
      <c r="N419" s="3"/>
      <c r="O419" s="3"/>
      <c r="P419" s="3"/>
      <c r="Q419" s="1"/>
      <c r="R419" s="1"/>
      <c r="S419" s="1"/>
      <c r="T419" s="1"/>
      <c r="U419" s="1"/>
      <c r="V419" s="1"/>
      <c r="W419" s="1"/>
      <c r="X419" s="1"/>
      <c r="Y419" s="1"/>
      <c r="Z419" s="1"/>
      <c r="AA419" s="1"/>
      <c r="AB419" s="1"/>
      <c r="AC419" s="1"/>
      <c r="AD419" s="1"/>
      <c r="AE419" s="1"/>
      <c r="AF419" s="1"/>
      <c r="AG419" s="1"/>
      <c r="AH419" s="1"/>
      <c r="AI419" s="1"/>
      <c r="AJ419" s="1"/>
      <c r="AK419" s="1"/>
    </row>
    <row r="420" spans="1:37" ht="12.75" customHeight="1">
      <c r="A420" s="1"/>
      <c r="B420" s="1"/>
      <c r="C420" s="1"/>
      <c r="D420" s="1"/>
      <c r="E420" s="1"/>
      <c r="F420" s="2"/>
      <c r="G420" s="2"/>
      <c r="H420" s="2"/>
      <c r="I420" s="2"/>
      <c r="J420" s="2"/>
      <c r="K420" s="2"/>
      <c r="L420" s="2"/>
      <c r="M420" s="2"/>
      <c r="N420" s="3"/>
      <c r="O420" s="3"/>
      <c r="P420" s="3"/>
      <c r="Q420" s="1"/>
      <c r="R420" s="1"/>
      <c r="S420" s="1"/>
      <c r="T420" s="1"/>
      <c r="U420" s="1"/>
      <c r="V420" s="1"/>
      <c r="W420" s="1"/>
      <c r="X420" s="1"/>
      <c r="Y420" s="1"/>
      <c r="Z420" s="1"/>
      <c r="AA420" s="1"/>
      <c r="AB420" s="1"/>
      <c r="AC420" s="1"/>
      <c r="AD420" s="1"/>
      <c r="AE420" s="1"/>
      <c r="AF420" s="1"/>
      <c r="AG420" s="1"/>
      <c r="AH420" s="1"/>
      <c r="AI420" s="1"/>
      <c r="AJ420" s="1"/>
      <c r="AK420" s="1"/>
    </row>
    <row r="421" spans="1:37" ht="12.75" customHeight="1">
      <c r="A421" s="1"/>
      <c r="B421" s="1"/>
      <c r="C421" s="1"/>
      <c r="D421" s="1"/>
      <c r="E421" s="1"/>
      <c r="F421" s="2"/>
      <c r="G421" s="2"/>
      <c r="H421" s="2"/>
      <c r="I421" s="2"/>
      <c r="J421" s="2"/>
      <c r="K421" s="2"/>
      <c r="L421" s="2"/>
      <c r="M421" s="2"/>
      <c r="N421" s="3"/>
      <c r="O421" s="3"/>
      <c r="P421" s="3"/>
      <c r="Q421" s="1"/>
      <c r="R421" s="1"/>
      <c r="S421" s="1"/>
      <c r="T421" s="1"/>
      <c r="U421" s="1"/>
      <c r="V421" s="1"/>
      <c r="W421" s="1"/>
      <c r="X421" s="1"/>
      <c r="Y421" s="1"/>
      <c r="Z421" s="1"/>
      <c r="AA421" s="1"/>
      <c r="AB421" s="1"/>
      <c r="AC421" s="1"/>
      <c r="AD421" s="1"/>
      <c r="AE421" s="1"/>
      <c r="AF421" s="1"/>
      <c r="AG421" s="1"/>
      <c r="AH421" s="1"/>
      <c r="AI421" s="1"/>
      <c r="AJ421" s="1"/>
      <c r="AK421" s="1"/>
    </row>
    <row r="422" spans="1:37" ht="12.75" customHeight="1">
      <c r="A422" s="1"/>
      <c r="B422" s="1"/>
      <c r="C422" s="1"/>
      <c r="D422" s="1"/>
      <c r="E422" s="1"/>
      <c r="F422" s="2"/>
      <c r="G422" s="2"/>
      <c r="H422" s="2"/>
      <c r="I422" s="2"/>
      <c r="J422" s="2"/>
      <c r="K422" s="2"/>
      <c r="L422" s="2"/>
      <c r="M422" s="2"/>
      <c r="N422" s="3"/>
      <c r="O422" s="3"/>
      <c r="P422" s="3"/>
      <c r="Q422" s="1"/>
      <c r="R422" s="1"/>
      <c r="S422" s="1"/>
      <c r="T422" s="1"/>
      <c r="U422" s="1"/>
      <c r="V422" s="1"/>
      <c r="W422" s="1"/>
      <c r="X422" s="1"/>
      <c r="Y422" s="1"/>
      <c r="Z422" s="1"/>
      <c r="AA422" s="1"/>
      <c r="AB422" s="1"/>
      <c r="AC422" s="1"/>
      <c r="AD422" s="1"/>
      <c r="AE422" s="1"/>
      <c r="AF422" s="1"/>
      <c r="AG422" s="1"/>
      <c r="AH422" s="1"/>
      <c r="AI422" s="1"/>
      <c r="AJ422" s="1"/>
      <c r="AK422" s="1"/>
    </row>
    <row r="423" spans="1:37" ht="12.75" customHeight="1">
      <c r="A423" s="1"/>
      <c r="B423" s="1"/>
      <c r="C423" s="1"/>
      <c r="D423" s="1"/>
      <c r="E423" s="1"/>
      <c r="F423" s="2"/>
      <c r="G423" s="2"/>
      <c r="H423" s="2"/>
      <c r="I423" s="2"/>
      <c r="J423" s="2"/>
      <c r="K423" s="2"/>
      <c r="L423" s="2"/>
      <c r="M423" s="2"/>
      <c r="N423" s="3"/>
      <c r="O423" s="3"/>
      <c r="P423" s="3"/>
      <c r="Q423" s="1"/>
      <c r="R423" s="1"/>
      <c r="S423" s="1"/>
      <c r="T423" s="1"/>
      <c r="U423" s="1"/>
      <c r="V423" s="1"/>
      <c r="W423" s="1"/>
      <c r="X423" s="1"/>
      <c r="Y423" s="1"/>
      <c r="Z423" s="1"/>
      <c r="AA423" s="1"/>
      <c r="AB423" s="1"/>
      <c r="AC423" s="1"/>
      <c r="AD423" s="1"/>
      <c r="AE423" s="1"/>
      <c r="AF423" s="1"/>
      <c r="AG423" s="1"/>
      <c r="AH423" s="1"/>
      <c r="AI423" s="1"/>
      <c r="AJ423" s="1"/>
      <c r="AK423" s="1"/>
    </row>
    <row r="424" spans="1:37" ht="12.75" customHeight="1">
      <c r="A424" s="1"/>
      <c r="B424" s="1"/>
      <c r="C424" s="1"/>
      <c r="D424" s="1"/>
      <c r="E424" s="1"/>
      <c r="F424" s="2"/>
      <c r="G424" s="2"/>
      <c r="H424" s="2"/>
      <c r="I424" s="2"/>
      <c r="J424" s="2"/>
      <c r="K424" s="2"/>
      <c r="L424" s="2"/>
      <c r="M424" s="2"/>
      <c r="N424" s="3"/>
      <c r="O424" s="3"/>
      <c r="P424" s="3"/>
      <c r="Q424" s="1"/>
      <c r="R424" s="1"/>
      <c r="S424" s="1"/>
      <c r="T424" s="1"/>
      <c r="U424" s="1"/>
      <c r="V424" s="1"/>
      <c r="W424" s="1"/>
      <c r="X424" s="1"/>
      <c r="Y424" s="1"/>
      <c r="Z424" s="1"/>
      <c r="AA424" s="1"/>
      <c r="AB424" s="1"/>
      <c r="AC424" s="1"/>
      <c r="AD424" s="1"/>
      <c r="AE424" s="1"/>
      <c r="AF424" s="1"/>
      <c r="AG424" s="1"/>
      <c r="AH424" s="1"/>
      <c r="AI424" s="1"/>
      <c r="AJ424" s="1"/>
      <c r="AK424" s="1"/>
    </row>
    <row r="425" spans="1:37" ht="12.75" customHeight="1">
      <c r="A425" s="1"/>
      <c r="B425" s="1"/>
      <c r="C425" s="1"/>
      <c r="D425" s="1"/>
      <c r="E425" s="1"/>
      <c r="F425" s="2"/>
      <c r="G425" s="2"/>
      <c r="H425" s="2"/>
      <c r="I425" s="2"/>
      <c r="J425" s="2"/>
      <c r="K425" s="2"/>
      <c r="L425" s="2"/>
      <c r="M425" s="2"/>
      <c r="N425" s="3"/>
      <c r="O425" s="3"/>
      <c r="P425" s="3"/>
      <c r="Q425" s="1"/>
      <c r="R425" s="1"/>
      <c r="S425" s="1"/>
      <c r="T425" s="1"/>
      <c r="U425" s="1"/>
      <c r="V425" s="1"/>
      <c r="W425" s="1"/>
      <c r="X425" s="1"/>
      <c r="Y425" s="1"/>
      <c r="Z425" s="1"/>
      <c r="AA425" s="1"/>
      <c r="AB425" s="1"/>
      <c r="AC425" s="1"/>
      <c r="AD425" s="1"/>
      <c r="AE425" s="1"/>
      <c r="AF425" s="1"/>
      <c r="AG425" s="1"/>
      <c r="AH425" s="1"/>
      <c r="AI425" s="1"/>
      <c r="AJ425" s="1"/>
      <c r="AK425" s="1"/>
    </row>
    <row r="426" spans="1:37" ht="12.75" customHeight="1">
      <c r="A426" s="1"/>
      <c r="B426" s="1"/>
      <c r="C426" s="1"/>
      <c r="D426" s="1"/>
      <c r="E426" s="1"/>
      <c r="F426" s="2"/>
      <c r="G426" s="2"/>
      <c r="H426" s="2"/>
      <c r="I426" s="2"/>
      <c r="J426" s="2"/>
      <c r="K426" s="2"/>
      <c r="L426" s="2"/>
      <c r="M426" s="2"/>
      <c r="N426" s="3"/>
      <c r="O426" s="3"/>
      <c r="P426" s="3"/>
      <c r="Q426" s="1"/>
      <c r="R426" s="1"/>
      <c r="S426" s="1"/>
      <c r="T426" s="1"/>
      <c r="U426" s="1"/>
      <c r="V426" s="1"/>
      <c r="W426" s="1"/>
      <c r="X426" s="1"/>
      <c r="Y426" s="1"/>
      <c r="Z426" s="1"/>
      <c r="AA426" s="1"/>
      <c r="AB426" s="1"/>
      <c r="AC426" s="1"/>
      <c r="AD426" s="1"/>
      <c r="AE426" s="1"/>
      <c r="AF426" s="1"/>
      <c r="AG426" s="1"/>
      <c r="AH426" s="1"/>
      <c r="AI426" s="1"/>
      <c r="AJ426" s="1"/>
      <c r="AK426" s="1"/>
    </row>
    <row r="427" spans="1:37" ht="12.75" customHeight="1">
      <c r="A427" s="1"/>
      <c r="B427" s="1"/>
      <c r="C427" s="1"/>
      <c r="D427" s="1"/>
      <c r="E427" s="1"/>
      <c r="F427" s="2"/>
      <c r="G427" s="2"/>
      <c r="H427" s="2"/>
      <c r="I427" s="2"/>
      <c r="J427" s="2"/>
      <c r="K427" s="2"/>
      <c r="L427" s="2"/>
      <c r="M427" s="2"/>
      <c r="N427" s="3"/>
      <c r="O427" s="3"/>
      <c r="P427" s="3"/>
      <c r="Q427" s="1"/>
      <c r="R427" s="1"/>
      <c r="S427" s="1"/>
      <c r="T427" s="1"/>
      <c r="U427" s="1"/>
      <c r="V427" s="1"/>
      <c r="W427" s="1"/>
      <c r="X427" s="1"/>
      <c r="Y427" s="1"/>
      <c r="Z427" s="1"/>
      <c r="AA427" s="1"/>
      <c r="AB427" s="1"/>
      <c r="AC427" s="1"/>
      <c r="AD427" s="1"/>
      <c r="AE427" s="1"/>
      <c r="AF427" s="1"/>
      <c r="AG427" s="1"/>
      <c r="AH427" s="1"/>
      <c r="AI427" s="1"/>
      <c r="AJ427" s="1"/>
      <c r="AK427" s="1"/>
    </row>
    <row r="428" spans="1:37" ht="12.75" customHeight="1">
      <c r="A428" s="1"/>
      <c r="B428" s="1"/>
      <c r="C428" s="1"/>
      <c r="D428" s="1"/>
      <c r="E428" s="1"/>
      <c r="F428" s="2"/>
      <c r="G428" s="2"/>
      <c r="H428" s="2"/>
      <c r="I428" s="2"/>
      <c r="J428" s="2"/>
      <c r="K428" s="2"/>
      <c r="L428" s="2"/>
      <c r="M428" s="2"/>
      <c r="N428" s="3"/>
      <c r="O428" s="3"/>
      <c r="P428" s="3"/>
      <c r="Q428" s="1"/>
      <c r="R428" s="1"/>
      <c r="S428" s="1"/>
      <c r="T428" s="1"/>
      <c r="U428" s="1"/>
      <c r="V428" s="1"/>
      <c r="W428" s="1"/>
      <c r="X428" s="1"/>
      <c r="Y428" s="1"/>
      <c r="Z428" s="1"/>
      <c r="AA428" s="1"/>
      <c r="AB428" s="1"/>
      <c r="AC428" s="1"/>
      <c r="AD428" s="1"/>
      <c r="AE428" s="1"/>
      <c r="AF428" s="1"/>
      <c r="AG428" s="1"/>
      <c r="AH428" s="1"/>
      <c r="AI428" s="1"/>
      <c r="AJ428" s="1"/>
      <c r="AK428" s="1"/>
    </row>
    <row r="429" spans="1:37" ht="12.75" customHeight="1">
      <c r="A429" s="1"/>
      <c r="B429" s="1"/>
      <c r="C429" s="1"/>
      <c r="D429" s="1"/>
      <c r="E429" s="1"/>
      <c r="F429" s="2"/>
      <c r="G429" s="2"/>
      <c r="H429" s="2"/>
      <c r="I429" s="2"/>
      <c r="J429" s="2"/>
      <c r="K429" s="2"/>
      <c r="L429" s="2"/>
      <c r="M429" s="2"/>
      <c r="N429" s="3"/>
      <c r="O429" s="3"/>
      <c r="P429" s="3"/>
      <c r="Q429" s="1"/>
      <c r="R429" s="1"/>
      <c r="S429" s="1"/>
      <c r="T429" s="1"/>
      <c r="U429" s="1"/>
      <c r="V429" s="1"/>
      <c r="W429" s="1"/>
      <c r="X429" s="1"/>
      <c r="Y429" s="1"/>
      <c r="Z429" s="1"/>
      <c r="AA429" s="1"/>
      <c r="AB429" s="1"/>
      <c r="AC429" s="1"/>
      <c r="AD429" s="1"/>
      <c r="AE429" s="1"/>
      <c r="AF429" s="1"/>
      <c r="AG429" s="1"/>
      <c r="AH429" s="1"/>
      <c r="AI429" s="1"/>
      <c r="AJ429" s="1"/>
      <c r="AK429" s="1"/>
    </row>
    <row r="430" spans="1:37" ht="12.75" customHeight="1">
      <c r="A430" s="1"/>
      <c r="B430" s="1"/>
      <c r="C430" s="1"/>
      <c r="D430" s="1"/>
      <c r="E430" s="1"/>
      <c r="F430" s="2"/>
      <c r="G430" s="2"/>
      <c r="H430" s="2"/>
      <c r="I430" s="2"/>
      <c r="J430" s="2"/>
      <c r="K430" s="2"/>
      <c r="L430" s="2"/>
      <c r="M430" s="2"/>
      <c r="N430" s="3"/>
      <c r="O430" s="3"/>
      <c r="P430" s="3"/>
      <c r="Q430" s="1"/>
      <c r="R430" s="1"/>
      <c r="S430" s="1"/>
      <c r="T430" s="1"/>
      <c r="U430" s="1"/>
      <c r="V430" s="1"/>
      <c r="W430" s="1"/>
      <c r="X430" s="1"/>
      <c r="Y430" s="1"/>
      <c r="Z430" s="1"/>
      <c r="AA430" s="1"/>
      <c r="AB430" s="1"/>
      <c r="AC430" s="1"/>
      <c r="AD430" s="1"/>
      <c r="AE430" s="1"/>
      <c r="AF430" s="1"/>
      <c r="AG430" s="1"/>
      <c r="AH430" s="1"/>
      <c r="AI430" s="1"/>
      <c r="AJ430" s="1"/>
      <c r="AK430" s="1"/>
    </row>
    <row r="431" spans="1:37" ht="12.75" customHeight="1">
      <c r="A431" s="1"/>
      <c r="B431" s="1"/>
      <c r="C431" s="1"/>
      <c r="D431" s="1"/>
      <c r="E431" s="1"/>
      <c r="F431" s="2"/>
      <c r="G431" s="2"/>
      <c r="H431" s="2"/>
      <c r="I431" s="2"/>
      <c r="J431" s="2"/>
      <c r="K431" s="2"/>
      <c r="L431" s="2"/>
      <c r="M431" s="2"/>
      <c r="N431" s="3"/>
      <c r="O431" s="3"/>
      <c r="P431" s="3"/>
      <c r="Q431" s="1"/>
      <c r="R431" s="1"/>
      <c r="S431" s="1"/>
      <c r="T431" s="1"/>
      <c r="U431" s="1"/>
      <c r="V431" s="1"/>
      <c r="W431" s="1"/>
      <c r="X431" s="1"/>
      <c r="Y431" s="1"/>
      <c r="Z431" s="1"/>
      <c r="AA431" s="1"/>
      <c r="AB431" s="1"/>
      <c r="AC431" s="1"/>
      <c r="AD431" s="1"/>
      <c r="AE431" s="1"/>
      <c r="AF431" s="1"/>
      <c r="AG431" s="1"/>
      <c r="AH431" s="1"/>
      <c r="AI431" s="1"/>
      <c r="AJ431" s="1"/>
      <c r="AK431" s="1"/>
    </row>
    <row r="432" spans="1:37" ht="12.75" customHeight="1">
      <c r="A432" s="1"/>
      <c r="B432" s="1"/>
      <c r="C432" s="1"/>
      <c r="D432" s="1"/>
      <c r="E432" s="1"/>
      <c r="F432" s="2"/>
      <c r="G432" s="2"/>
      <c r="H432" s="2"/>
      <c r="I432" s="2"/>
      <c r="J432" s="2"/>
      <c r="K432" s="2"/>
      <c r="L432" s="2"/>
      <c r="M432" s="2"/>
      <c r="N432" s="3"/>
      <c r="O432" s="3"/>
      <c r="P432" s="3"/>
      <c r="Q432" s="1"/>
      <c r="R432" s="1"/>
      <c r="S432" s="1"/>
      <c r="T432" s="1"/>
      <c r="U432" s="1"/>
      <c r="V432" s="1"/>
      <c r="W432" s="1"/>
      <c r="X432" s="1"/>
      <c r="Y432" s="1"/>
      <c r="Z432" s="1"/>
      <c r="AA432" s="1"/>
      <c r="AB432" s="1"/>
      <c r="AC432" s="1"/>
      <c r="AD432" s="1"/>
      <c r="AE432" s="1"/>
      <c r="AF432" s="1"/>
      <c r="AG432" s="1"/>
      <c r="AH432" s="1"/>
      <c r="AI432" s="1"/>
      <c r="AJ432" s="1"/>
      <c r="AK432" s="1"/>
    </row>
    <row r="433" spans="1:37" ht="12.75" customHeight="1">
      <c r="A433" s="1"/>
      <c r="B433" s="1"/>
      <c r="C433" s="1"/>
      <c r="D433" s="1"/>
      <c r="E433" s="1"/>
      <c r="F433" s="2"/>
      <c r="G433" s="2"/>
      <c r="H433" s="2"/>
      <c r="I433" s="2"/>
      <c r="J433" s="2"/>
      <c r="K433" s="2"/>
      <c r="L433" s="2"/>
      <c r="M433" s="2"/>
      <c r="N433" s="3"/>
      <c r="O433" s="3"/>
      <c r="P433" s="3"/>
      <c r="Q433" s="1"/>
      <c r="R433" s="1"/>
      <c r="S433" s="1"/>
      <c r="T433" s="1"/>
      <c r="U433" s="1"/>
      <c r="V433" s="1"/>
      <c r="W433" s="1"/>
      <c r="X433" s="1"/>
      <c r="Y433" s="1"/>
      <c r="Z433" s="1"/>
      <c r="AA433" s="1"/>
      <c r="AB433" s="1"/>
      <c r="AC433" s="1"/>
      <c r="AD433" s="1"/>
      <c r="AE433" s="1"/>
      <c r="AF433" s="1"/>
      <c r="AG433" s="1"/>
      <c r="AH433" s="1"/>
      <c r="AI433" s="1"/>
      <c r="AJ433" s="1"/>
      <c r="AK433" s="1"/>
    </row>
    <row r="434" spans="1:37" ht="12.75" customHeight="1">
      <c r="A434" s="1"/>
      <c r="B434" s="1"/>
      <c r="C434" s="1"/>
      <c r="D434" s="1"/>
      <c r="E434" s="1"/>
      <c r="F434" s="2"/>
      <c r="G434" s="2"/>
      <c r="H434" s="2"/>
      <c r="I434" s="2"/>
      <c r="J434" s="2"/>
      <c r="K434" s="2"/>
      <c r="L434" s="2"/>
      <c r="M434" s="2"/>
      <c r="N434" s="3"/>
      <c r="O434" s="3"/>
      <c r="P434" s="3"/>
      <c r="Q434" s="1"/>
      <c r="R434" s="1"/>
      <c r="S434" s="1"/>
      <c r="T434" s="1"/>
      <c r="U434" s="1"/>
      <c r="V434" s="1"/>
      <c r="W434" s="1"/>
      <c r="X434" s="1"/>
      <c r="Y434" s="1"/>
      <c r="Z434" s="1"/>
      <c r="AA434" s="1"/>
      <c r="AB434" s="1"/>
      <c r="AC434" s="1"/>
      <c r="AD434" s="1"/>
      <c r="AE434" s="1"/>
      <c r="AF434" s="1"/>
      <c r="AG434" s="1"/>
      <c r="AH434" s="1"/>
      <c r="AI434" s="1"/>
      <c r="AJ434" s="1"/>
      <c r="AK434" s="1"/>
    </row>
    <row r="435" spans="1:37" ht="12.75" customHeight="1">
      <c r="A435" s="1"/>
      <c r="B435" s="1"/>
      <c r="C435" s="1"/>
      <c r="D435" s="1"/>
      <c r="E435" s="1"/>
      <c r="F435" s="2"/>
      <c r="G435" s="2"/>
      <c r="H435" s="2"/>
      <c r="I435" s="2"/>
      <c r="J435" s="2"/>
      <c r="K435" s="2"/>
      <c r="L435" s="2"/>
      <c r="M435" s="2"/>
      <c r="N435" s="3"/>
      <c r="O435" s="3"/>
      <c r="P435" s="3"/>
      <c r="Q435" s="1"/>
      <c r="R435" s="1"/>
      <c r="S435" s="1"/>
      <c r="T435" s="1"/>
      <c r="U435" s="1"/>
      <c r="V435" s="1"/>
      <c r="W435" s="1"/>
      <c r="X435" s="1"/>
      <c r="Y435" s="1"/>
      <c r="Z435" s="1"/>
      <c r="AA435" s="1"/>
      <c r="AB435" s="1"/>
      <c r="AC435" s="1"/>
      <c r="AD435" s="1"/>
      <c r="AE435" s="1"/>
      <c r="AF435" s="1"/>
      <c r="AG435" s="1"/>
      <c r="AH435" s="1"/>
      <c r="AI435" s="1"/>
      <c r="AJ435" s="1"/>
      <c r="AK435" s="1"/>
    </row>
    <row r="436" spans="1:37" ht="12.75" customHeight="1">
      <c r="A436" s="1"/>
      <c r="B436" s="1"/>
      <c r="C436" s="1"/>
      <c r="D436" s="1"/>
      <c r="E436" s="1"/>
      <c r="F436" s="2"/>
      <c r="G436" s="2"/>
      <c r="H436" s="2"/>
      <c r="I436" s="2"/>
      <c r="J436" s="2"/>
      <c r="K436" s="2"/>
      <c r="L436" s="2"/>
      <c r="M436" s="2"/>
      <c r="N436" s="3"/>
      <c r="O436" s="3"/>
      <c r="P436" s="3"/>
      <c r="Q436" s="1"/>
      <c r="R436" s="1"/>
      <c r="S436" s="1"/>
      <c r="T436" s="1"/>
      <c r="U436" s="1"/>
      <c r="V436" s="1"/>
      <c r="W436" s="1"/>
      <c r="X436" s="1"/>
      <c r="Y436" s="1"/>
      <c r="Z436" s="1"/>
      <c r="AA436" s="1"/>
      <c r="AB436" s="1"/>
      <c r="AC436" s="1"/>
      <c r="AD436" s="1"/>
      <c r="AE436" s="1"/>
      <c r="AF436" s="1"/>
      <c r="AG436" s="1"/>
      <c r="AH436" s="1"/>
      <c r="AI436" s="1"/>
      <c r="AJ436" s="1"/>
      <c r="AK436" s="1"/>
    </row>
    <row r="437" spans="1:37" ht="12.75" customHeight="1">
      <c r="A437" s="1"/>
      <c r="B437" s="1"/>
      <c r="C437" s="1"/>
      <c r="D437" s="1"/>
      <c r="E437" s="1"/>
      <c r="F437" s="2"/>
      <c r="G437" s="2"/>
      <c r="H437" s="2"/>
      <c r="I437" s="2"/>
      <c r="J437" s="2"/>
      <c r="K437" s="2"/>
      <c r="L437" s="2"/>
      <c r="M437" s="2"/>
      <c r="N437" s="3"/>
      <c r="O437" s="3"/>
      <c r="P437" s="3"/>
      <c r="Q437" s="1"/>
      <c r="R437" s="1"/>
      <c r="S437" s="1"/>
      <c r="T437" s="1"/>
      <c r="U437" s="1"/>
      <c r="V437" s="1"/>
      <c r="W437" s="1"/>
      <c r="X437" s="1"/>
      <c r="Y437" s="1"/>
      <c r="Z437" s="1"/>
      <c r="AA437" s="1"/>
      <c r="AB437" s="1"/>
      <c r="AC437" s="1"/>
      <c r="AD437" s="1"/>
      <c r="AE437" s="1"/>
      <c r="AF437" s="1"/>
      <c r="AG437" s="1"/>
      <c r="AH437" s="1"/>
      <c r="AI437" s="1"/>
      <c r="AJ437" s="1"/>
      <c r="AK437" s="1"/>
    </row>
    <row r="438" spans="1:37" ht="12.75" customHeight="1">
      <c r="A438" s="1"/>
      <c r="B438" s="1"/>
      <c r="C438" s="1"/>
      <c r="D438" s="1"/>
      <c r="E438" s="1"/>
      <c r="F438" s="2"/>
      <c r="G438" s="2"/>
      <c r="H438" s="2"/>
      <c r="I438" s="2"/>
      <c r="J438" s="2"/>
      <c r="K438" s="2"/>
      <c r="L438" s="2"/>
      <c r="M438" s="2"/>
      <c r="N438" s="3"/>
      <c r="O438" s="3"/>
      <c r="P438" s="3"/>
      <c r="Q438" s="1"/>
      <c r="R438" s="1"/>
      <c r="S438" s="1"/>
      <c r="T438" s="1"/>
      <c r="U438" s="1"/>
      <c r="V438" s="1"/>
      <c r="W438" s="1"/>
      <c r="X438" s="1"/>
      <c r="Y438" s="1"/>
      <c r="Z438" s="1"/>
      <c r="AA438" s="1"/>
      <c r="AB438" s="1"/>
      <c r="AC438" s="1"/>
      <c r="AD438" s="1"/>
      <c r="AE438" s="1"/>
      <c r="AF438" s="1"/>
      <c r="AG438" s="1"/>
      <c r="AH438" s="1"/>
      <c r="AI438" s="1"/>
      <c r="AJ438" s="1"/>
      <c r="AK438" s="1"/>
    </row>
    <row r="439" spans="1:37" ht="12.75" customHeight="1">
      <c r="A439" s="1"/>
      <c r="B439" s="1"/>
      <c r="C439" s="1"/>
      <c r="D439" s="1"/>
      <c r="E439" s="1"/>
      <c r="F439" s="2"/>
      <c r="G439" s="2"/>
      <c r="H439" s="2"/>
      <c r="I439" s="2"/>
      <c r="J439" s="2"/>
      <c r="K439" s="2"/>
      <c r="L439" s="2"/>
      <c r="M439" s="2"/>
      <c r="N439" s="3"/>
      <c r="O439" s="3"/>
      <c r="P439" s="3"/>
      <c r="Q439" s="1"/>
      <c r="R439" s="1"/>
      <c r="S439" s="1"/>
      <c r="T439" s="1"/>
      <c r="U439" s="1"/>
      <c r="V439" s="1"/>
      <c r="W439" s="1"/>
      <c r="X439" s="1"/>
      <c r="Y439" s="1"/>
      <c r="Z439" s="1"/>
      <c r="AA439" s="1"/>
      <c r="AB439" s="1"/>
      <c r="AC439" s="1"/>
      <c r="AD439" s="1"/>
      <c r="AE439" s="1"/>
      <c r="AF439" s="1"/>
      <c r="AG439" s="1"/>
      <c r="AH439" s="1"/>
      <c r="AI439" s="1"/>
      <c r="AJ439" s="1"/>
      <c r="AK439" s="1"/>
    </row>
    <row r="440" spans="1:37" ht="12.75" customHeight="1">
      <c r="A440" s="1"/>
      <c r="B440" s="1"/>
      <c r="C440" s="1"/>
      <c r="D440" s="1"/>
      <c r="E440" s="1"/>
      <c r="F440" s="2"/>
      <c r="G440" s="2"/>
      <c r="H440" s="2"/>
      <c r="I440" s="2"/>
      <c r="J440" s="2"/>
      <c r="K440" s="2"/>
      <c r="L440" s="2"/>
      <c r="M440" s="2"/>
      <c r="N440" s="3"/>
      <c r="O440" s="3"/>
      <c r="P440" s="3"/>
      <c r="Q440" s="1"/>
      <c r="R440" s="1"/>
      <c r="S440" s="1"/>
      <c r="T440" s="1"/>
      <c r="U440" s="1"/>
      <c r="V440" s="1"/>
      <c r="W440" s="1"/>
      <c r="X440" s="1"/>
      <c r="Y440" s="1"/>
      <c r="Z440" s="1"/>
      <c r="AA440" s="1"/>
      <c r="AB440" s="1"/>
      <c r="AC440" s="1"/>
      <c r="AD440" s="1"/>
      <c r="AE440" s="1"/>
      <c r="AF440" s="1"/>
      <c r="AG440" s="1"/>
      <c r="AH440" s="1"/>
      <c r="AI440" s="1"/>
      <c r="AJ440" s="1"/>
      <c r="AK440" s="1"/>
    </row>
    <row r="441" spans="1:37" ht="12.75" customHeight="1">
      <c r="A441" s="1"/>
      <c r="B441" s="1"/>
      <c r="C441" s="1"/>
      <c r="D441" s="1"/>
      <c r="E441" s="1"/>
      <c r="F441" s="2"/>
      <c r="G441" s="2"/>
      <c r="H441" s="2"/>
      <c r="I441" s="2"/>
      <c r="J441" s="2"/>
      <c r="K441" s="2"/>
      <c r="L441" s="2"/>
      <c r="M441" s="2"/>
      <c r="N441" s="3"/>
      <c r="O441" s="3"/>
      <c r="P441" s="3"/>
      <c r="Q441" s="1"/>
      <c r="R441" s="1"/>
      <c r="S441" s="1"/>
      <c r="T441" s="1"/>
      <c r="U441" s="1"/>
      <c r="V441" s="1"/>
      <c r="W441" s="1"/>
      <c r="X441" s="1"/>
      <c r="Y441" s="1"/>
      <c r="Z441" s="1"/>
      <c r="AA441" s="1"/>
      <c r="AB441" s="1"/>
      <c r="AC441" s="1"/>
      <c r="AD441" s="1"/>
      <c r="AE441" s="1"/>
      <c r="AF441" s="1"/>
      <c r="AG441" s="1"/>
      <c r="AH441" s="1"/>
      <c r="AI441" s="1"/>
      <c r="AJ441" s="1"/>
      <c r="AK441" s="1"/>
    </row>
    <row r="442" spans="1:37" ht="12.75" customHeight="1">
      <c r="A442" s="1"/>
      <c r="B442" s="1"/>
      <c r="C442" s="1"/>
      <c r="D442" s="1"/>
      <c r="E442" s="1"/>
      <c r="F442" s="2"/>
      <c r="G442" s="2"/>
      <c r="H442" s="2"/>
      <c r="I442" s="2"/>
      <c r="J442" s="2"/>
      <c r="K442" s="2"/>
      <c r="L442" s="2"/>
      <c r="M442" s="2"/>
      <c r="N442" s="3"/>
      <c r="O442" s="3"/>
      <c r="P442" s="3"/>
      <c r="Q442" s="1"/>
      <c r="R442" s="1"/>
      <c r="S442" s="1"/>
      <c r="T442" s="1"/>
      <c r="U442" s="1"/>
      <c r="V442" s="1"/>
      <c r="W442" s="1"/>
      <c r="X442" s="1"/>
      <c r="Y442" s="1"/>
      <c r="Z442" s="1"/>
      <c r="AA442" s="1"/>
      <c r="AB442" s="1"/>
      <c r="AC442" s="1"/>
      <c r="AD442" s="1"/>
      <c r="AE442" s="1"/>
      <c r="AF442" s="1"/>
      <c r="AG442" s="1"/>
      <c r="AH442" s="1"/>
      <c r="AI442" s="1"/>
      <c r="AJ442" s="1"/>
      <c r="AK442" s="1"/>
    </row>
    <row r="443" spans="1:37" ht="12.75" customHeight="1">
      <c r="A443" s="1"/>
      <c r="B443" s="1"/>
      <c r="C443" s="1"/>
      <c r="D443" s="1"/>
      <c r="E443" s="1"/>
      <c r="F443" s="2"/>
      <c r="G443" s="2"/>
      <c r="H443" s="2"/>
      <c r="I443" s="2"/>
      <c r="J443" s="2"/>
      <c r="K443" s="2"/>
      <c r="L443" s="2"/>
      <c r="M443" s="2"/>
      <c r="N443" s="3"/>
      <c r="O443" s="3"/>
      <c r="P443" s="3"/>
      <c r="Q443" s="1"/>
      <c r="R443" s="1"/>
      <c r="S443" s="1"/>
      <c r="T443" s="1"/>
      <c r="U443" s="1"/>
      <c r="V443" s="1"/>
      <c r="W443" s="1"/>
      <c r="X443" s="1"/>
      <c r="Y443" s="1"/>
      <c r="Z443" s="1"/>
      <c r="AA443" s="1"/>
      <c r="AB443" s="1"/>
      <c r="AC443" s="1"/>
      <c r="AD443" s="1"/>
      <c r="AE443" s="1"/>
      <c r="AF443" s="1"/>
      <c r="AG443" s="1"/>
      <c r="AH443" s="1"/>
      <c r="AI443" s="1"/>
      <c r="AJ443" s="1"/>
      <c r="AK443" s="1"/>
    </row>
    <row r="444" spans="1:37" ht="12.75" customHeight="1">
      <c r="A444" s="1"/>
      <c r="B444" s="1"/>
      <c r="C444" s="1"/>
      <c r="D444" s="1"/>
      <c r="E444" s="1"/>
      <c r="F444" s="2"/>
      <c r="G444" s="2"/>
      <c r="H444" s="2"/>
      <c r="I444" s="2"/>
      <c r="J444" s="2"/>
      <c r="K444" s="2"/>
      <c r="L444" s="2"/>
      <c r="M444" s="2"/>
      <c r="N444" s="3"/>
      <c r="O444" s="3"/>
      <c r="P444" s="3"/>
      <c r="Q444" s="1"/>
      <c r="R444" s="1"/>
      <c r="S444" s="1"/>
      <c r="T444" s="1"/>
      <c r="U444" s="1"/>
      <c r="V444" s="1"/>
      <c r="W444" s="1"/>
      <c r="X444" s="1"/>
      <c r="Y444" s="1"/>
      <c r="Z444" s="1"/>
      <c r="AA444" s="1"/>
      <c r="AB444" s="1"/>
      <c r="AC444" s="1"/>
      <c r="AD444" s="1"/>
      <c r="AE444" s="1"/>
      <c r="AF444" s="1"/>
      <c r="AG444" s="1"/>
      <c r="AH444" s="1"/>
      <c r="AI444" s="1"/>
      <c r="AJ444" s="1"/>
      <c r="AK444" s="1"/>
    </row>
    <row r="445" spans="1:37" ht="12.75" customHeight="1">
      <c r="A445" s="1"/>
      <c r="B445" s="1"/>
      <c r="C445" s="1"/>
      <c r="D445" s="1"/>
      <c r="E445" s="1"/>
      <c r="F445" s="2"/>
      <c r="G445" s="2"/>
      <c r="H445" s="2"/>
      <c r="I445" s="2"/>
      <c r="J445" s="2"/>
      <c r="K445" s="2"/>
      <c r="L445" s="2"/>
      <c r="M445" s="2"/>
      <c r="N445" s="3"/>
      <c r="O445" s="3"/>
      <c r="P445" s="3"/>
      <c r="Q445" s="1"/>
      <c r="R445" s="1"/>
      <c r="S445" s="1"/>
      <c r="T445" s="1"/>
      <c r="U445" s="1"/>
      <c r="V445" s="1"/>
      <c r="W445" s="1"/>
      <c r="X445" s="1"/>
      <c r="Y445" s="1"/>
      <c r="Z445" s="1"/>
      <c r="AA445" s="1"/>
      <c r="AB445" s="1"/>
      <c r="AC445" s="1"/>
      <c r="AD445" s="1"/>
      <c r="AE445" s="1"/>
      <c r="AF445" s="1"/>
      <c r="AG445" s="1"/>
      <c r="AH445" s="1"/>
      <c r="AI445" s="1"/>
      <c r="AJ445" s="1"/>
      <c r="AK445" s="1"/>
    </row>
    <row r="446" spans="1:37" ht="12.75" customHeight="1">
      <c r="A446" s="1"/>
      <c r="B446" s="1"/>
      <c r="C446" s="1"/>
      <c r="D446" s="1"/>
      <c r="E446" s="1"/>
      <c r="F446" s="2"/>
      <c r="G446" s="2"/>
      <c r="H446" s="2"/>
      <c r="I446" s="2"/>
      <c r="J446" s="2"/>
      <c r="K446" s="2"/>
      <c r="L446" s="2"/>
      <c r="M446" s="2"/>
      <c r="N446" s="3"/>
      <c r="O446" s="3"/>
      <c r="P446" s="3"/>
      <c r="Q446" s="1"/>
      <c r="R446" s="1"/>
      <c r="S446" s="1"/>
      <c r="T446" s="1"/>
      <c r="U446" s="1"/>
      <c r="V446" s="1"/>
      <c r="W446" s="1"/>
      <c r="X446" s="1"/>
      <c r="Y446" s="1"/>
      <c r="Z446" s="1"/>
      <c r="AA446" s="1"/>
      <c r="AB446" s="1"/>
      <c r="AC446" s="1"/>
      <c r="AD446" s="1"/>
      <c r="AE446" s="1"/>
      <c r="AF446" s="1"/>
      <c r="AG446" s="1"/>
      <c r="AH446" s="1"/>
      <c r="AI446" s="1"/>
      <c r="AJ446" s="1"/>
      <c r="AK446" s="1"/>
    </row>
    <row r="447" spans="1:37" ht="12.75" customHeight="1">
      <c r="A447" s="1"/>
      <c r="B447" s="1"/>
      <c r="C447" s="1"/>
      <c r="D447" s="1"/>
      <c r="E447" s="1"/>
      <c r="F447" s="2"/>
      <c r="G447" s="2"/>
      <c r="H447" s="2"/>
      <c r="I447" s="2"/>
      <c r="J447" s="2"/>
      <c r="K447" s="2"/>
      <c r="L447" s="2"/>
      <c r="M447" s="2"/>
      <c r="N447" s="3"/>
      <c r="O447" s="3"/>
      <c r="P447" s="3"/>
      <c r="Q447" s="1"/>
      <c r="R447" s="1"/>
      <c r="S447" s="1"/>
      <c r="T447" s="1"/>
      <c r="U447" s="1"/>
      <c r="V447" s="1"/>
      <c r="W447" s="1"/>
      <c r="X447" s="1"/>
      <c r="Y447" s="1"/>
      <c r="Z447" s="1"/>
      <c r="AA447" s="1"/>
      <c r="AB447" s="1"/>
      <c r="AC447" s="1"/>
      <c r="AD447" s="1"/>
      <c r="AE447" s="1"/>
      <c r="AF447" s="1"/>
      <c r="AG447" s="1"/>
      <c r="AH447" s="1"/>
      <c r="AI447" s="1"/>
      <c r="AJ447" s="1"/>
      <c r="AK447" s="1"/>
    </row>
    <row r="448" spans="1:37" ht="12.75" customHeight="1">
      <c r="A448" s="1"/>
      <c r="B448" s="1"/>
      <c r="C448" s="1"/>
      <c r="D448" s="1"/>
      <c r="E448" s="1"/>
      <c r="F448" s="2"/>
      <c r="G448" s="2"/>
      <c r="H448" s="2"/>
      <c r="I448" s="2"/>
      <c r="J448" s="2"/>
      <c r="K448" s="2"/>
      <c r="L448" s="2"/>
      <c r="M448" s="2"/>
      <c r="N448" s="3"/>
      <c r="O448" s="3"/>
      <c r="P448" s="3"/>
      <c r="Q448" s="1"/>
      <c r="R448" s="1"/>
      <c r="S448" s="1"/>
      <c r="T448" s="1"/>
      <c r="U448" s="1"/>
      <c r="V448" s="1"/>
      <c r="W448" s="1"/>
      <c r="X448" s="1"/>
      <c r="Y448" s="1"/>
      <c r="Z448" s="1"/>
      <c r="AA448" s="1"/>
      <c r="AB448" s="1"/>
      <c r="AC448" s="1"/>
      <c r="AD448" s="1"/>
      <c r="AE448" s="1"/>
      <c r="AF448" s="1"/>
      <c r="AG448" s="1"/>
      <c r="AH448" s="1"/>
      <c r="AI448" s="1"/>
      <c r="AJ448" s="1"/>
      <c r="AK448" s="1"/>
    </row>
    <row r="449" spans="1:37" ht="12.75" customHeight="1">
      <c r="A449" s="1"/>
      <c r="B449" s="1"/>
      <c r="C449" s="1"/>
      <c r="D449" s="1"/>
      <c r="E449" s="1"/>
      <c r="F449" s="2"/>
      <c r="G449" s="2"/>
      <c r="H449" s="2"/>
      <c r="I449" s="2"/>
      <c r="J449" s="2"/>
      <c r="K449" s="2"/>
      <c r="L449" s="2"/>
      <c r="M449" s="2"/>
      <c r="N449" s="3"/>
      <c r="O449" s="3"/>
      <c r="P449" s="3"/>
      <c r="Q449" s="1"/>
      <c r="R449" s="1"/>
      <c r="S449" s="1"/>
      <c r="T449" s="1"/>
      <c r="U449" s="1"/>
      <c r="V449" s="1"/>
      <c r="W449" s="1"/>
      <c r="X449" s="1"/>
      <c r="Y449" s="1"/>
      <c r="Z449" s="1"/>
      <c r="AA449" s="1"/>
      <c r="AB449" s="1"/>
      <c r="AC449" s="1"/>
      <c r="AD449" s="1"/>
      <c r="AE449" s="1"/>
      <c r="AF449" s="1"/>
      <c r="AG449" s="1"/>
      <c r="AH449" s="1"/>
      <c r="AI449" s="1"/>
      <c r="AJ449" s="1"/>
      <c r="AK449" s="1"/>
    </row>
    <row r="450" spans="1:37" ht="12.75" customHeight="1">
      <c r="A450" s="1"/>
      <c r="B450" s="1"/>
      <c r="C450" s="1"/>
      <c r="D450" s="1"/>
      <c r="E450" s="1"/>
      <c r="F450" s="2"/>
      <c r="G450" s="2"/>
      <c r="H450" s="2"/>
      <c r="I450" s="2"/>
      <c r="J450" s="2"/>
      <c r="K450" s="2"/>
      <c r="L450" s="2"/>
      <c r="M450" s="2"/>
      <c r="N450" s="3"/>
      <c r="O450" s="3"/>
      <c r="P450" s="3"/>
      <c r="Q450" s="1"/>
      <c r="R450" s="1"/>
      <c r="S450" s="1"/>
      <c r="T450" s="1"/>
      <c r="U450" s="1"/>
      <c r="V450" s="1"/>
      <c r="W450" s="1"/>
      <c r="X450" s="1"/>
      <c r="Y450" s="1"/>
      <c r="Z450" s="1"/>
      <c r="AA450" s="1"/>
      <c r="AB450" s="1"/>
      <c r="AC450" s="1"/>
      <c r="AD450" s="1"/>
      <c r="AE450" s="1"/>
      <c r="AF450" s="1"/>
      <c r="AG450" s="1"/>
      <c r="AH450" s="1"/>
      <c r="AI450" s="1"/>
      <c r="AJ450" s="1"/>
      <c r="AK450" s="1"/>
    </row>
    <row r="451" spans="1:37" ht="12.75" customHeight="1">
      <c r="A451" s="1"/>
      <c r="B451" s="1"/>
      <c r="C451" s="1"/>
      <c r="D451" s="1"/>
      <c r="E451" s="1"/>
      <c r="F451" s="2"/>
      <c r="G451" s="2"/>
      <c r="H451" s="2"/>
      <c r="I451" s="2"/>
      <c r="J451" s="2"/>
      <c r="K451" s="2"/>
      <c r="L451" s="2"/>
      <c r="M451" s="2"/>
      <c r="N451" s="3"/>
      <c r="O451" s="3"/>
      <c r="P451" s="3"/>
      <c r="Q451" s="1"/>
      <c r="R451" s="1"/>
      <c r="S451" s="1"/>
      <c r="T451" s="1"/>
      <c r="U451" s="1"/>
      <c r="V451" s="1"/>
      <c r="W451" s="1"/>
      <c r="X451" s="1"/>
      <c r="Y451" s="1"/>
      <c r="Z451" s="1"/>
      <c r="AA451" s="1"/>
      <c r="AB451" s="1"/>
      <c r="AC451" s="1"/>
      <c r="AD451" s="1"/>
      <c r="AE451" s="1"/>
      <c r="AF451" s="1"/>
      <c r="AG451" s="1"/>
      <c r="AH451" s="1"/>
      <c r="AI451" s="1"/>
      <c r="AJ451" s="1"/>
      <c r="AK451" s="1"/>
    </row>
    <row r="452" spans="1:37" ht="12.75" customHeight="1">
      <c r="A452" s="1"/>
      <c r="B452" s="1"/>
      <c r="C452" s="1"/>
      <c r="D452" s="1"/>
      <c r="E452" s="1"/>
      <c r="F452" s="2"/>
      <c r="G452" s="2"/>
      <c r="H452" s="2"/>
      <c r="I452" s="2"/>
      <c r="J452" s="2"/>
      <c r="K452" s="2"/>
      <c r="L452" s="2"/>
      <c r="M452" s="2"/>
      <c r="N452" s="3"/>
      <c r="O452" s="3"/>
      <c r="P452" s="3"/>
      <c r="Q452" s="1"/>
      <c r="R452" s="1"/>
      <c r="S452" s="1"/>
      <c r="T452" s="1"/>
      <c r="U452" s="1"/>
      <c r="V452" s="1"/>
      <c r="W452" s="1"/>
      <c r="X452" s="1"/>
      <c r="Y452" s="1"/>
      <c r="Z452" s="1"/>
      <c r="AA452" s="1"/>
      <c r="AB452" s="1"/>
      <c r="AC452" s="1"/>
      <c r="AD452" s="1"/>
      <c r="AE452" s="1"/>
      <c r="AF452" s="1"/>
      <c r="AG452" s="1"/>
      <c r="AH452" s="1"/>
      <c r="AI452" s="1"/>
      <c r="AJ452" s="1"/>
      <c r="AK452" s="1"/>
    </row>
    <row r="453" spans="1:37" ht="12.75" customHeight="1">
      <c r="A453" s="1"/>
      <c r="B453" s="1"/>
      <c r="C453" s="1"/>
      <c r="D453" s="1"/>
      <c r="E453" s="1"/>
      <c r="F453" s="2"/>
      <c r="G453" s="2"/>
      <c r="H453" s="2"/>
      <c r="I453" s="2"/>
      <c r="J453" s="2"/>
      <c r="K453" s="2"/>
      <c r="L453" s="2"/>
      <c r="M453" s="2"/>
      <c r="N453" s="3"/>
      <c r="O453" s="3"/>
      <c r="P453" s="3"/>
      <c r="Q453" s="1"/>
      <c r="R453" s="1"/>
      <c r="S453" s="1"/>
      <c r="T453" s="1"/>
      <c r="U453" s="1"/>
      <c r="V453" s="1"/>
      <c r="W453" s="1"/>
      <c r="X453" s="1"/>
      <c r="Y453" s="1"/>
      <c r="Z453" s="1"/>
      <c r="AA453" s="1"/>
      <c r="AB453" s="1"/>
      <c r="AC453" s="1"/>
      <c r="AD453" s="1"/>
      <c r="AE453" s="1"/>
      <c r="AF453" s="1"/>
      <c r="AG453" s="1"/>
      <c r="AH453" s="1"/>
      <c r="AI453" s="1"/>
      <c r="AJ453" s="1"/>
      <c r="AK453" s="1"/>
    </row>
    <row r="454" spans="1:37" ht="12.75" customHeight="1">
      <c r="A454" s="1"/>
      <c r="B454" s="1"/>
      <c r="C454" s="1"/>
      <c r="D454" s="1"/>
      <c r="E454" s="1"/>
      <c r="F454" s="2"/>
      <c r="G454" s="2"/>
      <c r="H454" s="2"/>
      <c r="I454" s="2"/>
      <c r="J454" s="2"/>
      <c r="K454" s="2"/>
      <c r="L454" s="2"/>
      <c r="M454" s="2"/>
      <c r="N454" s="3"/>
      <c r="O454" s="3"/>
      <c r="P454" s="3"/>
      <c r="Q454" s="1"/>
      <c r="R454" s="1"/>
      <c r="S454" s="1"/>
      <c r="T454" s="1"/>
      <c r="U454" s="1"/>
      <c r="V454" s="1"/>
      <c r="W454" s="1"/>
      <c r="X454" s="1"/>
      <c r="Y454" s="1"/>
      <c r="Z454" s="1"/>
      <c r="AA454" s="1"/>
      <c r="AB454" s="1"/>
      <c r="AC454" s="1"/>
      <c r="AD454" s="1"/>
      <c r="AE454" s="1"/>
      <c r="AF454" s="1"/>
      <c r="AG454" s="1"/>
      <c r="AH454" s="1"/>
      <c r="AI454" s="1"/>
      <c r="AJ454" s="1"/>
      <c r="AK454" s="1"/>
    </row>
    <row r="455" spans="1:37" ht="12.75" customHeight="1">
      <c r="A455" s="1"/>
      <c r="B455" s="1"/>
      <c r="C455" s="1"/>
      <c r="D455" s="1"/>
      <c r="E455" s="1"/>
      <c r="F455" s="2"/>
      <c r="G455" s="2"/>
      <c r="H455" s="2"/>
      <c r="I455" s="2"/>
      <c r="J455" s="2"/>
      <c r="K455" s="2"/>
      <c r="L455" s="2"/>
      <c r="M455" s="2"/>
      <c r="N455" s="3"/>
      <c r="O455" s="3"/>
      <c r="P455" s="3"/>
      <c r="Q455" s="1"/>
      <c r="R455" s="1"/>
      <c r="S455" s="1"/>
      <c r="T455" s="1"/>
      <c r="U455" s="1"/>
      <c r="V455" s="1"/>
      <c r="W455" s="1"/>
      <c r="X455" s="1"/>
      <c r="Y455" s="1"/>
      <c r="Z455" s="1"/>
      <c r="AA455" s="1"/>
      <c r="AB455" s="1"/>
      <c r="AC455" s="1"/>
      <c r="AD455" s="1"/>
      <c r="AE455" s="1"/>
      <c r="AF455" s="1"/>
      <c r="AG455" s="1"/>
      <c r="AH455" s="1"/>
      <c r="AI455" s="1"/>
      <c r="AJ455" s="1"/>
      <c r="AK455" s="1"/>
    </row>
    <row r="456" spans="1:37" ht="12.75" customHeight="1">
      <c r="A456" s="1"/>
      <c r="B456" s="1"/>
      <c r="C456" s="1"/>
      <c r="D456" s="1"/>
      <c r="E456" s="1"/>
      <c r="F456" s="2"/>
      <c r="G456" s="2"/>
      <c r="H456" s="2"/>
      <c r="I456" s="2"/>
      <c r="J456" s="2"/>
      <c r="K456" s="2"/>
      <c r="L456" s="2"/>
      <c r="M456" s="2"/>
      <c r="N456" s="3"/>
      <c r="O456" s="3"/>
      <c r="P456" s="3"/>
      <c r="Q456" s="1"/>
      <c r="R456" s="1"/>
      <c r="S456" s="1"/>
      <c r="T456" s="1"/>
      <c r="U456" s="1"/>
      <c r="V456" s="1"/>
      <c r="W456" s="1"/>
      <c r="X456" s="1"/>
      <c r="Y456" s="1"/>
      <c r="Z456" s="1"/>
      <c r="AA456" s="1"/>
      <c r="AB456" s="1"/>
      <c r="AC456" s="1"/>
      <c r="AD456" s="1"/>
      <c r="AE456" s="1"/>
      <c r="AF456" s="1"/>
      <c r="AG456" s="1"/>
      <c r="AH456" s="1"/>
      <c r="AI456" s="1"/>
      <c r="AJ456" s="1"/>
      <c r="AK456" s="1"/>
    </row>
    <row r="457" spans="1:37" ht="12.75" customHeight="1">
      <c r="A457" s="1"/>
      <c r="B457" s="1"/>
      <c r="C457" s="1"/>
      <c r="D457" s="1"/>
      <c r="E457" s="1"/>
      <c r="F457" s="2"/>
      <c r="G457" s="2"/>
      <c r="H457" s="2"/>
      <c r="I457" s="2"/>
      <c r="J457" s="2"/>
      <c r="K457" s="2"/>
      <c r="L457" s="2"/>
      <c r="M457" s="2"/>
      <c r="N457" s="3"/>
      <c r="O457" s="3"/>
      <c r="P457" s="3"/>
      <c r="Q457" s="1"/>
      <c r="R457" s="1"/>
      <c r="S457" s="1"/>
      <c r="T457" s="1"/>
      <c r="U457" s="1"/>
      <c r="V457" s="1"/>
      <c r="W457" s="1"/>
      <c r="X457" s="1"/>
      <c r="Y457" s="1"/>
      <c r="Z457" s="1"/>
      <c r="AA457" s="1"/>
      <c r="AB457" s="1"/>
      <c r="AC457" s="1"/>
      <c r="AD457" s="1"/>
      <c r="AE457" s="1"/>
      <c r="AF457" s="1"/>
      <c r="AG457" s="1"/>
      <c r="AH457" s="1"/>
      <c r="AI457" s="1"/>
      <c r="AJ457" s="1"/>
      <c r="AK457" s="1"/>
    </row>
    <row r="458" spans="1:37" ht="12.75" customHeight="1">
      <c r="A458" s="1"/>
      <c r="B458" s="1"/>
      <c r="C458" s="1"/>
      <c r="D458" s="1"/>
      <c r="E458" s="1"/>
      <c r="F458" s="2"/>
      <c r="G458" s="2"/>
      <c r="H458" s="2"/>
      <c r="I458" s="2"/>
      <c r="J458" s="2"/>
      <c r="K458" s="2"/>
      <c r="L458" s="2"/>
      <c r="M458" s="2"/>
      <c r="N458" s="3"/>
      <c r="O458" s="3"/>
      <c r="P458" s="3"/>
      <c r="Q458" s="1"/>
      <c r="R458" s="1"/>
      <c r="S458" s="1"/>
      <c r="T458" s="1"/>
      <c r="U458" s="1"/>
      <c r="V458" s="1"/>
      <c r="W458" s="1"/>
      <c r="X458" s="1"/>
      <c r="Y458" s="1"/>
      <c r="Z458" s="1"/>
      <c r="AA458" s="1"/>
      <c r="AB458" s="1"/>
      <c r="AC458" s="1"/>
      <c r="AD458" s="1"/>
      <c r="AE458" s="1"/>
      <c r="AF458" s="1"/>
      <c r="AG458" s="1"/>
      <c r="AH458" s="1"/>
      <c r="AI458" s="1"/>
      <c r="AJ458" s="1"/>
      <c r="AK458" s="1"/>
    </row>
    <row r="459" spans="1:37" ht="12.75" customHeight="1">
      <c r="A459" s="1"/>
      <c r="B459" s="1"/>
      <c r="C459" s="1"/>
      <c r="D459" s="1"/>
      <c r="E459" s="1"/>
      <c r="F459" s="2"/>
      <c r="G459" s="2"/>
      <c r="H459" s="2"/>
      <c r="I459" s="2"/>
      <c r="J459" s="2"/>
      <c r="K459" s="2"/>
      <c r="L459" s="2"/>
      <c r="M459" s="2"/>
      <c r="N459" s="3"/>
      <c r="O459" s="3"/>
      <c r="P459" s="3"/>
      <c r="Q459" s="1"/>
      <c r="R459" s="1"/>
      <c r="S459" s="1"/>
      <c r="T459" s="1"/>
      <c r="U459" s="1"/>
      <c r="V459" s="1"/>
      <c r="W459" s="1"/>
      <c r="X459" s="1"/>
      <c r="Y459" s="1"/>
      <c r="Z459" s="1"/>
      <c r="AA459" s="1"/>
      <c r="AB459" s="1"/>
      <c r="AC459" s="1"/>
      <c r="AD459" s="1"/>
      <c r="AE459" s="1"/>
      <c r="AF459" s="1"/>
      <c r="AG459" s="1"/>
      <c r="AH459" s="1"/>
      <c r="AI459" s="1"/>
      <c r="AJ459" s="1"/>
      <c r="AK459" s="1"/>
    </row>
    <row r="460" spans="1:37" ht="12.75" customHeight="1">
      <c r="A460" s="1"/>
      <c r="B460" s="1"/>
      <c r="C460" s="1"/>
      <c r="D460" s="1"/>
      <c r="E460" s="1"/>
      <c r="F460" s="2"/>
      <c r="G460" s="2"/>
      <c r="H460" s="2"/>
      <c r="I460" s="2"/>
      <c r="J460" s="2"/>
      <c r="K460" s="2"/>
      <c r="L460" s="2"/>
      <c r="M460" s="2"/>
      <c r="N460" s="3"/>
      <c r="O460" s="3"/>
      <c r="P460" s="3"/>
      <c r="Q460" s="1"/>
      <c r="R460" s="1"/>
      <c r="S460" s="1"/>
      <c r="T460" s="1"/>
      <c r="U460" s="1"/>
      <c r="V460" s="1"/>
      <c r="W460" s="1"/>
      <c r="X460" s="1"/>
      <c r="Y460" s="1"/>
      <c r="Z460" s="1"/>
      <c r="AA460" s="1"/>
      <c r="AB460" s="1"/>
      <c r="AC460" s="1"/>
      <c r="AD460" s="1"/>
      <c r="AE460" s="1"/>
      <c r="AF460" s="1"/>
      <c r="AG460" s="1"/>
      <c r="AH460" s="1"/>
      <c r="AI460" s="1"/>
      <c r="AJ460" s="1"/>
      <c r="AK460" s="1"/>
    </row>
    <row r="461" spans="1:37" ht="12.75" customHeight="1">
      <c r="A461" s="1"/>
      <c r="B461" s="1"/>
      <c r="C461" s="1"/>
      <c r="D461" s="1"/>
      <c r="E461" s="1"/>
      <c r="F461" s="2"/>
      <c r="G461" s="2"/>
      <c r="H461" s="2"/>
      <c r="I461" s="2"/>
      <c r="J461" s="2"/>
      <c r="K461" s="2"/>
      <c r="L461" s="2"/>
      <c r="M461" s="2"/>
      <c r="N461" s="3"/>
      <c r="O461" s="3"/>
      <c r="P461" s="3"/>
      <c r="Q461" s="1"/>
      <c r="R461" s="1"/>
      <c r="S461" s="1"/>
      <c r="T461" s="1"/>
      <c r="U461" s="1"/>
      <c r="V461" s="1"/>
      <c r="W461" s="1"/>
      <c r="X461" s="1"/>
      <c r="Y461" s="1"/>
      <c r="Z461" s="1"/>
      <c r="AA461" s="1"/>
      <c r="AB461" s="1"/>
      <c r="AC461" s="1"/>
      <c r="AD461" s="1"/>
      <c r="AE461" s="1"/>
      <c r="AF461" s="1"/>
      <c r="AG461" s="1"/>
      <c r="AH461" s="1"/>
      <c r="AI461" s="1"/>
      <c r="AJ461" s="1"/>
      <c r="AK461" s="1"/>
    </row>
    <row r="462" spans="1:37" ht="12.75" customHeight="1">
      <c r="A462" s="1"/>
      <c r="B462" s="1"/>
      <c r="C462" s="1"/>
      <c r="D462" s="1"/>
      <c r="E462" s="1"/>
      <c r="F462" s="2"/>
      <c r="G462" s="2"/>
      <c r="H462" s="2"/>
      <c r="I462" s="2"/>
      <c r="J462" s="2"/>
      <c r="K462" s="2"/>
      <c r="L462" s="2"/>
      <c r="M462" s="2"/>
      <c r="N462" s="3"/>
      <c r="O462" s="3"/>
      <c r="P462" s="3"/>
      <c r="Q462" s="1"/>
      <c r="R462" s="1"/>
      <c r="S462" s="1"/>
      <c r="T462" s="1"/>
      <c r="U462" s="1"/>
      <c r="V462" s="1"/>
      <c r="W462" s="1"/>
      <c r="X462" s="1"/>
      <c r="Y462" s="1"/>
      <c r="Z462" s="1"/>
      <c r="AA462" s="1"/>
      <c r="AB462" s="1"/>
      <c r="AC462" s="1"/>
      <c r="AD462" s="1"/>
      <c r="AE462" s="1"/>
      <c r="AF462" s="1"/>
      <c r="AG462" s="1"/>
      <c r="AH462" s="1"/>
      <c r="AI462" s="1"/>
      <c r="AJ462" s="1"/>
      <c r="AK462" s="1"/>
    </row>
    <row r="463" spans="1:37" ht="12.75" customHeight="1">
      <c r="A463" s="1"/>
      <c r="B463" s="1"/>
      <c r="C463" s="1"/>
      <c r="D463" s="1"/>
      <c r="E463" s="1"/>
      <c r="F463" s="2"/>
      <c r="G463" s="2"/>
      <c r="H463" s="2"/>
      <c r="I463" s="2"/>
      <c r="J463" s="2"/>
      <c r="K463" s="2"/>
      <c r="L463" s="2"/>
      <c r="M463" s="2"/>
      <c r="N463" s="3"/>
      <c r="O463" s="3"/>
      <c r="P463" s="3"/>
      <c r="Q463" s="1"/>
      <c r="R463" s="1"/>
      <c r="S463" s="1"/>
      <c r="T463" s="1"/>
      <c r="U463" s="1"/>
      <c r="V463" s="1"/>
      <c r="W463" s="1"/>
      <c r="X463" s="1"/>
      <c r="Y463" s="1"/>
      <c r="Z463" s="1"/>
      <c r="AA463" s="1"/>
      <c r="AB463" s="1"/>
      <c r="AC463" s="1"/>
      <c r="AD463" s="1"/>
      <c r="AE463" s="1"/>
      <c r="AF463" s="1"/>
      <c r="AG463" s="1"/>
      <c r="AH463" s="1"/>
      <c r="AI463" s="1"/>
      <c r="AJ463" s="1"/>
      <c r="AK463" s="1"/>
    </row>
    <row r="464" spans="1:37" ht="12.75" customHeight="1">
      <c r="A464" s="1"/>
      <c r="B464" s="1"/>
      <c r="C464" s="1"/>
      <c r="D464" s="1"/>
      <c r="E464" s="1"/>
      <c r="F464" s="2"/>
      <c r="G464" s="2"/>
      <c r="H464" s="2"/>
      <c r="I464" s="2"/>
      <c r="J464" s="2"/>
      <c r="K464" s="2"/>
      <c r="L464" s="2"/>
      <c r="M464" s="2"/>
      <c r="N464" s="3"/>
      <c r="O464" s="3"/>
      <c r="P464" s="3"/>
      <c r="Q464" s="1"/>
      <c r="R464" s="1"/>
      <c r="S464" s="1"/>
      <c r="T464" s="1"/>
      <c r="U464" s="1"/>
      <c r="V464" s="1"/>
      <c r="W464" s="1"/>
      <c r="X464" s="1"/>
      <c r="Y464" s="1"/>
      <c r="Z464" s="1"/>
      <c r="AA464" s="1"/>
      <c r="AB464" s="1"/>
      <c r="AC464" s="1"/>
      <c r="AD464" s="1"/>
      <c r="AE464" s="1"/>
      <c r="AF464" s="1"/>
      <c r="AG464" s="1"/>
      <c r="AH464" s="1"/>
      <c r="AI464" s="1"/>
      <c r="AJ464" s="1"/>
      <c r="AK464" s="1"/>
    </row>
    <row r="465" spans="1:37" ht="12.75" customHeight="1">
      <c r="A465" s="1"/>
      <c r="B465" s="1"/>
      <c r="C465" s="1"/>
      <c r="D465" s="1"/>
      <c r="E465" s="1"/>
      <c r="F465" s="2"/>
      <c r="G465" s="2"/>
      <c r="H465" s="2"/>
      <c r="I465" s="2"/>
      <c r="J465" s="2"/>
      <c r="K465" s="2"/>
      <c r="L465" s="2"/>
      <c r="M465" s="2"/>
      <c r="N465" s="3"/>
      <c r="O465" s="3"/>
      <c r="P465" s="3"/>
      <c r="Q465" s="1"/>
      <c r="R465" s="1"/>
      <c r="S465" s="1"/>
      <c r="T465" s="1"/>
      <c r="U465" s="1"/>
      <c r="V465" s="1"/>
      <c r="W465" s="1"/>
      <c r="X465" s="1"/>
      <c r="Y465" s="1"/>
      <c r="Z465" s="1"/>
      <c r="AA465" s="1"/>
      <c r="AB465" s="1"/>
      <c r="AC465" s="1"/>
      <c r="AD465" s="1"/>
      <c r="AE465" s="1"/>
      <c r="AF465" s="1"/>
      <c r="AG465" s="1"/>
      <c r="AH465" s="1"/>
      <c r="AI465" s="1"/>
      <c r="AJ465" s="1"/>
      <c r="AK465" s="1"/>
    </row>
    <row r="466" spans="1:37" ht="12.75" customHeight="1">
      <c r="A466" s="1"/>
      <c r="B466" s="1"/>
      <c r="C466" s="1"/>
      <c r="D466" s="1"/>
      <c r="E466" s="1"/>
      <c r="F466" s="2"/>
      <c r="G466" s="2"/>
      <c r="H466" s="2"/>
      <c r="I466" s="2"/>
      <c r="J466" s="2"/>
      <c r="K466" s="2"/>
      <c r="L466" s="2"/>
      <c r="M466" s="2"/>
      <c r="N466" s="3"/>
      <c r="O466" s="3"/>
      <c r="P466" s="3"/>
      <c r="Q466" s="1"/>
      <c r="R466" s="1"/>
      <c r="S466" s="1"/>
      <c r="T466" s="1"/>
      <c r="U466" s="1"/>
      <c r="V466" s="1"/>
      <c r="W466" s="1"/>
      <c r="X466" s="1"/>
      <c r="Y466" s="1"/>
      <c r="Z466" s="1"/>
      <c r="AA466" s="1"/>
      <c r="AB466" s="1"/>
      <c r="AC466" s="1"/>
      <c r="AD466" s="1"/>
      <c r="AE466" s="1"/>
      <c r="AF466" s="1"/>
      <c r="AG466" s="1"/>
      <c r="AH466" s="1"/>
      <c r="AI466" s="1"/>
      <c r="AJ466" s="1"/>
      <c r="AK466" s="1"/>
    </row>
    <row r="467" spans="1:37" ht="12.75" customHeight="1">
      <c r="A467" s="1"/>
      <c r="B467" s="1"/>
      <c r="C467" s="1"/>
      <c r="D467" s="1"/>
      <c r="E467" s="1"/>
      <c r="F467" s="2"/>
      <c r="G467" s="2"/>
      <c r="H467" s="2"/>
      <c r="I467" s="2"/>
      <c r="J467" s="2"/>
      <c r="K467" s="2"/>
      <c r="L467" s="2"/>
      <c r="M467" s="2"/>
      <c r="N467" s="3"/>
      <c r="O467" s="3"/>
      <c r="P467" s="3"/>
      <c r="Q467" s="1"/>
      <c r="R467" s="1"/>
      <c r="S467" s="1"/>
      <c r="T467" s="1"/>
      <c r="U467" s="1"/>
      <c r="V467" s="1"/>
      <c r="W467" s="1"/>
      <c r="X467" s="1"/>
      <c r="Y467" s="1"/>
      <c r="Z467" s="1"/>
      <c r="AA467" s="1"/>
      <c r="AB467" s="1"/>
      <c r="AC467" s="1"/>
      <c r="AD467" s="1"/>
      <c r="AE467" s="1"/>
      <c r="AF467" s="1"/>
      <c r="AG467" s="1"/>
      <c r="AH467" s="1"/>
      <c r="AI467" s="1"/>
      <c r="AJ467" s="1"/>
      <c r="AK467" s="1"/>
    </row>
    <row r="468" spans="1:37" ht="12.75" customHeight="1">
      <c r="A468" s="1"/>
      <c r="B468" s="1"/>
      <c r="C468" s="1"/>
      <c r="D468" s="1"/>
      <c r="E468" s="1"/>
      <c r="F468" s="2"/>
      <c r="G468" s="2"/>
      <c r="H468" s="2"/>
      <c r="I468" s="2"/>
      <c r="J468" s="2"/>
      <c r="K468" s="2"/>
      <c r="L468" s="2"/>
      <c r="M468" s="2"/>
      <c r="N468" s="3"/>
      <c r="O468" s="3"/>
      <c r="P468" s="3"/>
      <c r="Q468" s="1"/>
      <c r="R468" s="1"/>
      <c r="S468" s="1"/>
      <c r="T468" s="1"/>
      <c r="U468" s="1"/>
      <c r="V468" s="1"/>
      <c r="W468" s="1"/>
      <c r="X468" s="1"/>
      <c r="Y468" s="1"/>
      <c r="Z468" s="1"/>
      <c r="AA468" s="1"/>
      <c r="AB468" s="1"/>
      <c r="AC468" s="1"/>
      <c r="AD468" s="1"/>
      <c r="AE468" s="1"/>
      <c r="AF468" s="1"/>
      <c r="AG468" s="1"/>
      <c r="AH468" s="1"/>
      <c r="AI468" s="1"/>
      <c r="AJ468" s="1"/>
      <c r="AK468" s="1"/>
    </row>
    <row r="469" spans="1:37" ht="12.75" customHeight="1">
      <c r="A469" s="1"/>
      <c r="B469" s="1"/>
      <c r="C469" s="1"/>
      <c r="D469" s="1"/>
      <c r="E469" s="1"/>
      <c r="F469" s="2"/>
      <c r="G469" s="2"/>
      <c r="H469" s="2"/>
      <c r="I469" s="2"/>
      <c r="J469" s="2"/>
      <c r="K469" s="2"/>
      <c r="L469" s="2"/>
      <c r="M469" s="2"/>
      <c r="N469" s="3"/>
      <c r="O469" s="3"/>
      <c r="P469" s="3"/>
      <c r="Q469" s="1"/>
      <c r="R469" s="1"/>
      <c r="S469" s="1"/>
      <c r="T469" s="1"/>
      <c r="U469" s="1"/>
      <c r="V469" s="1"/>
      <c r="W469" s="1"/>
      <c r="X469" s="1"/>
      <c r="Y469" s="1"/>
      <c r="Z469" s="1"/>
      <c r="AA469" s="1"/>
      <c r="AB469" s="1"/>
      <c r="AC469" s="1"/>
      <c r="AD469" s="1"/>
      <c r="AE469" s="1"/>
      <c r="AF469" s="1"/>
      <c r="AG469" s="1"/>
      <c r="AH469" s="1"/>
      <c r="AI469" s="1"/>
      <c r="AJ469" s="1"/>
      <c r="AK469" s="1"/>
    </row>
    <row r="470" spans="1:37" ht="12.75" customHeight="1">
      <c r="A470" s="1"/>
      <c r="B470" s="1"/>
      <c r="C470" s="1"/>
      <c r="D470" s="1"/>
      <c r="E470" s="1"/>
      <c r="F470" s="2"/>
      <c r="G470" s="2"/>
      <c r="H470" s="2"/>
      <c r="I470" s="2"/>
      <c r="J470" s="2"/>
      <c r="K470" s="2"/>
      <c r="L470" s="2"/>
      <c r="M470" s="2"/>
      <c r="N470" s="3"/>
      <c r="O470" s="3"/>
      <c r="P470" s="3"/>
      <c r="Q470" s="1"/>
      <c r="R470" s="1"/>
      <c r="S470" s="1"/>
      <c r="T470" s="1"/>
      <c r="U470" s="1"/>
      <c r="V470" s="1"/>
      <c r="W470" s="1"/>
      <c r="X470" s="1"/>
      <c r="Y470" s="1"/>
      <c r="Z470" s="1"/>
      <c r="AA470" s="1"/>
      <c r="AB470" s="1"/>
      <c r="AC470" s="1"/>
      <c r="AD470" s="1"/>
      <c r="AE470" s="1"/>
      <c r="AF470" s="1"/>
      <c r="AG470" s="1"/>
      <c r="AH470" s="1"/>
      <c r="AI470" s="1"/>
      <c r="AJ470" s="1"/>
      <c r="AK470" s="1"/>
    </row>
    <row r="471" spans="1:37" ht="12.75" customHeight="1">
      <c r="A471" s="1"/>
      <c r="B471" s="1"/>
      <c r="C471" s="1"/>
      <c r="D471" s="1"/>
      <c r="E471" s="1"/>
      <c r="F471" s="2"/>
      <c r="G471" s="2"/>
      <c r="H471" s="2"/>
      <c r="I471" s="2"/>
      <c r="J471" s="2"/>
      <c r="K471" s="2"/>
      <c r="L471" s="2"/>
      <c r="M471" s="2"/>
      <c r="N471" s="3"/>
      <c r="O471" s="3"/>
      <c r="P471" s="3"/>
      <c r="Q471" s="1"/>
      <c r="R471" s="1"/>
      <c r="S471" s="1"/>
      <c r="T471" s="1"/>
      <c r="U471" s="1"/>
      <c r="V471" s="1"/>
      <c r="W471" s="1"/>
      <c r="X471" s="1"/>
      <c r="Y471" s="1"/>
      <c r="Z471" s="1"/>
      <c r="AA471" s="1"/>
      <c r="AB471" s="1"/>
      <c r="AC471" s="1"/>
      <c r="AD471" s="1"/>
      <c r="AE471" s="1"/>
      <c r="AF471" s="1"/>
      <c r="AG471" s="1"/>
      <c r="AH471" s="1"/>
      <c r="AI471" s="1"/>
      <c r="AJ471" s="1"/>
      <c r="AK471" s="1"/>
    </row>
    <row r="472" spans="1:37" ht="12.75" customHeight="1">
      <c r="A472" s="1"/>
      <c r="B472" s="1"/>
      <c r="C472" s="1"/>
      <c r="D472" s="1"/>
      <c r="E472" s="1"/>
      <c r="F472" s="2"/>
      <c r="G472" s="2"/>
      <c r="H472" s="2"/>
      <c r="I472" s="2"/>
      <c r="J472" s="2"/>
      <c r="K472" s="2"/>
      <c r="L472" s="2"/>
      <c r="M472" s="2"/>
      <c r="N472" s="3"/>
      <c r="O472" s="3"/>
      <c r="P472" s="3"/>
      <c r="Q472" s="1"/>
      <c r="R472" s="1"/>
      <c r="S472" s="1"/>
      <c r="T472" s="1"/>
      <c r="U472" s="1"/>
      <c r="V472" s="1"/>
      <c r="W472" s="1"/>
      <c r="X472" s="1"/>
      <c r="Y472" s="1"/>
      <c r="Z472" s="1"/>
      <c r="AA472" s="1"/>
      <c r="AB472" s="1"/>
      <c r="AC472" s="1"/>
      <c r="AD472" s="1"/>
      <c r="AE472" s="1"/>
      <c r="AF472" s="1"/>
      <c r="AG472" s="1"/>
      <c r="AH472" s="1"/>
      <c r="AI472" s="1"/>
      <c r="AJ472" s="1"/>
      <c r="AK472" s="1"/>
    </row>
    <row r="473" spans="1:37" ht="12.75" customHeight="1">
      <c r="A473" s="1"/>
      <c r="B473" s="1"/>
      <c r="C473" s="1"/>
      <c r="D473" s="1"/>
      <c r="E473" s="1"/>
      <c r="F473" s="2"/>
      <c r="G473" s="2"/>
      <c r="H473" s="2"/>
      <c r="I473" s="2"/>
      <c r="J473" s="2"/>
      <c r="K473" s="2"/>
      <c r="L473" s="2"/>
      <c r="M473" s="2"/>
      <c r="N473" s="3"/>
      <c r="O473" s="3"/>
      <c r="P473" s="3"/>
      <c r="Q473" s="1"/>
      <c r="R473" s="1"/>
      <c r="S473" s="1"/>
      <c r="T473" s="1"/>
      <c r="U473" s="1"/>
      <c r="V473" s="1"/>
      <c r="W473" s="1"/>
      <c r="X473" s="1"/>
      <c r="Y473" s="1"/>
      <c r="Z473" s="1"/>
      <c r="AA473" s="1"/>
      <c r="AB473" s="1"/>
      <c r="AC473" s="1"/>
      <c r="AD473" s="1"/>
      <c r="AE473" s="1"/>
      <c r="AF473" s="1"/>
      <c r="AG473" s="1"/>
      <c r="AH473" s="1"/>
      <c r="AI473" s="1"/>
      <c r="AJ473" s="1"/>
      <c r="AK473" s="1"/>
    </row>
    <row r="474" spans="1:37" ht="12.75" customHeight="1">
      <c r="A474" s="1"/>
      <c r="B474" s="1"/>
      <c r="C474" s="1"/>
      <c r="D474" s="1"/>
      <c r="E474" s="1"/>
      <c r="F474" s="2"/>
      <c r="G474" s="2"/>
      <c r="H474" s="2"/>
      <c r="I474" s="2"/>
      <c r="J474" s="2"/>
      <c r="K474" s="2"/>
      <c r="L474" s="2"/>
      <c r="M474" s="2"/>
      <c r="N474" s="3"/>
      <c r="O474" s="3"/>
      <c r="P474" s="3"/>
      <c r="Q474" s="1"/>
      <c r="R474" s="1"/>
      <c r="S474" s="1"/>
      <c r="T474" s="1"/>
      <c r="U474" s="1"/>
      <c r="V474" s="1"/>
      <c r="W474" s="1"/>
      <c r="X474" s="1"/>
      <c r="Y474" s="1"/>
      <c r="Z474" s="1"/>
      <c r="AA474" s="1"/>
      <c r="AB474" s="1"/>
      <c r="AC474" s="1"/>
      <c r="AD474" s="1"/>
      <c r="AE474" s="1"/>
      <c r="AF474" s="1"/>
      <c r="AG474" s="1"/>
      <c r="AH474" s="1"/>
      <c r="AI474" s="1"/>
      <c r="AJ474" s="1"/>
      <c r="AK474" s="1"/>
    </row>
    <row r="475" spans="1:37" ht="12.75" customHeight="1">
      <c r="A475" s="1"/>
      <c r="B475" s="1"/>
      <c r="C475" s="1"/>
      <c r="D475" s="1"/>
      <c r="E475" s="1"/>
      <c r="F475" s="2"/>
      <c r="G475" s="2"/>
      <c r="H475" s="2"/>
      <c r="I475" s="2"/>
      <c r="J475" s="2"/>
      <c r="K475" s="2"/>
      <c r="L475" s="2"/>
      <c r="M475" s="2"/>
      <c r="N475" s="3"/>
      <c r="O475" s="3"/>
      <c r="P475" s="3"/>
      <c r="Q475" s="1"/>
      <c r="R475" s="1"/>
      <c r="S475" s="1"/>
      <c r="T475" s="1"/>
      <c r="U475" s="1"/>
      <c r="V475" s="1"/>
      <c r="W475" s="1"/>
      <c r="X475" s="1"/>
      <c r="Y475" s="1"/>
      <c r="Z475" s="1"/>
      <c r="AA475" s="1"/>
      <c r="AB475" s="1"/>
      <c r="AC475" s="1"/>
      <c r="AD475" s="1"/>
      <c r="AE475" s="1"/>
      <c r="AF475" s="1"/>
      <c r="AG475" s="1"/>
      <c r="AH475" s="1"/>
      <c r="AI475" s="1"/>
      <c r="AJ475" s="1"/>
      <c r="AK475" s="1"/>
    </row>
    <row r="476" spans="1:37" ht="12.75" customHeight="1">
      <c r="A476" s="1"/>
      <c r="B476" s="1"/>
      <c r="C476" s="1"/>
      <c r="D476" s="1"/>
      <c r="E476" s="1"/>
      <c r="F476" s="2"/>
      <c r="G476" s="2"/>
      <c r="H476" s="2"/>
      <c r="I476" s="2"/>
      <c r="J476" s="2"/>
      <c r="K476" s="2"/>
      <c r="L476" s="2"/>
      <c r="M476" s="2"/>
      <c r="N476" s="3"/>
      <c r="O476" s="3"/>
      <c r="P476" s="3"/>
      <c r="Q476" s="1"/>
      <c r="R476" s="1"/>
      <c r="S476" s="1"/>
      <c r="T476" s="1"/>
      <c r="U476" s="1"/>
      <c r="V476" s="1"/>
      <c r="W476" s="1"/>
      <c r="X476" s="1"/>
      <c r="Y476" s="1"/>
      <c r="Z476" s="1"/>
      <c r="AA476" s="1"/>
      <c r="AB476" s="1"/>
      <c r="AC476" s="1"/>
      <c r="AD476" s="1"/>
      <c r="AE476" s="1"/>
      <c r="AF476" s="1"/>
      <c r="AG476" s="1"/>
      <c r="AH476" s="1"/>
      <c r="AI476" s="1"/>
      <c r="AJ476" s="1"/>
      <c r="AK476" s="1"/>
    </row>
    <row r="477" spans="1:37" ht="12.75" customHeight="1">
      <c r="A477" s="1"/>
      <c r="B477" s="1"/>
      <c r="C477" s="1"/>
      <c r="D477" s="1"/>
      <c r="E477" s="1"/>
      <c r="F477" s="2"/>
      <c r="G477" s="2"/>
      <c r="H477" s="2"/>
      <c r="I477" s="2"/>
      <c r="J477" s="2"/>
      <c r="K477" s="2"/>
      <c r="L477" s="2"/>
      <c r="M477" s="2"/>
      <c r="N477" s="3"/>
      <c r="O477" s="3"/>
      <c r="P477" s="3"/>
      <c r="Q477" s="1"/>
      <c r="R477" s="1"/>
      <c r="S477" s="1"/>
      <c r="T477" s="1"/>
      <c r="U477" s="1"/>
      <c r="V477" s="1"/>
      <c r="W477" s="1"/>
      <c r="X477" s="1"/>
      <c r="Y477" s="1"/>
      <c r="Z477" s="1"/>
      <c r="AA477" s="1"/>
      <c r="AB477" s="1"/>
      <c r="AC477" s="1"/>
      <c r="AD477" s="1"/>
      <c r="AE477" s="1"/>
      <c r="AF477" s="1"/>
      <c r="AG477" s="1"/>
      <c r="AH477" s="1"/>
      <c r="AI477" s="1"/>
      <c r="AJ477" s="1"/>
      <c r="AK477" s="1"/>
    </row>
    <row r="478" spans="1:37" ht="12.75" customHeight="1">
      <c r="A478" s="1"/>
      <c r="B478" s="1"/>
      <c r="C478" s="1"/>
      <c r="D478" s="1"/>
      <c r="E478" s="1"/>
      <c r="F478" s="2"/>
      <c r="G478" s="2"/>
      <c r="H478" s="2"/>
      <c r="I478" s="2"/>
      <c r="J478" s="2"/>
      <c r="K478" s="2"/>
      <c r="L478" s="2"/>
      <c r="M478" s="2"/>
      <c r="N478" s="3"/>
      <c r="O478" s="3"/>
      <c r="P478" s="3"/>
      <c r="Q478" s="1"/>
      <c r="R478" s="1"/>
      <c r="S478" s="1"/>
      <c r="T478" s="1"/>
      <c r="U478" s="1"/>
      <c r="V478" s="1"/>
      <c r="W478" s="1"/>
      <c r="X478" s="1"/>
      <c r="Y478" s="1"/>
      <c r="Z478" s="1"/>
      <c r="AA478" s="1"/>
      <c r="AB478" s="1"/>
      <c r="AC478" s="1"/>
      <c r="AD478" s="1"/>
      <c r="AE478" s="1"/>
      <c r="AF478" s="1"/>
      <c r="AG478" s="1"/>
      <c r="AH478" s="1"/>
      <c r="AI478" s="1"/>
      <c r="AJ478" s="1"/>
      <c r="AK478" s="1"/>
    </row>
    <row r="479" spans="1:37" ht="12.75" customHeight="1">
      <c r="A479" s="1"/>
      <c r="B479" s="1"/>
      <c r="C479" s="1"/>
      <c r="D479" s="1"/>
      <c r="E479" s="1"/>
      <c r="F479" s="2"/>
      <c r="G479" s="2"/>
      <c r="H479" s="2"/>
      <c r="I479" s="2"/>
      <c r="J479" s="2"/>
      <c r="K479" s="2"/>
      <c r="L479" s="2"/>
      <c r="M479" s="2"/>
      <c r="N479" s="3"/>
      <c r="O479" s="3"/>
      <c r="P479" s="3"/>
      <c r="Q479" s="1"/>
      <c r="R479" s="1"/>
      <c r="S479" s="1"/>
      <c r="T479" s="1"/>
      <c r="U479" s="1"/>
      <c r="V479" s="1"/>
      <c r="W479" s="1"/>
      <c r="X479" s="1"/>
      <c r="Y479" s="1"/>
      <c r="Z479" s="1"/>
      <c r="AA479" s="1"/>
      <c r="AB479" s="1"/>
      <c r="AC479" s="1"/>
      <c r="AD479" s="1"/>
      <c r="AE479" s="1"/>
      <c r="AF479" s="1"/>
      <c r="AG479" s="1"/>
      <c r="AH479" s="1"/>
      <c r="AI479" s="1"/>
      <c r="AJ479" s="1"/>
      <c r="AK479" s="1"/>
    </row>
    <row r="480" spans="1:37" ht="12.75" customHeight="1">
      <c r="A480" s="1"/>
      <c r="B480" s="1"/>
      <c r="C480" s="1"/>
      <c r="D480" s="1"/>
      <c r="E480" s="1"/>
      <c r="F480" s="2"/>
      <c r="G480" s="2"/>
      <c r="H480" s="2"/>
      <c r="I480" s="2"/>
      <c r="J480" s="2"/>
      <c r="K480" s="2"/>
      <c r="L480" s="2"/>
      <c r="M480" s="2"/>
      <c r="N480" s="3"/>
      <c r="O480" s="3"/>
      <c r="P480" s="3"/>
      <c r="Q480" s="1"/>
      <c r="R480" s="1"/>
      <c r="S480" s="1"/>
      <c r="T480" s="1"/>
      <c r="U480" s="1"/>
      <c r="V480" s="1"/>
      <c r="W480" s="1"/>
      <c r="X480" s="1"/>
      <c r="Y480" s="1"/>
      <c r="Z480" s="1"/>
      <c r="AA480" s="1"/>
      <c r="AB480" s="1"/>
      <c r="AC480" s="1"/>
      <c r="AD480" s="1"/>
      <c r="AE480" s="1"/>
      <c r="AF480" s="1"/>
      <c r="AG480" s="1"/>
      <c r="AH480" s="1"/>
      <c r="AI480" s="1"/>
      <c r="AJ480" s="1"/>
      <c r="AK480" s="1"/>
    </row>
    <row r="481" spans="1:37" ht="12.75" customHeight="1">
      <c r="A481" s="1"/>
      <c r="B481" s="1"/>
      <c r="C481" s="1"/>
      <c r="D481" s="1"/>
      <c r="E481" s="1"/>
      <c r="F481" s="2"/>
      <c r="G481" s="2"/>
      <c r="H481" s="2"/>
      <c r="I481" s="2"/>
      <c r="J481" s="2"/>
      <c r="K481" s="2"/>
      <c r="L481" s="2"/>
      <c r="M481" s="2"/>
      <c r="N481" s="3"/>
      <c r="O481" s="3"/>
      <c r="P481" s="3"/>
      <c r="Q481" s="1"/>
      <c r="R481" s="1"/>
      <c r="S481" s="1"/>
      <c r="T481" s="1"/>
      <c r="U481" s="1"/>
      <c r="V481" s="1"/>
      <c r="W481" s="1"/>
      <c r="X481" s="1"/>
      <c r="Y481" s="1"/>
      <c r="Z481" s="1"/>
      <c r="AA481" s="1"/>
      <c r="AB481" s="1"/>
      <c r="AC481" s="1"/>
      <c r="AD481" s="1"/>
      <c r="AE481" s="1"/>
      <c r="AF481" s="1"/>
      <c r="AG481" s="1"/>
      <c r="AH481" s="1"/>
      <c r="AI481" s="1"/>
      <c r="AJ481" s="1"/>
      <c r="AK481" s="1"/>
    </row>
    <row r="482" spans="1:37" ht="12.75" customHeight="1">
      <c r="A482" s="1"/>
      <c r="B482" s="1"/>
      <c r="C482" s="1"/>
      <c r="D482" s="1"/>
      <c r="E482" s="1"/>
      <c r="F482" s="2"/>
      <c r="G482" s="2"/>
      <c r="H482" s="2"/>
      <c r="I482" s="2"/>
      <c r="J482" s="2"/>
      <c r="K482" s="2"/>
      <c r="L482" s="2"/>
      <c r="M482" s="2"/>
      <c r="N482" s="3"/>
      <c r="O482" s="3"/>
      <c r="P482" s="3"/>
      <c r="Q482" s="1"/>
      <c r="R482" s="1"/>
      <c r="S482" s="1"/>
      <c r="T482" s="1"/>
      <c r="U482" s="1"/>
      <c r="V482" s="1"/>
      <c r="W482" s="1"/>
      <c r="X482" s="1"/>
      <c r="Y482" s="1"/>
      <c r="Z482" s="1"/>
      <c r="AA482" s="1"/>
      <c r="AB482" s="1"/>
      <c r="AC482" s="1"/>
      <c r="AD482" s="1"/>
      <c r="AE482" s="1"/>
      <c r="AF482" s="1"/>
      <c r="AG482" s="1"/>
      <c r="AH482" s="1"/>
      <c r="AI482" s="1"/>
      <c r="AJ482" s="1"/>
      <c r="AK482" s="1"/>
    </row>
    <row r="483" spans="1:37" ht="12.75" customHeight="1">
      <c r="A483" s="1"/>
      <c r="B483" s="1"/>
      <c r="C483" s="1"/>
      <c r="D483" s="1"/>
      <c r="E483" s="1"/>
      <c r="F483" s="2"/>
      <c r="G483" s="2"/>
      <c r="H483" s="2"/>
      <c r="I483" s="2"/>
      <c r="J483" s="2"/>
      <c r="K483" s="2"/>
      <c r="L483" s="2"/>
      <c r="M483" s="2"/>
      <c r="N483" s="3"/>
      <c r="O483" s="3"/>
      <c r="P483" s="3"/>
      <c r="Q483" s="1"/>
      <c r="R483" s="1"/>
      <c r="S483" s="1"/>
      <c r="T483" s="1"/>
      <c r="U483" s="1"/>
      <c r="V483" s="1"/>
      <c r="W483" s="1"/>
      <c r="X483" s="1"/>
      <c r="Y483" s="1"/>
      <c r="Z483" s="1"/>
      <c r="AA483" s="1"/>
      <c r="AB483" s="1"/>
      <c r="AC483" s="1"/>
      <c r="AD483" s="1"/>
      <c r="AE483" s="1"/>
      <c r="AF483" s="1"/>
      <c r="AG483" s="1"/>
      <c r="AH483" s="1"/>
      <c r="AI483" s="1"/>
      <c r="AJ483" s="1"/>
      <c r="AK483" s="1"/>
    </row>
    <row r="484" spans="1:37" ht="12.75" customHeight="1">
      <c r="A484" s="1"/>
      <c r="B484" s="1"/>
      <c r="C484" s="1"/>
      <c r="D484" s="1"/>
      <c r="E484" s="1"/>
      <c r="F484" s="2"/>
      <c r="G484" s="2"/>
      <c r="H484" s="2"/>
      <c r="I484" s="2"/>
      <c r="J484" s="2"/>
      <c r="K484" s="2"/>
      <c r="L484" s="2"/>
      <c r="M484" s="2"/>
      <c r="N484" s="3"/>
      <c r="O484" s="3"/>
      <c r="P484" s="3"/>
      <c r="Q484" s="1"/>
      <c r="R484" s="1"/>
      <c r="S484" s="1"/>
      <c r="T484" s="1"/>
      <c r="U484" s="1"/>
      <c r="V484" s="1"/>
      <c r="W484" s="1"/>
      <c r="X484" s="1"/>
      <c r="Y484" s="1"/>
      <c r="Z484" s="1"/>
      <c r="AA484" s="1"/>
      <c r="AB484" s="1"/>
      <c r="AC484" s="1"/>
      <c r="AD484" s="1"/>
      <c r="AE484" s="1"/>
      <c r="AF484" s="1"/>
      <c r="AG484" s="1"/>
      <c r="AH484" s="1"/>
      <c r="AI484" s="1"/>
      <c r="AJ484" s="1"/>
      <c r="AK484" s="1"/>
    </row>
    <row r="485" spans="1:37" ht="12.75" customHeight="1">
      <c r="A485" s="1"/>
      <c r="B485" s="1"/>
      <c r="C485" s="1"/>
      <c r="D485" s="1"/>
      <c r="E485" s="1"/>
      <c r="F485" s="2"/>
      <c r="G485" s="2"/>
      <c r="H485" s="2"/>
      <c r="I485" s="2"/>
      <c r="J485" s="2"/>
      <c r="K485" s="2"/>
      <c r="L485" s="2"/>
      <c r="M485" s="2"/>
      <c r="N485" s="3"/>
      <c r="O485" s="3"/>
      <c r="P485" s="3"/>
      <c r="Q485" s="1"/>
      <c r="R485" s="1"/>
      <c r="S485" s="1"/>
      <c r="T485" s="1"/>
      <c r="U485" s="1"/>
      <c r="V485" s="1"/>
      <c r="W485" s="1"/>
      <c r="X485" s="1"/>
      <c r="Y485" s="1"/>
      <c r="Z485" s="1"/>
      <c r="AA485" s="1"/>
      <c r="AB485" s="1"/>
      <c r="AC485" s="1"/>
      <c r="AD485" s="1"/>
      <c r="AE485" s="1"/>
      <c r="AF485" s="1"/>
      <c r="AG485" s="1"/>
      <c r="AH485" s="1"/>
      <c r="AI485" s="1"/>
      <c r="AJ485" s="1"/>
      <c r="AK485" s="1"/>
    </row>
    <row r="486" spans="1:37" ht="12.75" customHeight="1">
      <c r="A486" s="1"/>
      <c r="B486" s="1"/>
      <c r="C486" s="1"/>
      <c r="D486" s="1"/>
      <c r="E486" s="1"/>
      <c r="F486" s="2"/>
      <c r="G486" s="2"/>
      <c r="H486" s="2"/>
      <c r="I486" s="2"/>
      <c r="J486" s="2"/>
      <c r="K486" s="2"/>
      <c r="L486" s="2"/>
      <c r="M486" s="2"/>
      <c r="N486" s="3"/>
      <c r="O486" s="3"/>
      <c r="P486" s="3"/>
      <c r="Q486" s="1"/>
      <c r="R486" s="1"/>
      <c r="S486" s="1"/>
      <c r="T486" s="1"/>
      <c r="U486" s="1"/>
      <c r="V486" s="1"/>
      <c r="W486" s="1"/>
      <c r="X486" s="1"/>
      <c r="Y486" s="1"/>
      <c r="Z486" s="1"/>
      <c r="AA486" s="1"/>
      <c r="AB486" s="1"/>
      <c r="AC486" s="1"/>
      <c r="AD486" s="1"/>
      <c r="AE486" s="1"/>
      <c r="AF486" s="1"/>
      <c r="AG486" s="1"/>
      <c r="AH486" s="1"/>
      <c r="AI486" s="1"/>
      <c r="AJ486" s="1"/>
      <c r="AK486" s="1"/>
    </row>
    <row r="487" spans="1:37" ht="12.75" customHeight="1">
      <c r="A487" s="1"/>
      <c r="B487" s="1"/>
      <c r="C487" s="1"/>
      <c r="D487" s="1"/>
      <c r="E487" s="1"/>
      <c r="F487" s="2"/>
      <c r="G487" s="2"/>
      <c r="H487" s="2"/>
      <c r="I487" s="2"/>
      <c r="J487" s="2"/>
      <c r="K487" s="2"/>
      <c r="L487" s="2"/>
      <c r="M487" s="2"/>
      <c r="N487" s="3"/>
      <c r="O487" s="3"/>
      <c r="P487" s="3"/>
      <c r="Q487" s="1"/>
      <c r="R487" s="1"/>
      <c r="S487" s="1"/>
      <c r="T487" s="1"/>
      <c r="U487" s="1"/>
      <c r="V487" s="1"/>
      <c r="W487" s="1"/>
      <c r="X487" s="1"/>
      <c r="Y487" s="1"/>
      <c r="Z487" s="1"/>
      <c r="AA487" s="1"/>
      <c r="AB487" s="1"/>
      <c r="AC487" s="1"/>
      <c r="AD487" s="1"/>
      <c r="AE487" s="1"/>
      <c r="AF487" s="1"/>
      <c r="AG487" s="1"/>
      <c r="AH487" s="1"/>
      <c r="AI487" s="1"/>
      <c r="AJ487" s="1"/>
      <c r="AK487" s="1"/>
    </row>
    <row r="488" spans="1:37" ht="12.75" customHeight="1">
      <c r="A488" s="1"/>
      <c r="B488" s="1"/>
      <c r="C488" s="1"/>
      <c r="D488" s="1"/>
      <c r="E488" s="1"/>
      <c r="F488" s="2"/>
      <c r="G488" s="2"/>
      <c r="H488" s="2"/>
      <c r="I488" s="2"/>
      <c r="J488" s="2"/>
      <c r="K488" s="2"/>
      <c r="L488" s="2"/>
      <c r="M488" s="2"/>
      <c r="N488" s="3"/>
      <c r="O488" s="3"/>
      <c r="P488" s="3"/>
      <c r="Q488" s="1"/>
      <c r="R488" s="1"/>
      <c r="S488" s="1"/>
      <c r="T488" s="1"/>
      <c r="U488" s="1"/>
      <c r="V488" s="1"/>
      <c r="W488" s="1"/>
      <c r="X488" s="1"/>
      <c r="Y488" s="1"/>
      <c r="Z488" s="1"/>
      <c r="AA488" s="1"/>
      <c r="AB488" s="1"/>
      <c r="AC488" s="1"/>
      <c r="AD488" s="1"/>
      <c r="AE488" s="1"/>
      <c r="AF488" s="1"/>
      <c r="AG488" s="1"/>
      <c r="AH488" s="1"/>
      <c r="AI488" s="1"/>
      <c r="AJ488" s="1"/>
      <c r="AK488" s="1"/>
    </row>
    <row r="489" spans="1:37" ht="12.75" customHeight="1">
      <c r="A489" s="1"/>
      <c r="B489" s="1"/>
      <c r="C489" s="1"/>
      <c r="D489" s="1"/>
      <c r="E489" s="1"/>
      <c r="F489" s="2"/>
      <c r="G489" s="2"/>
      <c r="H489" s="2"/>
      <c r="I489" s="2"/>
      <c r="J489" s="2"/>
      <c r="K489" s="2"/>
      <c r="L489" s="2"/>
      <c r="M489" s="2"/>
      <c r="N489" s="3"/>
      <c r="O489" s="3"/>
      <c r="P489" s="3"/>
      <c r="Q489" s="1"/>
      <c r="R489" s="1"/>
      <c r="S489" s="1"/>
      <c r="T489" s="1"/>
      <c r="U489" s="1"/>
      <c r="V489" s="1"/>
      <c r="W489" s="1"/>
      <c r="X489" s="1"/>
      <c r="Y489" s="1"/>
      <c r="Z489" s="1"/>
      <c r="AA489" s="1"/>
      <c r="AB489" s="1"/>
      <c r="AC489" s="1"/>
      <c r="AD489" s="1"/>
      <c r="AE489" s="1"/>
      <c r="AF489" s="1"/>
      <c r="AG489" s="1"/>
      <c r="AH489" s="1"/>
      <c r="AI489" s="1"/>
      <c r="AJ489" s="1"/>
      <c r="AK489" s="1"/>
    </row>
    <row r="490" spans="1:37" ht="12.75" customHeight="1">
      <c r="A490" s="1"/>
      <c r="B490" s="1"/>
      <c r="C490" s="1"/>
      <c r="D490" s="1"/>
      <c r="E490" s="1"/>
      <c r="F490" s="2"/>
      <c r="G490" s="2"/>
      <c r="H490" s="2"/>
      <c r="I490" s="2"/>
      <c r="J490" s="2"/>
      <c r="K490" s="2"/>
      <c r="L490" s="2"/>
      <c r="M490" s="2"/>
      <c r="N490" s="3"/>
      <c r="O490" s="3"/>
      <c r="P490" s="3"/>
      <c r="Q490" s="1"/>
      <c r="R490" s="1"/>
      <c r="S490" s="1"/>
      <c r="T490" s="1"/>
      <c r="U490" s="1"/>
      <c r="V490" s="1"/>
      <c r="W490" s="1"/>
      <c r="X490" s="1"/>
      <c r="Y490" s="1"/>
      <c r="Z490" s="1"/>
      <c r="AA490" s="1"/>
      <c r="AB490" s="1"/>
      <c r="AC490" s="1"/>
      <c r="AD490" s="1"/>
      <c r="AE490" s="1"/>
      <c r="AF490" s="1"/>
      <c r="AG490" s="1"/>
      <c r="AH490" s="1"/>
      <c r="AI490" s="1"/>
      <c r="AJ490" s="1"/>
      <c r="AK490" s="1"/>
    </row>
    <row r="491" spans="1:37" ht="12.75" customHeight="1">
      <c r="A491" s="1"/>
      <c r="B491" s="1"/>
      <c r="C491" s="1"/>
      <c r="D491" s="1"/>
      <c r="E491" s="1"/>
      <c r="F491" s="2"/>
      <c r="G491" s="2"/>
      <c r="H491" s="2"/>
      <c r="I491" s="2"/>
      <c r="J491" s="2"/>
      <c r="K491" s="2"/>
      <c r="L491" s="2"/>
      <c r="M491" s="2"/>
      <c r="N491" s="3"/>
      <c r="O491" s="3"/>
      <c r="P491" s="3"/>
      <c r="Q491" s="1"/>
      <c r="R491" s="1"/>
      <c r="S491" s="1"/>
      <c r="T491" s="1"/>
      <c r="U491" s="1"/>
      <c r="V491" s="1"/>
      <c r="W491" s="1"/>
      <c r="X491" s="1"/>
      <c r="Y491" s="1"/>
      <c r="Z491" s="1"/>
      <c r="AA491" s="1"/>
      <c r="AB491" s="1"/>
      <c r="AC491" s="1"/>
      <c r="AD491" s="1"/>
      <c r="AE491" s="1"/>
      <c r="AF491" s="1"/>
      <c r="AG491" s="1"/>
      <c r="AH491" s="1"/>
      <c r="AI491" s="1"/>
      <c r="AJ491" s="1"/>
      <c r="AK491" s="1"/>
    </row>
    <row r="492" spans="1:37" ht="12.75" customHeight="1">
      <c r="A492" s="1"/>
      <c r="B492" s="1"/>
      <c r="C492" s="1"/>
      <c r="D492" s="1"/>
      <c r="E492" s="1"/>
      <c r="F492" s="2"/>
      <c r="G492" s="2"/>
      <c r="H492" s="2"/>
      <c r="I492" s="2"/>
      <c r="J492" s="2"/>
      <c r="K492" s="2"/>
      <c r="L492" s="2"/>
      <c r="M492" s="2"/>
      <c r="N492" s="3"/>
      <c r="O492" s="3"/>
      <c r="P492" s="3"/>
      <c r="Q492" s="1"/>
      <c r="R492" s="1"/>
      <c r="S492" s="1"/>
      <c r="T492" s="1"/>
      <c r="U492" s="1"/>
      <c r="V492" s="1"/>
      <c r="W492" s="1"/>
      <c r="X492" s="1"/>
      <c r="Y492" s="1"/>
      <c r="Z492" s="1"/>
      <c r="AA492" s="1"/>
      <c r="AB492" s="1"/>
      <c r="AC492" s="1"/>
      <c r="AD492" s="1"/>
      <c r="AE492" s="1"/>
      <c r="AF492" s="1"/>
      <c r="AG492" s="1"/>
      <c r="AH492" s="1"/>
      <c r="AI492" s="1"/>
      <c r="AJ492" s="1"/>
      <c r="AK492" s="1"/>
    </row>
    <row r="493" spans="1:37" ht="12.75" customHeight="1">
      <c r="A493" s="1"/>
      <c r="B493" s="1"/>
      <c r="C493" s="1"/>
      <c r="D493" s="1"/>
      <c r="E493" s="1"/>
      <c r="F493" s="2"/>
      <c r="G493" s="2"/>
      <c r="H493" s="2"/>
      <c r="I493" s="2"/>
      <c r="J493" s="2"/>
      <c r="K493" s="2"/>
      <c r="L493" s="2"/>
      <c r="M493" s="2"/>
      <c r="N493" s="3"/>
      <c r="O493" s="3"/>
      <c r="P493" s="3"/>
      <c r="Q493" s="1"/>
      <c r="R493" s="1"/>
      <c r="S493" s="1"/>
      <c r="T493" s="1"/>
      <c r="U493" s="1"/>
      <c r="V493" s="1"/>
      <c r="W493" s="1"/>
      <c r="X493" s="1"/>
      <c r="Y493" s="1"/>
      <c r="Z493" s="1"/>
      <c r="AA493" s="1"/>
      <c r="AB493" s="1"/>
      <c r="AC493" s="1"/>
      <c r="AD493" s="1"/>
      <c r="AE493" s="1"/>
      <c r="AF493" s="1"/>
      <c r="AG493" s="1"/>
      <c r="AH493" s="1"/>
      <c r="AI493" s="1"/>
      <c r="AJ493" s="1"/>
      <c r="AK493" s="1"/>
    </row>
    <row r="494" spans="1:37" ht="12.75" customHeight="1">
      <c r="A494" s="1"/>
      <c r="B494" s="1"/>
      <c r="C494" s="1"/>
      <c r="D494" s="1"/>
      <c r="E494" s="1"/>
      <c r="F494" s="2"/>
      <c r="G494" s="2"/>
      <c r="H494" s="2"/>
      <c r="I494" s="2"/>
      <c r="J494" s="2"/>
      <c r="K494" s="2"/>
      <c r="L494" s="2"/>
      <c r="M494" s="2"/>
      <c r="N494" s="3"/>
      <c r="O494" s="3"/>
      <c r="P494" s="3"/>
      <c r="Q494" s="1"/>
      <c r="R494" s="1"/>
      <c r="S494" s="1"/>
      <c r="T494" s="1"/>
      <c r="U494" s="1"/>
      <c r="V494" s="1"/>
      <c r="W494" s="1"/>
      <c r="X494" s="1"/>
      <c r="Y494" s="1"/>
      <c r="Z494" s="1"/>
      <c r="AA494" s="1"/>
      <c r="AB494" s="1"/>
      <c r="AC494" s="1"/>
      <c r="AD494" s="1"/>
      <c r="AE494" s="1"/>
      <c r="AF494" s="1"/>
      <c r="AG494" s="1"/>
      <c r="AH494" s="1"/>
      <c r="AI494" s="1"/>
      <c r="AJ494" s="1"/>
      <c r="AK494" s="1"/>
    </row>
    <row r="495" spans="1:37" ht="12.75" customHeight="1">
      <c r="A495" s="1"/>
      <c r="B495" s="1"/>
      <c r="C495" s="1"/>
      <c r="D495" s="1"/>
      <c r="E495" s="1"/>
      <c r="F495" s="2"/>
      <c r="G495" s="2"/>
      <c r="H495" s="2"/>
      <c r="I495" s="2"/>
      <c r="J495" s="2"/>
      <c r="K495" s="2"/>
      <c r="L495" s="2"/>
      <c r="M495" s="2"/>
      <c r="N495" s="3"/>
      <c r="O495" s="3"/>
      <c r="P495" s="3"/>
      <c r="Q495" s="1"/>
      <c r="R495" s="1"/>
      <c r="S495" s="1"/>
      <c r="T495" s="1"/>
      <c r="U495" s="1"/>
      <c r="V495" s="1"/>
      <c r="W495" s="1"/>
      <c r="X495" s="1"/>
      <c r="Y495" s="1"/>
      <c r="Z495" s="1"/>
      <c r="AA495" s="1"/>
      <c r="AB495" s="1"/>
      <c r="AC495" s="1"/>
      <c r="AD495" s="1"/>
      <c r="AE495" s="1"/>
      <c r="AF495" s="1"/>
      <c r="AG495" s="1"/>
      <c r="AH495" s="1"/>
      <c r="AI495" s="1"/>
      <c r="AJ495" s="1"/>
      <c r="AK495" s="1"/>
    </row>
    <row r="496" spans="1:37" ht="12.75" customHeight="1">
      <c r="A496" s="1"/>
      <c r="B496" s="1"/>
      <c r="C496" s="1"/>
      <c r="D496" s="1"/>
      <c r="E496" s="1"/>
      <c r="F496" s="2"/>
      <c r="G496" s="2"/>
      <c r="H496" s="2"/>
      <c r="I496" s="2"/>
      <c r="J496" s="2"/>
      <c r="K496" s="2"/>
      <c r="L496" s="2"/>
      <c r="M496" s="2"/>
      <c r="N496" s="3"/>
      <c r="O496" s="3"/>
      <c r="P496" s="3"/>
      <c r="Q496" s="1"/>
      <c r="R496" s="1"/>
      <c r="S496" s="1"/>
      <c r="T496" s="1"/>
      <c r="U496" s="1"/>
      <c r="V496" s="1"/>
      <c r="W496" s="1"/>
      <c r="X496" s="1"/>
      <c r="Y496" s="1"/>
      <c r="Z496" s="1"/>
      <c r="AA496" s="1"/>
      <c r="AB496" s="1"/>
      <c r="AC496" s="1"/>
      <c r="AD496" s="1"/>
      <c r="AE496" s="1"/>
      <c r="AF496" s="1"/>
      <c r="AG496" s="1"/>
      <c r="AH496" s="1"/>
      <c r="AI496" s="1"/>
      <c r="AJ496" s="1"/>
      <c r="AK496" s="1"/>
    </row>
    <row r="497" spans="1:37" ht="12.75" customHeight="1">
      <c r="A497" s="1"/>
      <c r="B497" s="1"/>
      <c r="C497" s="1"/>
      <c r="D497" s="1"/>
      <c r="E497" s="1"/>
      <c r="F497" s="2"/>
      <c r="G497" s="2"/>
      <c r="H497" s="2"/>
      <c r="I497" s="2"/>
      <c r="J497" s="2"/>
      <c r="K497" s="2"/>
      <c r="L497" s="2"/>
      <c r="M497" s="2"/>
      <c r="N497" s="3"/>
      <c r="O497" s="3"/>
      <c r="P497" s="3"/>
      <c r="Q497" s="1"/>
      <c r="R497" s="1"/>
      <c r="S497" s="1"/>
      <c r="T497" s="1"/>
      <c r="U497" s="1"/>
      <c r="V497" s="1"/>
      <c r="W497" s="1"/>
      <c r="X497" s="1"/>
      <c r="Y497" s="1"/>
      <c r="Z497" s="1"/>
      <c r="AA497" s="1"/>
      <c r="AB497" s="1"/>
      <c r="AC497" s="1"/>
      <c r="AD497" s="1"/>
      <c r="AE497" s="1"/>
      <c r="AF497" s="1"/>
      <c r="AG497" s="1"/>
      <c r="AH497" s="1"/>
      <c r="AI497" s="1"/>
      <c r="AJ497" s="1"/>
      <c r="AK497" s="1"/>
    </row>
    <row r="498" spans="1:37" ht="12.75" customHeight="1">
      <c r="A498" s="1"/>
      <c r="B498" s="1"/>
      <c r="C498" s="1"/>
      <c r="D498" s="1"/>
      <c r="E498" s="1"/>
      <c r="F498" s="2"/>
      <c r="G498" s="2"/>
      <c r="H498" s="2"/>
      <c r="I498" s="2"/>
      <c r="J498" s="2"/>
      <c r="K498" s="2"/>
      <c r="L498" s="2"/>
      <c r="M498" s="2"/>
      <c r="N498" s="3"/>
      <c r="O498" s="3"/>
      <c r="P498" s="3"/>
      <c r="Q498" s="1"/>
      <c r="R498" s="1"/>
      <c r="S498" s="1"/>
      <c r="T498" s="1"/>
      <c r="U498" s="1"/>
      <c r="V498" s="1"/>
      <c r="W498" s="1"/>
      <c r="X498" s="1"/>
      <c r="Y498" s="1"/>
      <c r="Z498" s="1"/>
      <c r="AA498" s="1"/>
      <c r="AB498" s="1"/>
      <c r="AC498" s="1"/>
      <c r="AD498" s="1"/>
      <c r="AE498" s="1"/>
      <c r="AF498" s="1"/>
      <c r="AG498" s="1"/>
      <c r="AH498" s="1"/>
      <c r="AI498" s="1"/>
      <c r="AJ498" s="1"/>
      <c r="AK498" s="1"/>
    </row>
    <row r="499" spans="1:37" ht="12.75" customHeight="1">
      <c r="A499" s="1"/>
      <c r="B499" s="1"/>
      <c r="C499" s="1"/>
      <c r="D499" s="1"/>
      <c r="E499" s="1"/>
      <c r="F499" s="2"/>
      <c r="G499" s="2"/>
      <c r="H499" s="2"/>
      <c r="I499" s="2"/>
      <c r="J499" s="2"/>
      <c r="K499" s="2"/>
      <c r="L499" s="2"/>
      <c r="M499" s="2"/>
      <c r="N499" s="3"/>
      <c r="O499" s="3"/>
      <c r="P499" s="3"/>
      <c r="Q499" s="1"/>
      <c r="R499" s="1"/>
      <c r="S499" s="1"/>
      <c r="T499" s="1"/>
      <c r="U499" s="1"/>
      <c r="V499" s="1"/>
      <c r="W499" s="1"/>
      <c r="X499" s="1"/>
      <c r="Y499" s="1"/>
      <c r="Z499" s="1"/>
      <c r="AA499" s="1"/>
      <c r="AB499" s="1"/>
      <c r="AC499" s="1"/>
      <c r="AD499" s="1"/>
      <c r="AE499" s="1"/>
      <c r="AF499" s="1"/>
      <c r="AG499" s="1"/>
      <c r="AH499" s="1"/>
      <c r="AI499" s="1"/>
      <c r="AJ499" s="1"/>
      <c r="AK499" s="1"/>
    </row>
    <row r="500" spans="1:37" ht="12.75" customHeight="1">
      <c r="A500" s="1"/>
      <c r="B500" s="1"/>
      <c r="C500" s="1"/>
      <c r="D500" s="1"/>
      <c r="E500" s="1"/>
      <c r="F500" s="2"/>
      <c r="G500" s="2"/>
      <c r="H500" s="2"/>
      <c r="I500" s="2"/>
      <c r="J500" s="2"/>
      <c r="K500" s="2"/>
      <c r="L500" s="2"/>
      <c r="M500" s="2"/>
      <c r="N500" s="3"/>
      <c r="O500" s="3"/>
      <c r="P500" s="3"/>
      <c r="Q500" s="1"/>
      <c r="R500" s="1"/>
      <c r="S500" s="1"/>
      <c r="T500" s="1"/>
      <c r="U500" s="1"/>
      <c r="V500" s="1"/>
      <c r="W500" s="1"/>
      <c r="X500" s="1"/>
      <c r="Y500" s="1"/>
      <c r="Z500" s="1"/>
      <c r="AA500" s="1"/>
      <c r="AB500" s="1"/>
      <c r="AC500" s="1"/>
      <c r="AD500" s="1"/>
      <c r="AE500" s="1"/>
      <c r="AF500" s="1"/>
      <c r="AG500" s="1"/>
      <c r="AH500" s="1"/>
      <c r="AI500" s="1"/>
      <c r="AJ500" s="1"/>
      <c r="AK500" s="1"/>
    </row>
    <row r="501" spans="1:37" ht="12.75" customHeight="1">
      <c r="A501" s="1"/>
      <c r="B501" s="1"/>
      <c r="C501" s="1"/>
      <c r="D501" s="1"/>
      <c r="E501" s="1"/>
      <c r="F501" s="2"/>
      <c r="G501" s="2"/>
      <c r="H501" s="2"/>
      <c r="I501" s="2"/>
      <c r="J501" s="2"/>
      <c r="K501" s="2"/>
      <c r="L501" s="2"/>
      <c r="M501" s="2"/>
      <c r="N501" s="3"/>
      <c r="O501" s="3"/>
      <c r="P501" s="3"/>
      <c r="Q501" s="1"/>
      <c r="R501" s="1"/>
      <c r="S501" s="1"/>
      <c r="T501" s="1"/>
      <c r="U501" s="1"/>
      <c r="V501" s="1"/>
      <c r="W501" s="1"/>
      <c r="X501" s="1"/>
      <c r="Y501" s="1"/>
      <c r="Z501" s="1"/>
      <c r="AA501" s="1"/>
      <c r="AB501" s="1"/>
      <c r="AC501" s="1"/>
      <c r="AD501" s="1"/>
      <c r="AE501" s="1"/>
      <c r="AF501" s="1"/>
      <c r="AG501" s="1"/>
      <c r="AH501" s="1"/>
      <c r="AI501" s="1"/>
      <c r="AJ501" s="1"/>
      <c r="AK501" s="1"/>
    </row>
    <row r="502" spans="1:37" ht="12.75" customHeight="1">
      <c r="A502" s="1"/>
      <c r="B502" s="1"/>
      <c r="C502" s="1"/>
      <c r="D502" s="1"/>
      <c r="E502" s="1"/>
      <c r="F502" s="2"/>
      <c r="G502" s="2"/>
      <c r="H502" s="2"/>
      <c r="I502" s="2"/>
      <c r="J502" s="2"/>
      <c r="K502" s="2"/>
      <c r="L502" s="2"/>
      <c r="M502" s="2"/>
      <c r="N502" s="3"/>
      <c r="O502" s="3"/>
      <c r="P502" s="3"/>
      <c r="Q502" s="1"/>
      <c r="R502" s="1"/>
      <c r="S502" s="1"/>
      <c r="T502" s="1"/>
      <c r="U502" s="1"/>
      <c r="V502" s="1"/>
      <c r="W502" s="1"/>
      <c r="X502" s="1"/>
      <c r="Y502" s="1"/>
      <c r="Z502" s="1"/>
      <c r="AA502" s="1"/>
      <c r="AB502" s="1"/>
      <c r="AC502" s="1"/>
      <c r="AD502" s="1"/>
      <c r="AE502" s="1"/>
      <c r="AF502" s="1"/>
      <c r="AG502" s="1"/>
      <c r="AH502" s="1"/>
      <c r="AI502" s="1"/>
      <c r="AJ502" s="1"/>
      <c r="AK502" s="1"/>
    </row>
    <row r="503" spans="1:37" ht="12.75" customHeight="1">
      <c r="A503" s="1"/>
      <c r="B503" s="1"/>
      <c r="C503" s="1"/>
      <c r="D503" s="1"/>
      <c r="E503" s="1"/>
      <c r="F503" s="2"/>
      <c r="G503" s="2"/>
      <c r="H503" s="2"/>
      <c r="I503" s="2"/>
      <c r="J503" s="2"/>
      <c r="K503" s="2"/>
      <c r="L503" s="2"/>
      <c r="M503" s="2"/>
      <c r="N503" s="3"/>
      <c r="O503" s="3"/>
      <c r="P503" s="3"/>
      <c r="Q503" s="1"/>
      <c r="R503" s="1"/>
      <c r="S503" s="1"/>
      <c r="T503" s="1"/>
      <c r="U503" s="1"/>
      <c r="V503" s="1"/>
      <c r="W503" s="1"/>
      <c r="X503" s="1"/>
      <c r="Y503" s="1"/>
      <c r="Z503" s="1"/>
      <c r="AA503" s="1"/>
      <c r="AB503" s="1"/>
      <c r="AC503" s="1"/>
      <c r="AD503" s="1"/>
      <c r="AE503" s="1"/>
      <c r="AF503" s="1"/>
      <c r="AG503" s="1"/>
      <c r="AH503" s="1"/>
      <c r="AI503" s="1"/>
      <c r="AJ503" s="1"/>
      <c r="AK503" s="1"/>
    </row>
    <row r="504" spans="1:37" ht="12.75" customHeight="1">
      <c r="A504" s="1"/>
      <c r="B504" s="1"/>
      <c r="C504" s="1"/>
      <c r="D504" s="1"/>
      <c r="E504" s="1"/>
      <c r="F504" s="2"/>
      <c r="G504" s="2"/>
      <c r="H504" s="2"/>
      <c r="I504" s="2"/>
      <c r="J504" s="2"/>
      <c r="K504" s="2"/>
      <c r="L504" s="2"/>
      <c r="M504" s="2"/>
      <c r="N504" s="3"/>
      <c r="O504" s="3"/>
      <c r="P504" s="3"/>
      <c r="Q504" s="1"/>
      <c r="R504" s="1"/>
      <c r="S504" s="1"/>
      <c r="T504" s="1"/>
      <c r="U504" s="1"/>
      <c r="V504" s="1"/>
      <c r="W504" s="1"/>
      <c r="X504" s="1"/>
      <c r="Y504" s="1"/>
      <c r="Z504" s="1"/>
      <c r="AA504" s="1"/>
      <c r="AB504" s="1"/>
      <c r="AC504" s="1"/>
      <c r="AD504" s="1"/>
      <c r="AE504" s="1"/>
      <c r="AF504" s="1"/>
      <c r="AG504" s="1"/>
      <c r="AH504" s="1"/>
      <c r="AI504" s="1"/>
      <c r="AJ504" s="1"/>
      <c r="AK504" s="1"/>
    </row>
    <row r="505" spans="1:37" ht="12.75" customHeight="1">
      <c r="A505" s="1"/>
      <c r="B505" s="1"/>
      <c r="C505" s="1"/>
      <c r="D505" s="1"/>
      <c r="E505" s="1"/>
      <c r="F505" s="2"/>
      <c r="G505" s="2"/>
      <c r="H505" s="2"/>
      <c r="I505" s="2"/>
      <c r="J505" s="2"/>
      <c r="K505" s="2"/>
      <c r="L505" s="2"/>
      <c r="M505" s="2"/>
      <c r="N505" s="3"/>
      <c r="O505" s="3"/>
      <c r="P505" s="3"/>
      <c r="Q505" s="1"/>
      <c r="R505" s="1"/>
      <c r="S505" s="1"/>
      <c r="T505" s="1"/>
      <c r="U505" s="1"/>
      <c r="V505" s="1"/>
      <c r="W505" s="1"/>
      <c r="X505" s="1"/>
      <c r="Y505" s="1"/>
      <c r="Z505" s="1"/>
      <c r="AA505" s="1"/>
      <c r="AB505" s="1"/>
      <c r="AC505" s="1"/>
      <c r="AD505" s="1"/>
      <c r="AE505" s="1"/>
      <c r="AF505" s="1"/>
      <c r="AG505" s="1"/>
      <c r="AH505" s="1"/>
      <c r="AI505" s="1"/>
      <c r="AJ505" s="1"/>
      <c r="AK505" s="1"/>
    </row>
    <row r="506" spans="1:37" ht="12.75" customHeight="1">
      <c r="A506" s="1"/>
      <c r="B506" s="1"/>
      <c r="C506" s="1"/>
      <c r="D506" s="1"/>
      <c r="E506" s="1"/>
      <c r="F506" s="2"/>
      <c r="G506" s="2"/>
      <c r="H506" s="2"/>
      <c r="I506" s="2"/>
      <c r="J506" s="2"/>
      <c r="K506" s="2"/>
      <c r="L506" s="2"/>
      <c r="M506" s="2"/>
      <c r="N506" s="3"/>
      <c r="O506" s="3"/>
      <c r="P506" s="3"/>
      <c r="Q506" s="1"/>
      <c r="R506" s="1"/>
      <c r="S506" s="1"/>
      <c r="T506" s="1"/>
      <c r="U506" s="1"/>
      <c r="V506" s="1"/>
      <c r="W506" s="1"/>
      <c r="X506" s="1"/>
      <c r="Y506" s="1"/>
      <c r="Z506" s="1"/>
      <c r="AA506" s="1"/>
      <c r="AB506" s="1"/>
      <c r="AC506" s="1"/>
      <c r="AD506" s="1"/>
      <c r="AE506" s="1"/>
      <c r="AF506" s="1"/>
      <c r="AG506" s="1"/>
      <c r="AH506" s="1"/>
      <c r="AI506" s="1"/>
      <c r="AJ506" s="1"/>
      <c r="AK506" s="1"/>
    </row>
    <row r="507" spans="1:37" ht="12.75" customHeight="1">
      <c r="A507" s="1"/>
      <c r="B507" s="1"/>
      <c r="C507" s="1"/>
      <c r="D507" s="1"/>
      <c r="E507" s="1"/>
      <c r="F507" s="2"/>
      <c r="G507" s="2"/>
      <c r="H507" s="2"/>
      <c r="I507" s="2"/>
      <c r="J507" s="2"/>
      <c r="K507" s="2"/>
      <c r="L507" s="2"/>
      <c r="M507" s="2"/>
      <c r="N507" s="3"/>
      <c r="O507" s="3"/>
      <c r="P507" s="3"/>
      <c r="Q507" s="1"/>
      <c r="R507" s="1"/>
      <c r="S507" s="1"/>
      <c r="T507" s="1"/>
      <c r="U507" s="1"/>
      <c r="V507" s="1"/>
      <c r="W507" s="1"/>
      <c r="X507" s="1"/>
      <c r="Y507" s="1"/>
      <c r="Z507" s="1"/>
      <c r="AA507" s="1"/>
      <c r="AB507" s="1"/>
      <c r="AC507" s="1"/>
      <c r="AD507" s="1"/>
      <c r="AE507" s="1"/>
      <c r="AF507" s="1"/>
      <c r="AG507" s="1"/>
      <c r="AH507" s="1"/>
      <c r="AI507" s="1"/>
      <c r="AJ507" s="1"/>
      <c r="AK507" s="1"/>
    </row>
    <row r="508" spans="1:37" ht="12.75" customHeight="1">
      <c r="A508" s="1"/>
      <c r="B508" s="1"/>
      <c r="C508" s="1"/>
      <c r="D508" s="1"/>
      <c r="E508" s="1"/>
      <c r="F508" s="2"/>
      <c r="G508" s="2"/>
      <c r="H508" s="2"/>
      <c r="I508" s="2"/>
      <c r="J508" s="2"/>
      <c r="K508" s="2"/>
      <c r="L508" s="2"/>
      <c r="M508" s="2"/>
      <c r="N508" s="3"/>
      <c r="O508" s="3"/>
      <c r="P508" s="3"/>
      <c r="Q508" s="1"/>
      <c r="R508" s="1"/>
      <c r="S508" s="1"/>
      <c r="T508" s="1"/>
      <c r="U508" s="1"/>
      <c r="V508" s="1"/>
      <c r="W508" s="1"/>
      <c r="X508" s="1"/>
      <c r="Y508" s="1"/>
      <c r="Z508" s="1"/>
      <c r="AA508" s="1"/>
      <c r="AB508" s="1"/>
      <c r="AC508" s="1"/>
      <c r="AD508" s="1"/>
      <c r="AE508" s="1"/>
      <c r="AF508" s="1"/>
      <c r="AG508" s="1"/>
      <c r="AH508" s="1"/>
      <c r="AI508" s="1"/>
      <c r="AJ508" s="1"/>
      <c r="AK508" s="1"/>
    </row>
    <row r="509" spans="1:37" ht="12.75" customHeight="1">
      <c r="A509" s="1"/>
      <c r="B509" s="1"/>
      <c r="C509" s="1"/>
      <c r="D509" s="1"/>
      <c r="E509" s="1"/>
      <c r="F509" s="2"/>
      <c r="G509" s="2"/>
      <c r="H509" s="2"/>
      <c r="I509" s="2"/>
      <c r="J509" s="2"/>
      <c r="K509" s="2"/>
      <c r="L509" s="2"/>
      <c r="M509" s="2"/>
      <c r="N509" s="3"/>
      <c r="O509" s="3"/>
      <c r="P509" s="3"/>
      <c r="Q509" s="1"/>
      <c r="R509" s="1"/>
      <c r="S509" s="1"/>
      <c r="T509" s="1"/>
      <c r="U509" s="1"/>
      <c r="V509" s="1"/>
      <c r="W509" s="1"/>
      <c r="X509" s="1"/>
      <c r="Y509" s="1"/>
      <c r="Z509" s="1"/>
      <c r="AA509" s="1"/>
      <c r="AB509" s="1"/>
      <c r="AC509" s="1"/>
      <c r="AD509" s="1"/>
      <c r="AE509" s="1"/>
      <c r="AF509" s="1"/>
      <c r="AG509" s="1"/>
      <c r="AH509" s="1"/>
      <c r="AI509" s="1"/>
      <c r="AJ509" s="1"/>
      <c r="AK509" s="1"/>
    </row>
    <row r="510" spans="1:37" ht="12.75" customHeight="1">
      <c r="A510" s="1"/>
      <c r="B510" s="1"/>
      <c r="C510" s="1"/>
      <c r="D510" s="1"/>
      <c r="E510" s="1"/>
      <c r="F510" s="2"/>
      <c r="G510" s="2"/>
      <c r="H510" s="2"/>
      <c r="I510" s="2"/>
      <c r="J510" s="2"/>
      <c r="K510" s="2"/>
      <c r="L510" s="2"/>
      <c r="M510" s="2"/>
      <c r="N510" s="3"/>
      <c r="O510" s="3"/>
      <c r="P510" s="3"/>
      <c r="Q510" s="1"/>
      <c r="R510" s="1"/>
      <c r="S510" s="1"/>
      <c r="T510" s="1"/>
      <c r="U510" s="1"/>
      <c r="V510" s="1"/>
      <c r="W510" s="1"/>
      <c r="X510" s="1"/>
      <c r="Y510" s="1"/>
      <c r="Z510" s="1"/>
      <c r="AA510" s="1"/>
      <c r="AB510" s="1"/>
      <c r="AC510" s="1"/>
      <c r="AD510" s="1"/>
      <c r="AE510" s="1"/>
      <c r="AF510" s="1"/>
      <c r="AG510" s="1"/>
      <c r="AH510" s="1"/>
      <c r="AI510" s="1"/>
      <c r="AJ510" s="1"/>
      <c r="AK510" s="1"/>
    </row>
    <row r="511" spans="1:37" ht="12.75" customHeight="1">
      <c r="A511" s="1"/>
      <c r="B511" s="1"/>
      <c r="C511" s="1"/>
      <c r="D511" s="1"/>
      <c r="E511" s="1"/>
      <c r="F511" s="2"/>
      <c r="G511" s="2"/>
      <c r="H511" s="2"/>
      <c r="I511" s="2"/>
      <c r="J511" s="2"/>
      <c r="K511" s="2"/>
      <c r="L511" s="2"/>
      <c r="M511" s="2"/>
      <c r="N511" s="3"/>
      <c r="O511" s="3"/>
      <c r="P511" s="3"/>
      <c r="Q511" s="1"/>
      <c r="R511" s="1"/>
      <c r="S511" s="1"/>
      <c r="T511" s="1"/>
      <c r="U511" s="1"/>
      <c r="V511" s="1"/>
      <c r="W511" s="1"/>
      <c r="X511" s="1"/>
      <c r="Y511" s="1"/>
      <c r="Z511" s="1"/>
      <c r="AA511" s="1"/>
      <c r="AB511" s="1"/>
      <c r="AC511" s="1"/>
      <c r="AD511" s="1"/>
      <c r="AE511" s="1"/>
      <c r="AF511" s="1"/>
      <c r="AG511" s="1"/>
      <c r="AH511" s="1"/>
      <c r="AI511" s="1"/>
      <c r="AJ511" s="1"/>
      <c r="AK511" s="1"/>
    </row>
    <row r="512" spans="1:37" ht="12.75" customHeight="1">
      <c r="A512" s="1"/>
      <c r="B512" s="1"/>
      <c r="C512" s="1"/>
      <c r="D512" s="1"/>
      <c r="E512" s="1"/>
      <c r="F512" s="2"/>
      <c r="G512" s="2"/>
      <c r="H512" s="2"/>
      <c r="I512" s="2"/>
      <c r="J512" s="2"/>
      <c r="K512" s="2"/>
      <c r="L512" s="2"/>
      <c r="M512" s="2"/>
      <c r="N512" s="3"/>
      <c r="O512" s="3"/>
      <c r="P512" s="3"/>
      <c r="Q512" s="1"/>
      <c r="R512" s="1"/>
      <c r="S512" s="1"/>
      <c r="T512" s="1"/>
      <c r="U512" s="1"/>
      <c r="V512" s="1"/>
      <c r="W512" s="1"/>
      <c r="X512" s="1"/>
      <c r="Y512" s="1"/>
      <c r="Z512" s="1"/>
      <c r="AA512" s="1"/>
      <c r="AB512" s="1"/>
      <c r="AC512" s="1"/>
      <c r="AD512" s="1"/>
      <c r="AE512" s="1"/>
      <c r="AF512" s="1"/>
      <c r="AG512" s="1"/>
      <c r="AH512" s="1"/>
      <c r="AI512" s="1"/>
      <c r="AJ512" s="1"/>
      <c r="AK512" s="1"/>
    </row>
    <row r="513" spans="1:37" ht="12.75" customHeight="1">
      <c r="A513" s="1"/>
      <c r="B513" s="1"/>
      <c r="C513" s="1"/>
      <c r="D513" s="1"/>
      <c r="E513" s="1"/>
      <c r="F513" s="2"/>
      <c r="G513" s="2"/>
      <c r="H513" s="2"/>
      <c r="I513" s="2"/>
      <c r="J513" s="2"/>
      <c r="K513" s="2"/>
      <c r="L513" s="2"/>
      <c r="M513" s="2"/>
      <c r="N513" s="3"/>
      <c r="O513" s="3"/>
      <c r="P513" s="3"/>
      <c r="Q513" s="1"/>
      <c r="R513" s="1"/>
      <c r="S513" s="1"/>
      <c r="T513" s="1"/>
      <c r="U513" s="1"/>
      <c r="V513" s="1"/>
      <c r="W513" s="1"/>
      <c r="X513" s="1"/>
      <c r="Y513" s="1"/>
      <c r="Z513" s="1"/>
      <c r="AA513" s="1"/>
      <c r="AB513" s="1"/>
      <c r="AC513" s="1"/>
      <c r="AD513" s="1"/>
      <c r="AE513" s="1"/>
      <c r="AF513" s="1"/>
      <c r="AG513" s="1"/>
      <c r="AH513" s="1"/>
      <c r="AI513" s="1"/>
      <c r="AJ513" s="1"/>
      <c r="AK513" s="1"/>
    </row>
    <row r="514" spans="1:37" ht="12.75" customHeight="1">
      <c r="A514" s="1"/>
      <c r="B514" s="1"/>
      <c r="C514" s="1"/>
      <c r="D514" s="1"/>
      <c r="E514" s="1"/>
      <c r="F514" s="2"/>
      <c r="G514" s="2"/>
      <c r="H514" s="2"/>
      <c r="I514" s="2"/>
      <c r="J514" s="2"/>
      <c r="K514" s="2"/>
      <c r="L514" s="2"/>
      <c r="M514" s="2"/>
      <c r="N514" s="3"/>
      <c r="O514" s="3"/>
      <c r="P514" s="3"/>
      <c r="Q514" s="1"/>
      <c r="R514" s="1"/>
      <c r="S514" s="1"/>
      <c r="T514" s="1"/>
      <c r="U514" s="1"/>
      <c r="V514" s="1"/>
      <c r="W514" s="1"/>
      <c r="X514" s="1"/>
      <c r="Y514" s="1"/>
      <c r="Z514" s="1"/>
      <c r="AA514" s="1"/>
      <c r="AB514" s="1"/>
      <c r="AC514" s="1"/>
      <c r="AD514" s="1"/>
      <c r="AE514" s="1"/>
      <c r="AF514" s="1"/>
      <c r="AG514" s="1"/>
      <c r="AH514" s="1"/>
      <c r="AI514" s="1"/>
      <c r="AJ514" s="1"/>
      <c r="AK514" s="1"/>
    </row>
    <row r="515" spans="1:37" ht="12.75" customHeight="1">
      <c r="A515" s="1"/>
      <c r="B515" s="1"/>
      <c r="C515" s="1"/>
      <c r="D515" s="1"/>
      <c r="E515" s="1"/>
      <c r="F515" s="2"/>
      <c r="G515" s="2"/>
      <c r="H515" s="2"/>
      <c r="I515" s="2"/>
      <c r="J515" s="2"/>
      <c r="K515" s="2"/>
      <c r="L515" s="2"/>
      <c r="M515" s="2"/>
      <c r="N515" s="3"/>
      <c r="O515" s="3"/>
      <c r="P515" s="3"/>
      <c r="Q515" s="1"/>
      <c r="R515" s="1"/>
      <c r="S515" s="1"/>
      <c r="T515" s="1"/>
      <c r="U515" s="1"/>
      <c r="V515" s="1"/>
      <c r="W515" s="1"/>
      <c r="X515" s="1"/>
      <c r="Y515" s="1"/>
      <c r="Z515" s="1"/>
      <c r="AA515" s="1"/>
      <c r="AB515" s="1"/>
      <c r="AC515" s="1"/>
      <c r="AD515" s="1"/>
      <c r="AE515" s="1"/>
      <c r="AF515" s="1"/>
      <c r="AG515" s="1"/>
      <c r="AH515" s="1"/>
      <c r="AI515" s="1"/>
      <c r="AJ515" s="1"/>
      <c r="AK515" s="1"/>
    </row>
    <row r="516" spans="1:37" ht="12.75" customHeight="1">
      <c r="A516" s="1"/>
      <c r="B516" s="1"/>
      <c r="C516" s="1"/>
      <c r="D516" s="1"/>
      <c r="E516" s="1"/>
      <c r="F516" s="2"/>
      <c r="G516" s="2"/>
      <c r="H516" s="2"/>
      <c r="I516" s="2"/>
      <c r="J516" s="2"/>
      <c r="K516" s="2"/>
      <c r="L516" s="2"/>
      <c r="M516" s="2"/>
      <c r="N516" s="3"/>
      <c r="O516" s="3"/>
      <c r="P516" s="3"/>
      <c r="Q516" s="1"/>
      <c r="R516" s="1"/>
      <c r="S516" s="1"/>
      <c r="T516" s="1"/>
      <c r="U516" s="1"/>
      <c r="V516" s="1"/>
      <c r="W516" s="1"/>
      <c r="X516" s="1"/>
      <c r="Y516" s="1"/>
      <c r="Z516" s="1"/>
      <c r="AA516" s="1"/>
      <c r="AB516" s="1"/>
      <c r="AC516" s="1"/>
      <c r="AD516" s="1"/>
      <c r="AE516" s="1"/>
      <c r="AF516" s="1"/>
      <c r="AG516" s="1"/>
      <c r="AH516" s="1"/>
      <c r="AI516" s="1"/>
      <c r="AJ516" s="1"/>
      <c r="AK516" s="1"/>
    </row>
    <row r="517" spans="1:37" ht="12.75" customHeight="1">
      <c r="A517" s="1"/>
      <c r="B517" s="1"/>
      <c r="C517" s="1"/>
      <c r="D517" s="1"/>
      <c r="E517" s="1"/>
      <c r="F517" s="2"/>
      <c r="G517" s="2"/>
      <c r="H517" s="2"/>
      <c r="I517" s="2"/>
      <c r="J517" s="2"/>
      <c r="K517" s="2"/>
      <c r="L517" s="2"/>
      <c r="M517" s="2"/>
      <c r="N517" s="3"/>
      <c r="O517" s="3"/>
      <c r="P517" s="3"/>
      <c r="Q517" s="1"/>
      <c r="R517" s="1"/>
      <c r="S517" s="1"/>
      <c r="T517" s="1"/>
      <c r="U517" s="1"/>
      <c r="V517" s="1"/>
      <c r="W517" s="1"/>
      <c r="X517" s="1"/>
      <c r="Y517" s="1"/>
      <c r="Z517" s="1"/>
      <c r="AA517" s="1"/>
      <c r="AB517" s="1"/>
      <c r="AC517" s="1"/>
      <c r="AD517" s="1"/>
      <c r="AE517" s="1"/>
      <c r="AF517" s="1"/>
      <c r="AG517" s="1"/>
      <c r="AH517" s="1"/>
      <c r="AI517" s="1"/>
      <c r="AJ517" s="1"/>
      <c r="AK517" s="1"/>
    </row>
    <row r="518" spans="1:37" ht="12.75" customHeight="1">
      <c r="A518" s="1"/>
      <c r="B518" s="1"/>
      <c r="C518" s="1"/>
      <c r="D518" s="1"/>
      <c r="E518" s="1"/>
      <c r="F518" s="2"/>
      <c r="G518" s="2"/>
      <c r="H518" s="2"/>
      <c r="I518" s="2"/>
      <c r="J518" s="2"/>
      <c r="K518" s="2"/>
      <c r="L518" s="2"/>
      <c r="M518" s="2"/>
      <c r="N518" s="3"/>
      <c r="O518" s="3"/>
      <c r="P518" s="3"/>
      <c r="Q518" s="1"/>
      <c r="R518" s="1"/>
      <c r="S518" s="1"/>
      <c r="T518" s="1"/>
      <c r="U518" s="1"/>
      <c r="V518" s="1"/>
      <c r="W518" s="1"/>
      <c r="X518" s="1"/>
      <c r="Y518" s="1"/>
      <c r="Z518" s="1"/>
      <c r="AA518" s="1"/>
      <c r="AB518" s="1"/>
      <c r="AC518" s="1"/>
      <c r="AD518" s="1"/>
      <c r="AE518" s="1"/>
      <c r="AF518" s="1"/>
      <c r="AG518" s="1"/>
      <c r="AH518" s="1"/>
      <c r="AI518" s="1"/>
      <c r="AJ518" s="1"/>
      <c r="AK518" s="1"/>
    </row>
    <row r="519" spans="1:37" ht="12.75" customHeight="1">
      <c r="A519" s="1"/>
      <c r="B519" s="1"/>
      <c r="C519" s="1"/>
      <c r="D519" s="1"/>
      <c r="E519" s="1"/>
      <c r="F519" s="2"/>
      <c r="G519" s="2"/>
      <c r="H519" s="2"/>
      <c r="I519" s="2"/>
      <c r="J519" s="2"/>
      <c r="K519" s="2"/>
      <c r="L519" s="2"/>
      <c r="M519" s="2"/>
      <c r="N519" s="3"/>
      <c r="O519" s="3"/>
      <c r="P519" s="3"/>
      <c r="Q519" s="1"/>
      <c r="R519" s="1"/>
      <c r="S519" s="1"/>
      <c r="T519" s="1"/>
      <c r="U519" s="1"/>
      <c r="V519" s="1"/>
      <c r="W519" s="1"/>
      <c r="X519" s="1"/>
      <c r="Y519" s="1"/>
      <c r="Z519" s="1"/>
      <c r="AA519" s="1"/>
      <c r="AB519" s="1"/>
      <c r="AC519" s="1"/>
      <c r="AD519" s="1"/>
      <c r="AE519" s="1"/>
      <c r="AF519" s="1"/>
      <c r="AG519" s="1"/>
      <c r="AH519" s="1"/>
      <c r="AI519" s="1"/>
      <c r="AJ519" s="1"/>
      <c r="AK519" s="1"/>
    </row>
    <row r="520" spans="1:37" ht="12.75" customHeight="1">
      <c r="A520" s="1"/>
      <c r="B520" s="1"/>
      <c r="C520" s="1"/>
      <c r="D520" s="1"/>
      <c r="E520" s="1"/>
      <c r="F520" s="2"/>
      <c r="G520" s="2"/>
      <c r="H520" s="2"/>
      <c r="I520" s="2"/>
      <c r="J520" s="2"/>
      <c r="K520" s="2"/>
      <c r="L520" s="2"/>
      <c r="M520" s="2"/>
      <c r="N520" s="3"/>
      <c r="O520" s="3"/>
      <c r="P520" s="3"/>
      <c r="Q520" s="1"/>
      <c r="R520" s="1"/>
      <c r="S520" s="1"/>
      <c r="T520" s="1"/>
      <c r="U520" s="1"/>
      <c r="V520" s="1"/>
      <c r="W520" s="1"/>
      <c r="X520" s="1"/>
      <c r="Y520" s="1"/>
      <c r="Z520" s="1"/>
      <c r="AA520" s="1"/>
      <c r="AB520" s="1"/>
      <c r="AC520" s="1"/>
      <c r="AD520" s="1"/>
      <c r="AE520" s="1"/>
      <c r="AF520" s="1"/>
      <c r="AG520" s="1"/>
      <c r="AH520" s="1"/>
      <c r="AI520" s="1"/>
      <c r="AJ520" s="1"/>
      <c r="AK520" s="1"/>
    </row>
    <row r="521" spans="1:37" ht="12.75" customHeight="1">
      <c r="A521" s="1"/>
      <c r="B521" s="1"/>
      <c r="C521" s="1"/>
      <c r="D521" s="1"/>
      <c r="E521" s="1"/>
      <c r="F521" s="2"/>
      <c r="G521" s="2"/>
      <c r="H521" s="2"/>
      <c r="I521" s="2"/>
      <c r="J521" s="2"/>
      <c r="K521" s="2"/>
      <c r="L521" s="2"/>
      <c r="M521" s="2"/>
      <c r="N521" s="3"/>
      <c r="O521" s="3"/>
      <c r="P521" s="3"/>
      <c r="Q521" s="1"/>
      <c r="R521" s="1"/>
      <c r="S521" s="1"/>
      <c r="T521" s="1"/>
      <c r="U521" s="1"/>
      <c r="V521" s="1"/>
      <c r="W521" s="1"/>
      <c r="X521" s="1"/>
      <c r="Y521" s="1"/>
      <c r="Z521" s="1"/>
      <c r="AA521" s="1"/>
      <c r="AB521" s="1"/>
      <c r="AC521" s="1"/>
      <c r="AD521" s="1"/>
      <c r="AE521" s="1"/>
      <c r="AF521" s="1"/>
      <c r="AG521" s="1"/>
      <c r="AH521" s="1"/>
      <c r="AI521" s="1"/>
      <c r="AJ521" s="1"/>
      <c r="AK521" s="1"/>
    </row>
    <row r="522" spans="1:37" ht="12.75" customHeight="1">
      <c r="A522" s="1"/>
      <c r="B522" s="1"/>
      <c r="C522" s="1"/>
      <c r="D522" s="1"/>
      <c r="E522" s="1"/>
      <c r="F522" s="2"/>
      <c r="G522" s="2"/>
      <c r="H522" s="2"/>
      <c r="I522" s="2"/>
      <c r="J522" s="2"/>
      <c r="K522" s="2"/>
      <c r="L522" s="2"/>
      <c r="M522" s="2"/>
      <c r="N522" s="3"/>
      <c r="O522" s="3"/>
      <c r="P522" s="3"/>
      <c r="Q522" s="1"/>
      <c r="R522" s="1"/>
      <c r="S522" s="1"/>
      <c r="T522" s="1"/>
      <c r="U522" s="1"/>
      <c r="V522" s="1"/>
      <c r="W522" s="1"/>
      <c r="X522" s="1"/>
      <c r="Y522" s="1"/>
      <c r="Z522" s="1"/>
      <c r="AA522" s="1"/>
      <c r="AB522" s="1"/>
      <c r="AC522" s="1"/>
      <c r="AD522" s="1"/>
      <c r="AE522" s="1"/>
      <c r="AF522" s="1"/>
      <c r="AG522" s="1"/>
      <c r="AH522" s="1"/>
      <c r="AI522" s="1"/>
      <c r="AJ522" s="1"/>
      <c r="AK522" s="1"/>
    </row>
    <row r="523" spans="1:37" ht="12.75" customHeight="1">
      <c r="A523" s="1"/>
      <c r="B523" s="1"/>
      <c r="C523" s="1"/>
      <c r="D523" s="1"/>
      <c r="E523" s="1"/>
      <c r="F523" s="2"/>
      <c r="G523" s="2"/>
      <c r="H523" s="2"/>
      <c r="I523" s="2"/>
      <c r="J523" s="2"/>
      <c r="K523" s="2"/>
      <c r="L523" s="2"/>
      <c r="M523" s="2"/>
      <c r="N523" s="3"/>
      <c r="O523" s="3"/>
      <c r="P523" s="3"/>
      <c r="Q523" s="1"/>
      <c r="R523" s="1"/>
      <c r="S523" s="1"/>
      <c r="T523" s="1"/>
      <c r="U523" s="1"/>
      <c r="V523" s="1"/>
      <c r="W523" s="1"/>
      <c r="X523" s="1"/>
      <c r="Y523" s="1"/>
      <c r="Z523" s="1"/>
      <c r="AA523" s="1"/>
      <c r="AB523" s="1"/>
      <c r="AC523" s="1"/>
      <c r="AD523" s="1"/>
      <c r="AE523" s="1"/>
      <c r="AF523" s="1"/>
      <c r="AG523" s="1"/>
      <c r="AH523" s="1"/>
      <c r="AI523" s="1"/>
      <c r="AJ523" s="1"/>
      <c r="AK523" s="1"/>
    </row>
    <row r="524" spans="1:37" ht="12.75" customHeight="1">
      <c r="A524" s="1"/>
      <c r="B524" s="1"/>
      <c r="C524" s="1"/>
      <c r="D524" s="1"/>
      <c r="E524" s="1"/>
      <c r="F524" s="2"/>
      <c r="G524" s="2"/>
      <c r="H524" s="2"/>
      <c r="I524" s="2"/>
      <c r="J524" s="2"/>
      <c r="K524" s="2"/>
      <c r="L524" s="2"/>
      <c r="M524" s="2"/>
      <c r="N524" s="3"/>
      <c r="O524" s="3"/>
      <c r="P524" s="3"/>
      <c r="Q524" s="1"/>
      <c r="R524" s="1"/>
      <c r="S524" s="1"/>
      <c r="T524" s="1"/>
      <c r="U524" s="1"/>
      <c r="V524" s="1"/>
      <c r="W524" s="1"/>
      <c r="X524" s="1"/>
      <c r="Y524" s="1"/>
      <c r="Z524" s="1"/>
      <c r="AA524" s="1"/>
      <c r="AB524" s="1"/>
      <c r="AC524" s="1"/>
      <c r="AD524" s="1"/>
      <c r="AE524" s="1"/>
      <c r="AF524" s="1"/>
      <c r="AG524" s="1"/>
      <c r="AH524" s="1"/>
      <c r="AI524" s="1"/>
      <c r="AJ524" s="1"/>
      <c r="AK524" s="1"/>
    </row>
    <row r="525" spans="1:37" ht="12.75" customHeight="1">
      <c r="A525" s="1"/>
      <c r="B525" s="1"/>
      <c r="C525" s="1"/>
      <c r="D525" s="1"/>
      <c r="E525" s="1"/>
      <c r="F525" s="2"/>
      <c r="G525" s="2"/>
      <c r="H525" s="2"/>
      <c r="I525" s="2"/>
      <c r="J525" s="2"/>
      <c r="K525" s="2"/>
      <c r="L525" s="2"/>
      <c r="M525" s="2"/>
      <c r="N525" s="3"/>
      <c r="O525" s="3"/>
      <c r="P525" s="3"/>
      <c r="Q525" s="1"/>
      <c r="R525" s="1"/>
      <c r="S525" s="1"/>
      <c r="T525" s="1"/>
      <c r="U525" s="1"/>
      <c r="V525" s="1"/>
      <c r="W525" s="1"/>
      <c r="X525" s="1"/>
      <c r="Y525" s="1"/>
      <c r="Z525" s="1"/>
      <c r="AA525" s="1"/>
      <c r="AB525" s="1"/>
      <c r="AC525" s="1"/>
      <c r="AD525" s="1"/>
      <c r="AE525" s="1"/>
      <c r="AF525" s="1"/>
      <c r="AG525" s="1"/>
      <c r="AH525" s="1"/>
      <c r="AI525" s="1"/>
      <c r="AJ525" s="1"/>
      <c r="AK525" s="1"/>
    </row>
    <row r="526" spans="1:37" ht="12.75" customHeight="1">
      <c r="A526" s="1"/>
      <c r="B526" s="1"/>
      <c r="C526" s="1"/>
      <c r="D526" s="1"/>
      <c r="E526" s="1"/>
      <c r="F526" s="2"/>
      <c r="G526" s="2"/>
      <c r="H526" s="2"/>
      <c r="I526" s="2"/>
      <c r="J526" s="2"/>
      <c r="K526" s="2"/>
      <c r="L526" s="2"/>
      <c r="M526" s="2"/>
      <c r="N526" s="3"/>
      <c r="O526" s="3"/>
      <c r="P526" s="3"/>
      <c r="Q526" s="1"/>
      <c r="R526" s="1"/>
      <c r="S526" s="1"/>
      <c r="T526" s="1"/>
      <c r="U526" s="1"/>
      <c r="V526" s="1"/>
      <c r="W526" s="1"/>
      <c r="X526" s="1"/>
      <c r="Y526" s="1"/>
      <c r="Z526" s="1"/>
      <c r="AA526" s="1"/>
      <c r="AB526" s="1"/>
      <c r="AC526" s="1"/>
      <c r="AD526" s="1"/>
      <c r="AE526" s="1"/>
      <c r="AF526" s="1"/>
      <c r="AG526" s="1"/>
      <c r="AH526" s="1"/>
      <c r="AI526" s="1"/>
      <c r="AJ526" s="1"/>
      <c r="AK526" s="1"/>
    </row>
    <row r="527" spans="1:37" ht="12.75" customHeight="1">
      <c r="A527" s="1"/>
      <c r="B527" s="1"/>
      <c r="C527" s="1"/>
      <c r="D527" s="1"/>
      <c r="E527" s="1"/>
      <c r="F527" s="2"/>
      <c r="G527" s="2"/>
      <c r="H527" s="2"/>
      <c r="I527" s="2"/>
      <c r="J527" s="2"/>
      <c r="K527" s="2"/>
      <c r="L527" s="2"/>
      <c r="M527" s="2"/>
      <c r="N527" s="3"/>
      <c r="O527" s="3"/>
      <c r="P527" s="3"/>
      <c r="Q527" s="1"/>
      <c r="R527" s="1"/>
      <c r="S527" s="1"/>
      <c r="T527" s="1"/>
      <c r="U527" s="1"/>
      <c r="V527" s="1"/>
      <c r="W527" s="1"/>
      <c r="X527" s="1"/>
      <c r="Y527" s="1"/>
      <c r="Z527" s="1"/>
      <c r="AA527" s="1"/>
      <c r="AB527" s="1"/>
      <c r="AC527" s="1"/>
      <c r="AD527" s="1"/>
      <c r="AE527" s="1"/>
      <c r="AF527" s="1"/>
      <c r="AG527" s="1"/>
      <c r="AH527" s="1"/>
      <c r="AI527" s="1"/>
      <c r="AJ527" s="1"/>
      <c r="AK527" s="1"/>
    </row>
    <row r="528" spans="1:37" ht="12.75" customHeight="1">
      <c r="A528" s="1"/>
      <c r="B528" s="1"/>
      <c r="C528" s="1"/>
      <c r="D528" s="1"/>
      <c r="E528" s="1"/>
      <c r="F528" s="2"/>
      <c r="G528" s="2"/>
      <c r="H528" s="2"/>
      <c r="I528" s="2"/>
      <c r="J528" s="2"/>
      <c r="K528" s="2"/>
      <c r="L528" s="2"/>
      <c r="M528" s="2"/>
      <c r="N528" s="3"/>
      <c r="O528" s="3"/>
      <c r="P528" s="3"/>
      <c r="Q528" s="1"/>
      <c r="R528" s="1"/>
      <c r="S528" s="1"/>
      <c r="T528" s="1"/>
      <c r="U528" s="1"/>
      <c r="V528" s="1"/>
      <c r="W528" s="1"/>
      <c r="X528" s="1"/>
      <c r="Y528" s="1"/>
      <c r="Z528" s="1"/>
      <c r="AA528" s="1"/>
      <c r="AB528" s="1"/>
      <c r="AC528" s="1"/>
      <c r="AD528" s="1"/>
      <c r="AE528" s="1"/>
      <c r="AF528" s="1"/>
      <c r="AG528" s="1"/>
      <c r="AH528" s="1"/>
      <c r="AI528" s="1"/>
      <c r="AJ528" s="1"/>
      <c r="AK528" s="1"/>
    </row>
    <row r="529" spans="1:37" ht="12.75" customHeight="1">
      <c r="A529" s="1"/>
      <c r="B529" s="1"/>
      <c r="C529" s="1"/>
      <c r="D529" s="1"/>
      <c r="E529" s="1"/>
      <c r="F529" s="2"/>
      <c r="G529" s="2"/>
      <c r="H529" s="2"/>
      <c r="I529" s="2"/>
      <c r="J529" s="2"/>
      <c r="K529" s="2"/>
      <c r="L529" s="2"/>
      <c r="M529" s="2"/>
      <c r="N529" s="3"/>
      <c r="O529" s="3"/>
      <c r="P529" s="3"/>
      <c r="Q529" s="1"/>
      <c r="R529" s="1"/>
      <c r="S529" s="1"/>
      <c r="T529" s="1"/>
      <c r="U529" s="1"/>
      <c r="V529" s="1"/>
      <c r="W529" s="1"/>
      <c r="X529" s="1"/>
      <c r="Y529" s="1"/>
      <c r="Z529" s="1"/>
      <c r="AA529" s="1"/>
      <c r="AB529" s="1"/>
      <c r="AC529" s="1"/>
      <c r="AD529" s="1"/>
      <c r="AE529" s="1"/>
      <c r="AF529" s="1"/>
      <c r="AG529" s="1"/>
      <c r="AH529" s="1"/>
      <c r="AI529" s="1"/>
      <c r="AJ529" s="1"/>
      <c r="AK529" s="1"/>
    </row>
    <row r="530" spans="1:37" ht="12.75" customHeight="1">
      <c r="A530" s="1"/>
      <c r="B530" s="1"/>
      <c r="C530" s="1"/>
      <c r="D530" s="1"/>
      <c r="E530" s="1"/>
      <c r="F530" s="2"/>
      <c r="G530" s="2"/>
      <c r="H530" s="2"/>
      <c r="I530" s="2"/>
      <c r="J530" s="2"/>
      <c r="K530" s="2"/>
      <c r="L530" s="2"/>
      <c r="M530" s="2"/>
      <c r="N530" s="3"/>
      <c r="O530" s="3"/>
      <c r="P530" s="3"/>
      <c r="Q530" s="1"/>
      <c r="R530" s="1"/>
      <c r="S530" s="1"/>
      <c r="T530" s="1"/>
      <c r="U530" s="1"/>
      <c r="V530" s="1"/>
      <c r="W530" s="1"/>
      <c r="X530" s="1"/>
      <c r="Y530" s="1"/>
      <c r="Z530" s="1"/>
      <c r="AA530" s="1"/>
      <c r="AB530" s="1"/>
      <c r="AC530" s="1"/>
      <c r="AD530" s="1"/>
      <c r="AE530" s="1"/>
      <c r="AF530" s="1"/>
      <c r="AG530" s="1"/>
      <c r="AH530" s="1"/>
      <c r="AI530" s="1"/>
      <c r="AJ530" s="1"/>
      <c r="AK530" s="1"/>
    </row>
    <row r="531" spans="1:37" ht="12.75" customHeight="1">
      <c r="A531" s="1"/>
      <c r="B531" s="1"/>
      <c r="C531" s="1"/>
      <c r="D531" s="1"/>
      <c r="E531" s="1"/>
      <c r="F531" s="2"/>
      <c r="G531" s="2"/>
      <c r="H531" s="2"/>
      <c r="I531" s="2"/>
      <c r="J531" s="2"/>
      <c r="K531" s="2"/>
      <c r="L531" s="2"/>
      <c r="M531" s="2"/>
      <c r="N531" s="3"/>
      <c r="O531" s="3"/>
      <c r="P531" s="3"/>
      <c r="Q531" s="1"/>
      <c r="R531" s="1"/>
      <c r="S531" s="1"/>
      <c r="T531" s="1"/>
      <c r="U531" s="1"/>
      <c r="V531" s="1"/>
      <c r="W531" s="1"/>
      <c r="X531" s="1"/>
      <c r="Y531" s="1"/>
      <c r="Z531" s="1"/>
      <c r="AA531" s="1"/>
      <c r="AB531" s="1"/>
      <c r="AC531" s="1"/>
      <c r="AD531" s="1"/>
      <c r="AE531" s="1"/>
      <c r="AF531" s="1"/>
      <c r="AG531" s="1"/>
      <c r="AH531" s="1"/>
      <c r="AI531" s="1"/>
      <c r="AJ531" s="1"/>
      <c r="AK531" s="1"/>
    </row>
    <row r="532" spans="1:37" ht="12.75" customHeight="1">
      <c r="A532" s="1"/>
      <c r="B532" s="1"/>
      <c r="C532" s="1"/>
      <c r="D532" s="1"/>
      <c r="E532" s="1"/>
      <c r="F532" s="2"/>
      <c r="G532" s="2"/>
      <c r="H532" s="2"/>
      <c r="I532" s="2"/>
      <c r="J532" s="2"/>
      <c r="K532" s="2"/>
      <c r="L532" s="2"/>
      <c r="M532" s="2"/>
      <c r="N532" s="3"/>
      <c r="O532" s="3"/>
      <c r="P532" s="3"/>
      <c r="Q532" s="1"/>
      <c r="R532" s="1"/>
      <c r="S532" s="1"/>
      <c r="T532" s="1"/>
      <c r="U532" s="1"/>
      <c r="V532" s="1"/>
      <c r="W532" s="1"/>
      <c r="X532" s="1"/>
      <c r="Y532" s="1"/>
      <c r="Z532" s="1"/>
      <c r="AA532" s="1"/>
      <c r="AB532" s="1"/>
      <c r="AC532" s="1"/>
      <c r="AD532" s="1"/>
      <c r="AE532" s="1"/>
      <c r="AF532" s="1"/>
      <c r="AG532" s="1"/>
      <c r="AH532" s="1"/>
      <c r="AI532" s="1"/>
      <c r="AJ532" s="1"/>
      <c r="AK532" s="1"/>
    </row>
    <row r="533" spans="1:37" ht="12.75" customHeight="1">
      <c r="A533" s="1"/>
      <c r="B533" s="1"/>
      <c r="C533" s="1"/>
      <c r="D533" s="1"/>
      <c r="E533" s="1"/>
      <c r="F533" s="2"/>
      <c r="G533" s="2"/>
      <c r="H533" s="2"/>
      <c r="I533" s="2"/>
      <c r="J533" s="2"/>
      <c r="K533" s="2"/>
      <c r="L533" s="2"/>
      <c r="M533" s="2"/>
      <c r="N533" s="3"/>
      <c r="O533" s="3"/>
      <c r="P533" s="3"/>
      <c r="Q533" s="1"/>
      <c r="R533" s="1"/>
      <c r="S533" s="1"/>
      <c r="T533" s="1"/>
      <c r="U533" s="1"/>
      <c r="V533" s="1"/>
      <c r="W533" s="1"/>
      <c r="X533" s="1"/>
      <c r="Y533" s="1"/>
      <c r="Z533" s="1"/>
      <c r="AA533" s="1"/>
      <c r="AB533" s="1"/>
      <c r="AC533" s="1"/>
      <c r="AD533" s="1"/>
      <c r="AE533" s="1"/>
      <c r="AF533" s="1"/>
      <c r="AG533" s="1"/>
      <c r="AH533" s="1"/>
      <c r="AI533" s="1"/>
      <c r="AJ533" s="1"/>
      <c r="AK533" s="1"/>
    </row>
    <row r="534" spans="1:37" ht="12.75" customHeight="1">
      <c r="A534" s="1"/>
      <c r="B534" s="1"/>
      <c r="C534" s="1"/>
      <c r="D534" s="1"/>
      <c r="E534" s="1"/>
      <c r="F534" s="2"/>
      <c r="G534" s="2"/>
      <c r="H534" s="2"/>
      <c r="I534" s="2"/>
      <c r="J534" s="2"/>
      <c r="K534" s="2"/>
      <c r="L534" s="2"/>
      <c r="M534" s="2"/>
      <c r="N534" s="3"/>
      <c r="O534" s="3"/>
      <c r="P534" s="3"/>
      <c r="Q534" s="1"/>
      <c r="R534" s="1"/>
      <c r="S534" s="1"/>
      <c r="T534" s="1"/>
      <c r="U534" s="1"/>
      <c r="V534" s="1"/>
      <c r="W534" s="1"/>
      <c r="X534" s="1"/>
      <c r="Y534" s="1"/>
      <c r="Z534" s="1"/>
      <c r="AA534" s="1"/>
      <c r="AB534" s="1"/>
      <c r="AC534" s="1"/>
      <c r="AD534" s="1"/>
      <c r="AE534" s="1"/>
      <c r="AF534" s="1"/>
      <c r="AG534" s="1"/>
      <c r="AH534" s="1"/>
      <c r="AI534" s="1"/>
      <c r="AJ534" s="1"/>
      <c r="AK534" s="1"/>
    </row>
    <row r="535" spans="1:37" ht="12.75" customHeight="1">
      <c r="A535" s="1"/>
      <c r="B535" s="1"/>
      <c r="C535" s="1"/>
      <c r="D535" s="1"/>
      <c r="E535" s="1"/>
      <c r="F535" s="2"/>
      <c r="G535" s="2"/>
      <c r="H535" s="2"/>
      <c r="I535" s="2"/>
      <c r="J535" s="2"/>
      <c r="K535" s="2"/>
      <c r="L535" s="2"/>
      <c r="M535" s="2"/>
      <c r="N535" s="3"/>
      <c r="O535" s="3"/>
      <c r="P535" s="3"/>
      <c r="Q535" s="1"/>
      <c r="R535" s="1"/>
      <c r="S535" s="1"/>
      <c r="T535" s="1"/>
      <c r="U535" s="1"/>
      <c r="V535" s="1"/>
      <c r="W535" s="1"/>
      <c r="X535" s="1"/>
      <c r="Y535" s="1"/>
      <c r="Z535" s="1"/>
      <c r="AA535" s="1"/>
      <c r="AB535" s="1"/>
      <c r="AC535" s="1"/>
      <c r="AD535" s="1"/>
      <c r="AE535" s="1"/>
      <c r="AF535" s="1"/>
      <c r="AG535" s="1"/>
      <c r="AH535" s="1"/>
      <c r="AI535" s="1"/>
      <c r="AJ535" s="1"/>
      <c r="AK535" s="1"/>
    </row>
    <row r="536" spans="1:37" ht="12.75" customHeight="1">
      <c r="A536" s="1"/>
      <c r="B536" s="1"/>
      <c r="C536" s="1"/>
      <c r="D536" s="1"/>
      <c r="E536" s="1"/>
      <c r="F536" s="2"/>
      <c r="G536" s="2"/>
      <c r="H536" s="2"/>
      <c r="I536" s="2"/>
      <c r="J536" s="2"/>
      <c r="K536" s="2"/>
      <c r="L536" s="2"/>
      <c r="M536" s="2"/>
      <c r="N536" s="3"/>
      <c r="O536" s="3"/>
      <c r="P536" s="3"/>
      <c r="Q536" s="1"/>
      <c r="R536" s="1"/>
      <c r="S536" s="1"/>
      <c r="T536" s="1"/>
      <c r="U536" s="1"/>
      <c r="V536" s="1"/>
      <c r="W536" s="1"/>
      <c r="X536" s="1"/>
      <c r="Y536" s="1"/>
      <c r="Z536" s="1"/>
      <c r="AA536" s="1"/>
      <c r="AB536" s="1"/>
      <c r="AC536" s="1"/>
      <c r="AD536" s="1"/>
      <c r="AE536" s="1"/>
      <c r="AF536" s="1"/>
      <c r="AG536" s="1"/>
      <c r="AH536" s="1"/>
      <c r="AI536" s="1"/>
      <c r="AJ536" s="1"/>
      <c r="AK536" s="1"/>
    </row>
    <row r="537" spans="1:37" ht="12.75" customHeight="1">
      <c r="A537" s="1"/>
      <c r="B537" s="1"/>
      <c r="C537" s="1"/>
      <c r="D537" s="1"/>
      <c r="E537" s="1"/>
      <c r="F537" s="2"/>
      <c r="G537" s="2"/>
      <c r="H537" s="2"/>
      <c r="I537" s="2"/>
      <c r="J537" s="2"/>
      <c r="K537" s="2"/>
      <c r="L537" s="2"/>
      <c r="M537" s="2"/>
      <c r="N537" s="3"/>
      <c r="O537" s="3"/>
      <c r="P537" s="3"/>
      <c r="Q537" s="1"/>
      <c r="R537" s="1"/>
      <c r="S537" s="1"/>
      <c r="T537" s="1"/>
      <c r="U537" s="1"/>
      <c r="V537" s="1"/>
      <c r="W537" s="1"/>
      <c r="X537" s="1"/>
      <c r="Y537" s="1"/>
      <c r="Z537" s="1"/>
      <c r="AA537" s="1"/>
      <c r="AB537" s="1"/>
      <c r="AC537" s="1"/>
      <c r="AD537" s="1"/>
      <c r="AE537" s="1"/>
      <c r="AF537" s="1"/>
      <c r="AG537" s="1"/>
      <c r="AH537" s="1"/>
      <c r="AI537" s="1"/>
      <c r="AJ537" s="1"/>
      <c r="AK537" s="1"/>
    </row>
    <row r="538" spans="1:37" ht="12.75" customHeight="1">
      <c r="A538" s="1"/>
      <c r="B538" s="1"/>
      <c r="C538" s="1"/>
      <c r="D538" s="1"/>
      <c r="E538" s="1"/>
      <c r="F538" s="2"/>
      <c r="G538" s="2"/>
      <c r="H538" s="2"/>
      <c r="I538" s="2"/>
      <c r="J538" s="2"/>
      <c r="K538" s="2"/>
      <c r="L538" s="2"/>
      <c r="M538" s="2"/>
      <c r="N538" s="3"/>
      <c r="O538" s="3"/>
      <c r="P538" s="3"/>
      <c r="Q538" s="1"/>
      <c r="R538" s="1"/>
      <c r="S538" s="1"/>
      <c r="T538" s="1"/>
      <c r="U538" s="1"/>
      <c r="V538" s="1"/>
      <c r="W538" s="1"/>
      <c r="X538" s="1"/>
      <c r="Y538" s="1"/>
      <c r="Z538" s="1"/>
      <c r="AA538" s="1"/>
      <c r="AB538" s="1"/>
      <c r="AC538" s="1"/>
      <c r="AD538" s="1"/>
      <c r="AE538" s="1"/>
      <c r="AF538" s="1"/>
      <c r="AG538" s="1"/>
      <c r="AH538" s="1"/>
      <c r="AI538" s="1"/>
      <c r="AJ538" s="1"/>
      <c r="AK538" s="1"/>
    </row>
    <row r="539" spans="1:37" ht="12.75" customHeight="1">
      <c r="A539" s="1"/>
      <c r="B539" s="1"/>
      <c r="C539" s="1"/>
      <c r="D539" s="1"/>
      <c r="E539" s="1"/>
      <c r="F539" s="2"/>
      <c r="G539" s="2"/>
      <c r="H539" s="2"/>
      <c r="I539" s="2"/>
      <c r="J539" s="2"/>
      <c r="K539" s="2"/>
      <c r="L539" s="2"/>
      <c r="M539" s="2"/>
      <c r="N539" s="3"/>
      <c r="O539" s="3"/>
      <c r="P539" s="3"/>
      <c r="Q539" s="1"/>
      <c r="R539" s="1"/>
      <c r="S539" s="1"/>
      <c r="T539" s="1"/>
      <c r="U539" s="1"/>
      <c r="V539" s="1"/>
      <c r="W539" s="1"/>
      <c r="X539" s="1"/>
      <c r="Y539" s="1"/>
      <c r="Z539" s="1"/>
      <c r="AA539" s="1"/>
      <c r="AB539" s="1"/>
      <c r="AC539" s="1"/>
      <c r="AD539" s="1"/>
      <c r="AE539" s="1"/>
      <c r="AF539" s="1"/>
      <c r="AG539" s="1"/>
      <c r="AH539" s="1"/>
      <c r="AI539" s="1"/>
      <c r="AJ539" s="1"/>
      <c r="AK539" s="1"/>
    </row>
    <row r="540" spans="1:37" ht="12.75" customHeight="1">
      <c r="A540" s="1"/>
      <c r="B540" s="1"/>
      <c r="C540" s="1"/>
      <c r="D540" s="1"/>
      <c r="E540" s="1"/>
      <c r="F540" s="2"/>
      <c r="G540" s="2"/>
      <c r="H540" s="2"/>
      <c r="I540" s="2"/>
      <c r="J540" s="2"/>
      <c r="K540" s="2"/>
      <c r="L540" s="2"/>
      <c r="M540" s="2"/>
      <c r="N540" s="3"/>
      <c r="O540" s="3"/>
      <c r="P540" s="3"/>
      <c r="Q540" s="1"/>
      <c r="R540" s="1"/>
      <c r="S540" s="1"/>
      <c r="T540" s="1"/>
      <c r="U540" s="1"/>
      <c r="V540" s="1"/>
      <c r="W540" s="1"/>
      <c r="X540" s="1"/>
      <c r="Y540" s="1"/>
      <c r="Z540" s="1"/>
      <c r="AA540" s="1"/>
      <c r="AB540" s="1"/>
      <c r="AC540" s="1"/>
      <c r="AD540" s="1"/>
      <c r="AE540" s="1"/>
      <c r="AF540" s="1"/>
      <c r="AG540" s="1"/>
      <c r="AH540" s="1"/>
      <c r="AI540" s="1"/>
      <c r="AJ540" s="1"/>
      <c r="AK540" s="1"/>
    </row>
    <row r="541" spans="1:37" ht="12.75" customHeight="1">
      <c r="A541" s="1"/>
      <c r="B541" s="1"/>
      <c r="C541" s="1"/>
      <c r="D541" s="1"/>
      <c r="E541" s="1"/>
      <c r="F541" s="2"/>
      <c r="G541" s="2"/>
      <c r="H541" s="2"/>
      <c r="I541" s="2"/>
      <c r="J541" s="2"/>
      <c r="K541" s="2"/>
      <c r="L541" s="2"/>
      <c r="M541" s="2"/>
      <c r="N541" s="3"/>
      <c r="O541" s="3"/>
      <c r="P541" s="3"/>
      <c r="Q541" s="1"/>
      <c r="R541" s="1"/>
      <c r="S541" s="1"/>
      <c r="T541" s="1"/>
      <c r="U541" s="1"/>
      <c r="V541" s="1"/>
      <c r="W541" s="1"/>
      <c r="X541" s="1"/>
      <c r="Y541" s="1"/>
      <c r="Z541" s="1"/>
      <c r="AA541" s="1"/>
      <c r="AB541" s="1"/>
      <c r="AC541" s="1"/>
      <c r="AD541" s="1"/>
      <c r="AE541" s="1"/>
      <c r="AF541" s="1"/>
      <c r="AG541" s="1"/>
      <c r="AH541" s="1"/>
      <c r="AI541" s="1"/>
      <c r="AJ541" s="1"/>
      <c r="AK541" s="1"/>
    </row>
    <row r="542" spans="1:37" ht="12.75" customHeight="1">
      <c r="A542" s="1"/>
      <c r="B542" s="1"/>
      <c r="C542" s="1"/>
      <c r="D542" s="1"/>
      <c r="E542" s="1"/>
      <c r="F542" s="2"/>
      <c r="G542" s="2"/>
      <c r="H542" s="2"/>
      <c r="I542" s="2"/>
      <c r="J542" s="2"/>
      <c r="K542" s="2"/>
      <c r="L542" s="2"/>
      <c r="M542" s="2"/>
      <c r="N542" s="3"/>
      <c r="O542" s="3"/>
      <c r="P542" s="3"/>
      <c r="Q542" s="1"/>
      <c r="R542" s="1"/>
      <c r="S542" s="1"/>
      <c r="T542" s="1"/>
      <c r="U542" s="1"/>
      <c r="V542" s="1"/>
      <c r="W542" s="1"/>
      <c r="X542" s="1"/>
      <c r="Y542" s="1"/>
      <c r="Z542" s="1"/>
      <c r="AA542" s="1"/>
      <c r="AB542" s="1"/>
      <c r="AC542" s="1"/>
      <c r="AD542" s="1"/>
      <c r="AE542" s="1"/>
      <c r="AF542" s="1"/>
      <c r="AG542" s="1"/>
      <c r="AH542" s="1"/>
      <c r="AI542" s="1"/>
      <c r="AJ542" s="1"/>
      <c r="AK542" s="1"/>
    </row>
    <row r="543" spans="1:37" ht="12.75" customHeight="1">
      <c r="A543" s="1"/>
      <c r="B543" s="1"/>
      <c r="C543" s="1"/>
      <c r="D543" s="1"/>
      <c r="E543" s="1"/>
      <c r="F543" s="2"/>
      <c r="G543" s="2"/>
      <c r="H543" s="2"/>
      <c r="I543" s="2"/>
      <c r="J543" s="2"/>
      <c r="K543" s="2"/>
      <c r="L543" s="2"/>
      <c r="M543" s="2"/>
      <c r="N543" s="3"/>
      <c r="O543" s="3"/>
      <c r="P543" s="3"/>
      <c r="Q543" s="1"/>
      <c r="R543" s="1"/>
      <c r="S543" s="1"/>
      <c r="T543" s="1"/>
      <c r="U543" s="1"/>
      <c r="V543" s="1"/>
      <c r="W543" s="1"/>
      <c r="X543" s="1"/>
      <c r="Y543" s="1"/>
      <c r="Z543" s="1"/>
      <c r="AA543" s="1"/>
      <c r="AB543" s="1"/>
      <c r="AC543" s="1"/>
      <c r="AD543" s="1"/>
      <c r="AE543" s="1"/>
      <c r="AF543" s="1"/>
      <c r="AG543" s="1"/>
      <c r="AH543" s="1"/>
      <c r="AI543" s="1"/>
      <c r="AJ543" s="1"/>
      <c r="AK543" s="1"/>
    </row>
    <row r="544" spans="1:37" ht="12.75" customHeight="1">
      <c r="A544" s="1"/>
      <c r="B544" s="1"/>
      <c r="C544" s="1"/>
      <c r="D544" s="1"/>
      <c r="E544" s="1"/>
      <c r="F544" s="2"/>
      <c r="G544" s="2"/>
      <c r="H544" s="2"/>
      <c r="I544" s="2"/>
      <c r="J544" s="2"/>
      <c r="K544" s="2"/>
      <c r="L544" s="2"/>
      <c r="M544" s="2"/>
      <c r="N544" s="3"/>
      <c r="O544" s="3"/>
      <c r="P544" s="3"/>
      <c r="Q544" s="1"/>
      <c r="R544" s="1"/>
      <c r="S544" s="1"/>
      <c r="T544" s="1"/>
      <c r="U544" s="1"/>
      <c r="V544" s="1"/>
      <c r="W544" s="1"/>
      <c r="X544" s="1"/>
      <c r="Y544" s="1"/>
      <c r="Z544" s="1"/>
      <c r="AA544" s="1"/>
      <c r="AB544" s="1"/>
      <c r="AC544" s="1"/>
      <c r="AD544" s="1"/>
      <c r="AE544" s="1"/>
      <c r="AF544" s="1"/>
      <c r="AG544" s="1"/>
      <c r="AH544" s="1"/>
      <c r="AI544" s="1"/>
      <c r="AJ544" s="1"/>
      <c r="AK544" s="1"/>
    </row>
    <row r="545" spans="1:37" ht="12.75" customHeight="1">
      <c r="A545" s="1"/>
      <c r="B545" s="1"/>
      <c r="C545" s="1"/>
      <c r="D545" s="1"/>
      <c r="E545" s="1"/>
      <c r="F545" s="2"/>
      <c r="G545" s="2"/>
      <c r="H545" s="2"/>
      <c r="I545" s="2"/>
      <c r="J545" s="2"/>
      <c r="K545" s="2"/>
      <c r="L545" s="2"/>
      <c r="M545" s="2"/>
      <c r="N545" s="3"/>
      <c r="O545" s="3"/>
      <c r="P545" s="3"/>
      <c r="Q545" s="1"/>
      <c r="R545" s="1"/>
      <c r="S545" s="1"/>
      <c r="T545" s="1"/>
      <c r="U545" s="1"/>
      <c r="V545" s="1"/>
      <c r="W545" s="1"/>
      <c r="X545" s="1"/>
      <c r="Y545" s="1"/>
      <c r="Z545" s="1"/>
      <c r="AA545" s="1"/>
      <c r="AB545" s="1"/>
      <c r="AC545" s="1"/>
      <c r="AD545" s="1"/>
      <c r="AE545" s="1"/>
      <c r="AF545" s="1"/>
      <c r="AG545" s="1"/>
      <c r="AH545" s="1"/>
      <c r="AI545" s="1"/>
      <c r="AJ545" s="1"/>
      <c r="AK545" s="1"/>
    </row>
    <row r="546" spans="1:37" ht="12.75" customHeight="1">
      <c r="A546" s="1"/>
      <c r="B546" s="1"/>
      <c r="C546" s="1"/>
      <c r="D546" s="1"/>
      <c r="E546" s="1"/>
      <c r="F546" s="2"/>
      <c r="G546" s="2"/>
      <c r="H546" s="2"/>
      <c r="I546" s="2"/>
      <c r="J546" s="2"/>
      <c r="K546" s="2"/>
      <c r="L546" s="2"/>
      <c r="M546" s="2"/>
      <c r="N546" s="3"/>
      <c r="O546" s="3"/>
      <c r="P546" s="3"/>
      <c r="Q546" s="1"/>
      <c r="R546" s="1"/>
      <c r="S546" s="1"/>
      <c r="T546" s="1"/>
      <c r="U546" s="1"/>
      <c r="V546" s="1"/>
      <c r="W546" s="1"/>
      <c r="X546" s="1"/>
      <c r="Y546" s="1"/>
      <c r="Z546" s="1"/>
      <c r="AA546" s="1"/>
      <c r="AB546" s="1"/>
      <c r="AC546" s="1"/>
      <c r="AD546" s="1"/>
      <c r="AE546" s="1"/>
      <c r="AF546" s="1"/>
      <c r="AG546" s="1"/>
      <c r="AH546" s="1"/>
      <c r="AI546" s="1"/>
      <c r="AJ546" s="1"/>
      <c r="AK546" s="1"/>
    </row>
    <row r="547" spans="1:37" ht="12.75" customHeight="1">
      <c r="A547" s="1"/>
      <c r="B547" s="1"/>
      <c r="C547" s="1"/>
      <c r="D547" s="1"/>
      <c r="E547" s="1"/>
      <c r="F547" s="2"/>
      <c r="G547" s="2"/>
      <c r="H547" s="2"/>
      <c r="I547" s="2"/>
      <c r="J547" s="2"/>
      <c r="K547" s="2"/>
      <c r="L547" s="2"/>
      <c r="M547" s="2"/>
      <c r="N547" s="3"/>
      <c r="O547" s="3"/>
      <c r="P547" s="3"/>
      <c r="Q547" s="1"/>
      <c r="R547" s="1"/>
      <c r="S547" s="1"/>
      <c r="T547" s="1"/>
      <c r="U547" s="1"/>
      <c r="V547" s="1"/>
      <c r="W547" s="1"/>
      <c r="X547" s="1"/>
      <c r="Y547" s="1"/>
      <c r="Z547" s="1"/>
      <c r="AA547" s="1"/>
      <c r="AB547" s="1"/>
      <c r="AC547" s="1"/>
      <c r="AD547" s="1"/>
      <c r="AE547" s="1"/>
      <c r="AF547" s="1"/>
      <c r="AG547" s="1"/>
      <c r="AH547" s="1"/>
      <c r="AI547" s="1"/>
      <c r="AJ547" s="1"/>
      <c r="AK547" s="1"/>
    </row>
    <row r="548" spans="1:37" ht="12.75" customHeight="1">
      <c r="A548" s="1"/>
      <c r="B548" s="1"/>
      <c r="C548" s="1"/>
      <c r="D548" s="1"/>
      <c r="E548" s="1"/>
      <c r="F548" s="2"/>
      <c r="G548" s="2"/>
      <c r="H548" s="2"/>
      <c r="I548" s="2"/>
      <c r="J548" s="2"/>
      <c r="K548" s="2"/>
      <c r="L548" s="2"/>
      <c r="M548" s="2"/>
      <c r="N548" s="3"/>
      <c r="O548" s="3"/>
      <c r="P548" s="3"/>
      <c r="Q548" s="1"/>
      <c r="R548" s="1"/>
      <c r="S548" s="1"/>
      <c r="T548" s="1"/>
      <c r="U548" s="1"/>
      <c r="V548" s="1"/>
      <c r="W548" s="1"/>
      <c r="X548" s="1"/>
      <c r="Y548" s="1"/>
      <c r="Z548" s="1"/>
      <c r="AA548" s="1"/>
      <c r="AB548" s="1"/>
      <c r="AC548" s="1"/>
      <c r="AD548" s="1"/>
      <c r="AE548" s="1"/>
      <c r="AF548" s="1"/>
      <c r="AG548" s="1"/>
      <c r="AH548" s="1"/>
      <c r="AI548" s="1"/>
      <c r="AJ548" s="1"/>
      <c r="AK548" s="1"/>
    </row>
    <row r="549" spans="1:37" ht="12.75" customHeight="1">
      <c r="A549" s="1"/>
      <c r="B549" s="1"/>
      <c r="C549" s="1"/>
      <c r="D549" s="1"/>
      <c r="E549" s="1"/>
      <c r="F549" s="2"/>
      <c r="G549" s="2"/>
      <c r="H549" s="2"/>
      <c r="I549" s="2"/>
      <c r="J549" s="2"/>
      <c r="K549" s="2"/>
      <c r="L549" s="2"/>
      <c r="M549" s="2"/>
      <c r="N549" s="3"/>
      <c r="O549" s="3"/>
      <c r="P549" s="3"/>
      <c r="Q549" s="1"/>
      <c r="R549" s="1"/>
      <c r="S549" s="1"/>
      <c r="T549" s="1"/>
      <c r="U549" s="1"/>
      <c r="V549" s="1"/>
      <c r="W549" s="1"/>
      <c r="X549" s="1"/>
      <c r="Y549" s="1"/>
      <c r="Z549" s="1"/>
      <c r="AA549" s="1"/>
      <c r="AB549" s="1"/>
      <c r="AC549" s="1"/>
      <c r="AD549" s="1"/>
      <c r="AE549" s="1"/>
      <c r="AF549" s="1"/>
      <c r="AG549" s="1"/>
      <c r="AH549" s="1"/>
      <c r="AI549" s="1"/>
      <c r="AJ549" s="1"/>
      <c r="AK549" s="1"/>
    </row>
    <row r="550" spans="1:37" ht="12.75" customHeight="1">
      <c r="A550" s="1"/>
      <c r="B550" s="1"/>
      <c r="C550" s="1"/>
      <c r="D550" s="1"/>
      <c r="E550" s="1"/>
      <c r="F550" s="2"/>
      <c r="G550" s="2"/>
      <c r="H550" s="2"/>
      <c r="I550" s="2"/>
      <c r="J550" s="2"/>
      <c r="K550" s="2"/>
      <c r="L550" s="2"/>
      <c r="M550" s="2"/>
      <c r="N550" s="3"/>
      <c r="O550" s="3"/>
      <c r="P550" s="3"/>
      <c r="Q550" s="1"/>
      <c r="R550" s="1"/>
      <c r="S550" s="1"/>
      <c r="T550" s="1"/>
      <c r="U550" s="1"/>
      <c r="V550" s="1"/>
      <c r="W550" s="1"/>
      <c r="X550" s="1"/>
      <c r="Y550" s="1"/>
      <c r="Z550" s="1"/>
      <c r="AA550" s="1"/>
      <c r="AB550" s="1"/>
      <c r="AC550" s="1"/>
      <c r="AD550" s="1"/>
      <c r="AE550" s="1"/>
      <c r="AF550" s="1"/>
      <c r="AG550" s="1"/>
      <c r="AH550" s="1"/>
      <c r="AI550" s="1"/>
      <c r="AJ550" s="1"/>
      <c r="AK550" s="1"/>
    </row>
    <row r="551" spans="1:37" ht="12.75" customHeight="1">
      <c r="A551" s="1"/>
      <c r="B551" s="1"/>
      <c r="C551" s="1"/>
      <c r="D551" s="1"/>
      <c r="E551" s="1"/>
      <c r="F551" s="2"/>
      <c r="G551" s="2"/>
      <c r="H551" s="2"/>
      <c r="I551" s="2"/>
      <c r="J551" s="2"/>
      <c r="K551" s="2"/>
      <c r="L551" s="2"/>
      <c r="M551" s="2"/>
      <c r="N551" s="3"/>
      <c r="O551" s="3"/>
      <c r="P551" s="3"/>
      <c r="Q551" s="1"/>
      <c r="R551" s="1"/>
      <c r="S551" s="1"/>
      <c r="T551" s="1"/>
      <c r="U551" s="1"/>
      <c r="V551" s="1"/>
      <c r="W551" s="1"/>
      <c r="X551" s="1"/>
      <c r="Y551" s="1"/>
      <c r="Z551" s="1"/>
      <c r="AA551" s="1"/>
      <c r="AB551" s="1"/>
      <c r="AC551" s="1"/>
      <c r="AD551" s="1"/>
      <c r="AE551" s="1"/>
      <c r="AF551" s="1"/>
      <c r="AG551" s="1"/>
      <c r="AH551" s="1"/>
      <c r="AI551" s="1"/>
      <c r="AJ551" s="1"/>
      <c r="AK551" s="1"/>
    </row>
    <row r="552" spans="1:37" ht="12.75" customHeight="1">
      <c r="A552" s="1"/>
      <c r="B552" s="1"/>
      <c r="C552" s="1"/>
      <c r="D552" s="1"/>
      <c r="E552" s="1"/>
      <c r="F552" s="2"/>
      <c r="G552" s="2"/>
      <c r="H552" s="2"/>
      <c r="I552" s="2"/>
      <c r="J552" s="2"/>
      <c r="K552" s="2"/>
      <c r="L552" s="2"/>
      <c r="M552" s="2"/>
      <c r="N552" s="3"/>
      <c r="O552" s="3"/>
      <c r="P552" s="3"/>
      <c r="Q552" s="1"/>
      <c r="R552" s="1"/>
      <c r="S552" s="1"/>
      <c r="T552" s="1"/>
      <c r="U552" s="1"/>
      <c r="V552" s="1"/>
      <c r="W552" s="1"/>
      <c r="X552" s="1"/>
      <c r="Y552" s="1"/>
      <c r="Z552" s="1"/>
      <c r="AA552" s="1"/>
      <c r="AB552" s="1"/>
      <c r="AC552" s="1"/>
      <c r="AD552" s="1"/>
      <c r="AE552" s="1"/>
      <c r="AF552" s="1"/>
      <c r="AG552" s="1"/>
      <c r="AH552" s="1"/>
      <c r="AI552" s="1"/>
      <c r="AJ552" s="1"/>
      <c r="AK552" s="1"/>
    </row>
    <row r="553" spans="1:37" ht="12.75" customHeight="1">
      <c r="A553" s="1"/>
      <c r="B553" s="1"/>
      <c r="C553" s="1"/>
      <c r="D553" s="1"/>
      <c r="E553" s="1"/>
      <c r="F553" s="2"/>
      <c r="G553" s="2"/>
      <c r="H553" s="2"/>
      <c r="I553" s="2"/>
      <c r="J553" s="2"/>
      <c r="K553" s="2"/>
      <c r="L553" s="2"/>
      <c r="M553" s="2"/>
      <c r="N553" s="3"/>
      <c r="O553" s="3"/>
      <c r="P553" s="3"/>
      <c r="Q553" s="1"/>
      <c r="R553" s="1"/>
      <c r="S553" s="1"/>
      <c r="T553" s="1"/>
      <c r="U553" s="1"/>
      <c r="V553" s="1"/>
      <c r="W553" s="1"/>
      <c r="X553" s="1"/>
      <c r="Y553" s="1"/>
      <c r="Z553" s="1"/>
      <c r="AA553" s="1"/>
      <c r="AB553" s="1"/>
      <c r="AC553" s="1"/>
      <c r="AD553" s="1"/>
      <c r="AE553" s="1"/>
      <c r="AF553" s="1"/>
      <c r="AG553" s="1"/>
      <c r="AH553" s="1"/>
      <c r="AI553" s="1"/>
      <c r="AJ553" s="1"/>
      <c r="AK553" s="1"/>
    </row>
    <row r="554" spans="1:37" ht="12.75" customHeight="1">
      <c r="A554" s="1"/>
      <c r="B554" s="1"/>
      <c r="C554" s="1"/>
      <c r="D554" s="1"/>
      <c r="E554" s="1"/>
      <c r="F554" s="2"/>
      <c r="G554" s="2"/>
      <c r="H554" s="2"/>
      <c r="I554" s="2"/>
      <c r="J554" s="2"/>
      <c r="K554" s="2"/>
      <c r="L554" s="2"/>
      <c r="M554" s="2"/>
      <c r="N554" s="3"/>
      <c r="O554" s="3"/>
      <c r="P554" s="3"/>
      <c r="Q554" s="1"/>
      <c r="R554" s="1"/>
      <c r="S554" s="1"/>
      <c r="T554" s="1"/>
      <c r="U554" s="1"/>
      <c r="V554" s="1"/>
      <c r="W554" s="1"/>
      <c r="X554" s="1"/>
      <c r="Y554" s="1"/>
      <c r="Z554" s="1"/>
      <c r="AA554" s="1"/>
      <c r="AB554" s="1"/>
      <c r="AC554" s="1"/>
      <c r="AD554" s="1"/>
      <c r="AE554" s="1"/>
      <c r="AF554" s="1"/>
      <c r="AG554" s="1"/>
      <c r="AH554" s="1"/>
      <c r="AI554" s="1"/>
      <c r="AJ554" s="1"/>
      <c r="AK554" s="1"/>
    </row>
    <row r="555" spans="1:37" ht="12.75" customHeight="1">
      <c r="A555" s="1"/>
      <c r="B555" s="1"/>
      <c r="C555" s="1"/>
      <c r="D555" s="1"/>
      <c r="E555" s="1"/>
      <c r="F555" s="2"/>
      <c r="G555" s="2"/>
      <c r="H555" s="2"/>
      <c r="I555" s="2"/>
      <c r="J555" s="2"/>
      <c r="K555" s="2"/>
      <c r="L555" s="2"/>
      <c r="M555" s="2"/>
      <c r="N555" s="3"/>
      <c r="O555" s="3"/>
      <c r="P555" s="3"/>
      <c r="Q555" s="1"/>
      <c r="R555" s="1"/>
      <c r="S555" s="1"/>
      <c r="T555" s="1"/>
      <c r="U555" s="1"/>
      <c r="V555" s="1"/>
      <c r="W555" s="1"/>
      <c r="X555" s="1"/>
      <c r="Y555" s="1"/>
      <c r="Z555" s="1"/>
      <c r="AA555" s="1"/>
      <c r="AB555" s="1"/>
      <c r="AC555" s="1"/>
      <c r="AD555" s="1"/>
      <c r="AE555" s="1"/>
      <c r="AF555" s="1"/>
      <c r="AG555" s="1"/>
      <c r="AH555" s="1"/>
      <c r="AI555" s="1"/>
      <c r="AJ555" s="1"/>
      <c r="AK555" s="1"/>
    </row>
    <row r="556" spans="1:37" ht="12.75" customHeight="1">
      <c r="A556" s="1"/>
      <c r="B556" s="1"/>
      <c r="C556" s="1"/>
      <c r="D556" s="1"/>
      <c r="E556" s="1"/>
      <c r="F556" s="2"/>
      <c r="G556" s="2"/>
      <c r="H556" s="2"/>
      <c r="I556" s="2"/>
      <c r="J556" s="2"/>
      <c r="K556" s="2"/>
      <c r="L556" s="2"/>
      <c r="M556" s="2"/>
      <c r="N556" s="3"/>
      <c r="O556" s="3"/>
      <c r="P556" s="3"/>
      <c r="Q556" s="1"/>
      <c r="R556" s="1"/>
      <c r="S556" s="1"/>
      <c r="T556" s="1"/>
      <c r="U556" s="1"/>
      <c r="V556" s="1"/>
      <c r="W556" s="1"/>
      <c r="X556" s="1"/>
      <c r="Y556" s="1"/>
      <c r="Z556" s="1"/>
      <c r="AA556" s="1"/>
      <c r="AB556" s="1"/>
      <c r="AC556" s="1"/>
      <c r="AD556" s="1"/>
      <c r="AE556" s="1"/>
      <c r="AF556" s="1"/>
      <c r="AG556" s="1"/>
      <c r="AH556" s="1"/>
      <c r="AI556" s="1"/>
      <c r="AJ556" s="1"/>
      <c r="AK556" s="1"/>
    </row>
    <row r="557" spans="1:37" ht="12.75" customHeight="1">
      <c r="A557" s="1"/>
      <c r="B557" s="1"/>
      <c r="C557" s="1"/>
      <c r="D557" s="1"/>
      <c r="E557" s="1"/>
      <c r="F557" s="2"/>
      <c r="G557" s="2"/>
      <c r="H557" s="2"/>
      <c r="I557" s="2"/>
      <c r="J557" s="2"/>
      <c r="K557" s="2"/>
      <c r="L557" s="2"/>
      <c r="M557" s="2"/>
      <c r="N557" s="3"/>
      <c r="O557" s="3"/>
      <c r="P557" s="3"/>
      <c r="Q557" s="1"/>
      <c r="R557" s="1"/>
      <c r="S557" s="1"/>
      <c r="T557" s="1"/>
      <c r="U557" s="1"/>
      <c r="V557" s="1"/>
      <c r="W557" s="1"/>
      <c r="X557" s="1"/>
      <c r="Y557" s="1"/>
      <c r="Z557" s="1"/>
      <c r="AA557" s="1"/>
      <c r="AB557" s="1"/>
      <c r="AC557" s="1"/>
      <c r="AD557" s="1"/>
      <c r="AE557" s="1"/>
      <c r="AF557" s="1"/>
      <c r="AG557" s="1"/>
      <c r="AH557" s="1"/>
      <c r="AI557" s="1"/>
      <c r="AJ557" s="1"/>
      <c r="AK557" s="1"/>
    </row>
    <row r="558" spans="1:37" ht="12.75" customHeight="1">
      <c r="A558" s="1"/>
      <c r="B558" s="1"/>
      <c r="C558" s="1"/>
      <c r="D558" s="1"/>
      <c r="E558" s="1"/>
      <c r="F558" s="2"/>
      <c r="G558" s="2"/>
      <c r="H558" s="2"/>
      <c r="I558" s="2"/>
      <c r="J558" s="2"/>
      <c r="K558" s="2"/>
      <c r="L558" s="2"/>
      <c r="M558" s="2"/>
      <c r="N558" s="3"/>
      <c r="O558" s="3"/>
      <c r="P558" s="3"/>
      <c r="Q558" s="1"/>
      <c r="R558" s="1"/>
      <c r="S558" s="1"/>
      <c r="T558" s="1"/>
      <c r="U558" s="1"/>
      <c r="V558" s="1"/>
      <c r="W558" s="1"/>
      <c r="X558" s="1"/>
      <c r="Y558" s="1"/>
      <c r="Z558" s="1"/>
      <c r="AA558" s="1"/>
      <c r="AB558" s="1"/>
      <c r="AC558" s="1"/>
      <c r="AD558" s="1"/>
      <c r="AE558" s="1"/>
      <c r="AF558" s="1"/>
      <c r="AG558" s="1"/>
      <c r="AH558" s="1"/>
      <c r="AI558" s="1"/>
      <c r="AJ558" s="1"/>
      <c r="AK558" s="1"/>
    </row>
    <row r="559" spans="1:37" ht="12.75" customHeight="1">
      <c r="A559" s="1"/>
      <c r="B559" s="1"/>
      <c r="C559" s="1"/>
      <c r="D559" s="1"/>
      <c r="E559" s="1"/>
      <c r="F559" s="2"/>
      <c r="G559" s="2"/>
      <c r="H559" s="2"/>
      <c r="I559" s="2"/>
      <c r="J559" s="2"/>
      <c r="K559" s="2"/>
      <c r="L559" s="2"/>
      <c r="M559" s="2"/>
      <c r="N559" s="3"/>
      <c r="O559" s="3"/>
      <c r="P559" s="3"/>
      <c r="Q559" s="1"/>
      <c r="R559" s="1"/>
      <c r="S559" s="1"/>
      <c r="T559" s="1"/>
      <c r="U559" s="1"/>
      <c r="V559" s="1"/>
      <c r="W559" s="1"/>
      <c r="X559" s="1"/>
      <c r="Y559" s="1"/>
      <c r="Z559" s="1"/>
      <c r="AA559" s="1"/>
      <c r="AB559" s="1"/>
      <c r="AC559" s="1"/>
      <c r="AD559" s="1"/>
      <c r="AE559" s="1"/>
      <c r="AF559" s="1"/>
      <c r="AG559" s="1"/>
      <c r="AH559" s="1"/>
      <c r="AI559" s="1"/>
      <c r="AJ559" s="1"/>
      <c r="AK559" s="1"/>
    </row>
    <row r="560" spans="1:37" ht="12.75" customHeight="1">
      <c r="A560" s="1"/>
      <c r="B560" s="1"/>
      <c r="C560" s="1"/>
      <c r="D560" s="1"/>
      <c r="E560" s="1"/>
      <c r="F560" s="2"/>
      <c r="G560" s="2"/>
      <c r="H560" s="2"/>
      <c r="I560" s="2"/>
      <c r="J560" s="2"/>
      <c r="K560" s="2"/>
      <c r="L560" s="2"/>
      <c r="M560" s="2"/>
      <c r="N560" s="3"/>
      <c r="O560" s="3"/>
      <c r="P560" s="3"/>
      <c r="Q560" s="1"/>
      <c r="R560" s="1"/>
      <c r="S560" s="1"/>
      <c r="T560" s="1"/>
      <c r="U560" s="1"/>
      <c r="V560" s="1"/>
      <c r="W560" s="1"/>
      <c r="X560" s="1"/>
      <c r="Y560" s="1"/>
      <c r="Z560" s="1"/>
      <c r="AA560" s="1"/>
      <c r="AB560" s="1"/>
      <c r="AC560" s="1"/>
      <c r="AD560" s="1"/>
      <c r="AE560" s="1"/>
      <c r="AF560" s="1"/>
      <c r="AG560" s="1"/>
      <c r="AH560" s="1"/>
      <c r="AI560" s="1"/>
      <c r="AJ560" s="1"/>
      <c r="AK560" s="1"/>
    </row>
    <row r="561" spans="1:37" ht="12.75" customHeight="1">
      <c r="A561" s="1"/>
      <c r="B561" s="1"/>
      <c r="C561" s="1"/>
      <c r="D561" s="1"/>
      <c r="E561" s="1"/>
      <c r="F561" s="2"/>
      <c r="G561" s="2"/>
      <c r="H561" s="2"/>
      <c r="I561" s="2"/>
      <c r="J561" s="2"/>
      <c r="K561" s="2"/>
      <c r="L561" s="2"/>
      <c r="M561" s="2"/>
      <c r="N561" s="3"/>
      <c r="O561" s="3"/>
      <c r="P561" s="3"/>
      <c r="Q561" s="1"/>
      <c r="R561" s="1"/>
      <c r="S561" s="1"/>
      <c r="T561" s="1"/>
      <c r="U561" s="1"/>
      <c r="V561" s="1"/>
      <c r="W561" s="1"/>
      <c r="X561" s="1"/>
      <c r="Y561" s="1"/>
      <c r="Z561" s="1"/>
      <c r="AA561" s="1"/>
      <c r="AB561" s="1"/>
      <c r="AC561" s="1"/>
      <c r="AD561" s="1"/>
      <c r="AE561" s="1"/>
      <c r="AF561" s="1"/>
      <c r="AG561" s="1"/>
      <c r="AH561" s="1"/>
      <c r="AI561" s="1"/>
      <c r="AJ561" s="1"/>
      <c r="AK561" s="1"/>
    </row>
    <row r="562" spans="1:37" ht="12.75" customHeight="1">
      <c r="A562" s="1"/>
      <c r="B562" s="1"/>
      <c r="C562" s="1"/>
      <c r="D562" s="1"/>
      <c r="E562" s="1"/>
      <c r="F562" s="2"/>
      <c r="G562" s="2"/>
      <c r="H562" s="2"/>
      <c r="I562" s="2"/>
      <c r="J562" s="2"/>
      <c r="K562" s="2"/>
      <c r="L562" s="2"/>
      <c r="M562" s="2"/>
      <c r="N562" s="3"/>
      <c r="O562" s="3"/>
      <c r="P562" s="3"/>
      <c r="Q562" s="1"/>
      <c r="R562" s="1"/>
      <c r="S562" s="1"/>
      <c r="T562" s="1"/>
      <c r="U562" s="1"/>
      <c r="V562" s="1"/>
      <c r="W562" s="1"/>
      <c r="X562" s="1"/>
      <c r="Y562" s="1"/>
      <c r="Z562" s="1"/>
      <c r="AA562" s="1"/>
      <c r="AB562" s="1"/>
      <c r="AC562" s="1"/>
      <c r="AD562" s="1"/>
      <c r="AE562" s="1"/>
      <c r="AF562" s="1"/>
      <c r="AG562" s="1"/>
      <c r="AH562" s="1"/>
      <c r="AI562" s="1"/>
      <c r="AJ562" s="1"/>
      <c r="AK562" s="1"/>
    </row>
    <row r="563" spans="1:37" ht="12.75" customHeight="1">
      <c r="A563" s="1"/>
      <c r="B563" s="1"/>
      <c r="C563" s="1"/>
      <c r="D563" s="1"/>
      <c r="E563" s="1"/>
      <c r="F563" s="2"/>
      <c r="G563" s="2"/>
      <c r="H563" s="2"/>
      <c r="I563" s="2"/>
      <c r="J563" s="2"/>
      <c r="K563" s="2"/>
      <c r="L563" s="2"/>
      <c r="M563" s="2"/>
      <c r="N563" s="3"/>
      <c r="O563" s="3"/>
      <c r="P563" s="3"/>
      <c r="Q563" s="1"/>
      <c r="R563" s="1"/>
      <c r="S563" s="1"/>
      <c r="T563" s="1"/>
      <c r="U563" s="1"/>
      <c r="V563" s="1"/>
      <c r="W563" s="1"/>
      <c r="X563" s="1"/>
      <c r="Y563" s="1"/>
      <c r="Z563" s="1"/>
      <c r="AA563" s="1"/>
      <c r="AB563" s="1"/>
      <c r="AC563" s="1"/>
      <c r="AD563" s="1"/>
      <c r="AE563" s="1"/>
      <c r="AF563" s="1"/>
      <c r="AG563" s="1"/>
      <c r="AH563" s="1"/>
      <c r="AI563" s="1"/>
      <c r="AJ563" s="1"/>
      <c r="AK563" s="1"/>
    </row>
    <row r="564" spans="1:37" ht="12.75" customHeight="1">
      <c r="A564" s="1"/>
      <c r="B564" s="1"/>
      <c r="C564" s="1"/>
      <c r="D564" s="1"/>
      <c r="E564" s="1"/>
      <c r="F564" s="2"/>
      <c r="G564" s="2"/>
      <c r="H564" s="2"/>
      <c r="I564" s="2"/>
      <c r="J564" s="2"/>
      <c r="K564" s="2"/>
      <c r="L564" s="2"/>
      <c r="M564" s="2"/>
      <c r="N564" s="3"/>
      <c r="O564" s="3"/>
      <c r="P564" s="3"/>
      <c r="Q564" s="1"/>
      <c r="R564" s="1"/>
      <c r="S564" s="1"/>
      <c r="T564" s="1"/>
      <c r="U564" s="1"/>
      <c r="V564" s="1"/>
      <c r="W564" s="1"/>
      <c r="X564" s="1"/>
      <c r="Y564" s="1"/>
      <c r="Z564" s="1"/>
      <c r="AA564" s="1"/>
      <c r="AB564" s="1"/>
      <c r="AC564" s="1"/>
      <c r="AD564" s="1"/>
      <c r="AE564" s="1"/>
      <c r="AF564" s="1"/>
      <c r="AG564" s="1"/>
      <c r="AH564" s="1"/>
      <c r="AI564" s="1"/>
      <c r="AJ564" s="1"/>
      <c r="AK564" s="1"/>
    </row>
    <row r="565" spans="1:37" ht="12.75" customHeight="1">
      <c r="A565" s="1"/>
      <c r="B565" s="1"/>
      <c r="C565" s="1"/>
      <c r="D565" s="1"/>
      <c r="E565" s="1"/>
      <c r="F565" s="2"/>
      <c r="G565" s="2"/>
      <c r="H565" s="2"/>
      <c r="I565" s="2"/>
      <c r="J565" s="2"/>
      <c r="K565" s="2"/>
      <c r="L565" s="2"/>
      <c r="M565" s="2"/>
      <c r="N565" s="3"/>
      <c r="O565" s="3"/>
      <c r="P565" s="3"/>
      <c r="Q565" s="1"/>
      <c r="R565" s="1"/>
      <c r="S565" s="1"/>
      <c r="T565" s="1"/>
      <c r="U565" s="1"/>
      <c r="V565" s="1"/>
      <c r="W565" s="1"/>
      <c r="X565" s="1"/>
      <c r="Y565" s="1"/>
      <c r="Z565" s="1"/>
      <c r="AA565" s="1"/>
      <c r="AB565" s="1"/>
      <c r="AC565" s="1"/>
      <c r="AD565" s="1"/>
      <c r="AE565" s="1"/>
      <c r="AF565" s="1"/>
      <c r="AG565" s="1"/>
      <c r="AH565" s="1"/>
      <c r="AI565" s="1"/>
      <c r="AJ565" s="1"/>
      <c r="AK565" s="1"/>
    </row>
    <row r="566" spans="1:37" ht="12.75" customHeight="1">
      <c r="A566" s="1"/>
      <c r="B566" s="1"/>
      <c r="C566" s="1"/>
      <c r="D566" s="1"/>
      <c r="E566" s="1"/>
      <c r="F566" s="2"/>
      <c r="G566" s="2"/>
      <c r="H566" s="2"/>
      <c r="I566" s="2"/>
      <c r="J566" s="2"/>
      <c r="K566" s="2"/>
      <c r="L566" s="2"/>
      <c r="M566" s="2"/>
      <c r="N566" s="3"/>
      <c r="O566" s="3"/>
      <c r="P566" s="3"/>
      <c r="Q566" s="1"/>
      <c r="R566" s="1"/>
      <c r="S566" s="1"/>
      <c r="T566" s="1"/>
      <c r="U566" s="1"/>
      <c r="V566" s="1"/>
      <c r="W566" s="1"/>
      <c r="X566" s="1"/>
      <c r="Y566" s="1"/>
      <c r="Z566" s="1"/>
      <c r="AA566" s="1"/>
      <c r="AB566" s="1"/>
      <c r="AC566" s="1"/>
      <c r="AD566" s="1"/>
      <c r="AE566" s="1"/>
      <c r="AF566" s="1"/>
      <c r="AG566" s="1"/>
      <c r="AH566" s="1"/>
      <c r="AI566" s="1"/>
      <c r="AJ566" s="1"/>
      <c r="AK566" s="1"/>
    </row>
    <row r="567" spans="1:37" ht="12.75" customHeight="1">
      <c r="A567" s="1"/>
      <c r="B567" s="1"/>
      <c r="C567" s="1"/>
      <c r="D567" s="1"/>
      <c r="E567" s="1"/>
      <c r="F567" s="2"/>
      <c r="G567" s="2"/>
      <c r="H567" s="2"/>
      <c r="I567" s="2"/>
      <c r="J567" s="2"/>
      <c r="K567" s="2"/>
      <c r="L567" s="2"/>
      <c r="M567" s="2"/>
      <c r="N567" s="3"/>
      <c r="O567" s="3"/>
      <c r="P567" s="3"/>
      <c r="Q567" s="1"/>
      <c r="R567" s="1"/>
      <c r="S567" s="1"/>
      <c r="T567" s="1"/>
      <c r="U567" s="1"/>
      <c r="V567" s="1"/>
      <c r="W567" s="1"/>
      <c r="X567" s="1"/>
      <c r="Y567" s="1"/>
      <c r="Z567" s="1"/>
      <c r="AA567" s="1"/>
      <c r="AB567" s="1"/>
      <c r="AC567" s="1"/>
      <c r="AD567" s="1"/>
      <c r="AE567" s="1"/>
      <c r="AF567" s="1"/>
      <c r="AG567" s="1"/>
      <c r="AH567" s="1"/>
      <c r="AI567" s="1"/>
      <c r="AJ567" s="1"/>
      <c r="AK567" s="1"/>
    </row>
    <row r="568" spans="1:37" ht="12.75" customHeight="1">
      <c r="A568" s="1"/>
      <c r="B568" s="1"/>
      <c r="C568" s="1"/>
      <c r="D568" s="1"/>
      <c r="E568" s="1"/>
      <c r="F568" s="2"/>
      <c r="G568" s="2"/>
      <c r="H568" s="2"/>
      <c r="I568" s="2"/>
      <c r="J568" s="2"/>
      <c r="K568" s="2"/>
      <c r="L568" s="2"/>
      <c r="M568" s="2"/>
      <c r="N568" s="3"/>
      <c r="O568" s="3"/>
      <c r="P568" s="3"/>
      <c r="Q568" s="1"/>
      <c r="R568" s="1"/>
      <c r="S568" s="1"/>
      <c r="T568" s="1"/>
      <c r="U568" s="1"/>
      <c r="V568" s="1"/>
      <c r="W568" s="1"/>
      <c r="X568" s="1"/>
      <c r="Y568" s="1"/>
      <c r="Z568" s="1"/>
      <c r="AA568" s="1"/>
      <c r="AB568" s="1"/>
      <c r="AC568" s="1"/>
      <c r="AD568" s="1"/>
      <c r="AE568" s="1"/>
      <c r="AF568" s="1"/>
      <c r="AG568" s="1"/>
      <c r="AH568" s="1"/>
      <c r="AI568" s="1"/>
      <c r="AJ568" s="1"/>
      <c r="AK568" s="1"/>
    </row>
    <row r="569" spans="1:37" ht="12.75" customHeight="1">
      <c r="A569" s="1"/>
      <c r="B569" s="1"/>
      <c r="C569" s="1"/>
      <c r="D569" s="1"/>
      <c r="E569" s="1"/>
      <c r="F569" s="2"/>
      <c r="G569" s="2"/>
      <c r="H569" s="2"/>
      <c r="I569" s="2"/>
      <c r="J569" s="2"/>
      <c r="K569" s="2"/>
      <c r="L569" s="2"/>
      <c r="M569" s="2"/>
      <c r="N569" s="3"/>
      <c r="O569" s="3"/>
      <c r="P569" s="3"/>
      <c r="Q569" s="1"/>
      <c r="R569" s="1"/>
      <c r="S569" s="1"/>
      <c r="T569" s="1"/>
      <c r="U569" s="1"/>
      <c r="V569" s="1"/>
      <c r="W569" s="1"/>
      <c r="X569" s="1"/>
      <c r="Y569" s="1"/>
      <c r="Z569" s="1"/>
      <c r="AA569" s="1"/>
      <c r="AB569" s="1"/>
      <c r="AC569" s="1"/>
      <c r="AD569" s="1"/>
      <c r="AE569" s="1"/>
      <c r="AF569" s="1"/>
      <c r="AG569" s="1"/>
      <c r="AH569" s="1"/>
      <c r="AI569" s="1"/>
      <c r="AJ569" s="1"/>
      <c r="AK569" s="1"/>
    </row>
    <row r="570" spans="1:37" ht="12.75" customHeight="1">
      <c r="A570" s="1"/>
      <c r="B570" s="1"/>
      <c r="C570" s="1"/>
      <c r="D570" s="1"/>
      <c r="E570" s="1"/>
      <c r="F570" s="2"/>
      <c r="G570" s="2"/>
      <c r="H570" s="2"/>
      <c r="I570" s="2"/>
      <c r="J570" s="2"/>
      <c r="K570" s="2"/>
      <c r="L570" s="2"/>
      <c r="M570" s="2"/>
      <c r="N570" s="3"/>
      <c r="O570" s="3"/>
      <c r="P570" s="3"/>
      <c r="Q570" s="1"/>
      <c r="R570" s="1"/>
      <c r="S570" s="1"/>
      <c r="T570" s="1"/>
      <c r="U570" s="1"/>
      <c r="V570" s="1"/>
      <c r="W570" s="1"/>
      <c r="X570" s="1"/>
      <c r="Y570" s="1"/>
      <c r="Z570" s="1"/>
      <c r="AA570" s="1"/>
      <c r="AB570" s="1"/>
      <c r="AC570" s="1"/>
      <c r="AD570" s="1"/>
      <c r="AE570" s="1"/>
      <c r="AF570" s="1"/>
      <c r="AG570" s="1"/>
      <c r="AH570" s="1"/>
      <c r="AI570" s="1"/>
      <c r="AJ570" s="1"/>
      <c r="AK570" s="1"/>
    </row>
    <row r="571" spans="1:37" ht="12.75" customHeight="1">
      <c r="A571" s="1"/>
      <c r="B571" s="1"/>
      <c r="C571" s="1"/>
      <c r="D571" s="1"/>
      <c r="E571" s="1"/>
      <c r="F571" s="2"/>
      <c r="G571" s="2"/>
      <c r="H571" s="2"/>
      <c r="I571" s="2"/>
      <c r="J571" s="2"/>
      <c r="K571" s="2"/>
      <c r="L571" s="2"/>
      <c r="M571" s="2"/>
      <c r="N571" s="3"/>
      <c r="O571" s="3"/>
      <c r="P571" s="3"/>
      <c r="Q571" s="1"/>
      <c r="R571" s="1"/>
      <c r="S571" s="1"/>
      <c r="T571" s="1"/>
      <c r="U571" s="1"/>
      <c r="V571" s="1"/>
      <c r="W571" s="1"/>
      <c r="X571" s="1"/>
      <c r="Y571" s="1"/>
      <c r="Z571" s="1"/>
      <c r="AA571" s="1"/>
      <c r="AB571" s="1"/>
      <c r="AC571" s="1"/>
      <c r="AD571" s="1"/>
      <c r="AE571" s="1"/>
      <c r="AF571" s="1"/>
      <c r="AG571" s="1"/>
      <c r="AH571" s="1"/>
      <c r="AI571" s="1"/>
      <c r="AJ571" s="1"/>
      <c r="AK571" s="1"/>
    </row>
    <row r="572" spans="1:37" ht="12.75" customHeight="1">
      <c r="A572" s="1"/>
      <c r="B572" s="1"/>
      <c r="C572" s="1"/>
      <c r="D572" s="1"/>
      <c r="E572" s="1"/>
      <c r="F572" s="2"/>
      <c r="G572" s="2"/>
      <c r="H572" s="2"/>
      <c r="I572" s="2"/>
      <c r="J572" s="2"/>
      <c r="K572" s="2"/>
      <c r="L572" s="2"/>
      <c r="M572" s="2"/>
      <c r="N572" s="3"/>
      <c r="O572" s="3"/>
      <c r="P572" s="3"/>
      <c r="Q572" s="1"/>
      <c r="R572" s="1"/>
      <c r="S572" s="1"/>
      <c r="T572" s="1"/>
      <c r="U572" s="1"/>
      <c r="V572" s="1"/>
      <c r="W572" s="1"/>
      <c r="X572" s="1"/>
      <c r="Y572" s="1"/>
      <c r="Z572" s="1"/>
      <c r="AA572" s="1"/>
      <c r="AB572" s="1"/>
      <c r="AC572" s="1"/>
      <c r="AD572" s="1"/>
      <c r="AE572" s="1"/>
      <c r="AF572" s="1"/>
      <c r="AG572" s="1"/>
      <c r="AH572" s="1"/>
      <c r="AI572" s="1"/>
      <c r="AJ572" s="1"/>
      <c r="AK572" s="1"/>
    </row>
    <row r="573" spans="1:37" ht="12.75" customHeight="1">
      <c r="A573" s="1"/>
      <c r="B573" s="1"/>
      <c r="C573" s="1"/>
      <c r="D573" s="1"/>
      <c r="E573" s="1"/>
      <c r="F573" s="2"/>
      <c r="G573" s="2"/>
      <c r="H573" s="2"/>
      <c r="I573" s="2"/>
      <c r="J573" s="2"/>
      <c r="K573" s="2"/>
      <c r="L573" s="2"/>
      <c r="M573" s="2"/>
      <c r="N573" s="3"/>
      <c r="O573" s="3"/>
      <c r="P573" s="3"/>
      <c r="Q573" s="1"/>
      <c r="R573" s="1"/>
      <c r="S573" s="1"/>
      <c r="T573" s="1"/>
      <c r="U573" s="1"/>
      <c r="V573" s="1"/>
      <c r="W573" s="1"/>
      <c r="X573" s="1"/>
      <c r="Y573" s="1"/>
      <c r="Z573" s="1"/>
      <c r="AA573" s="1"/>
      <c r="AB573" s="1"/>
      <c r="AC573" s="1"/>
      <c r="AD573" s="1"/>
      <c r="AE573" s="1"/>
      <c r="AF573" s="1"/>
      <c r="AG573" s="1"/>
      <c r="AH573" s="1"/>
      <c r="AI573" s="1"/>
      <c r="AJ573" s="1"/>
      <c r="AK573" s="1"/>
    </row>
    <row r="574" spans="1:37" ht="12.75" customHeight="1">
      <c r="A574" s="1"/>
      <c r="B574" s="1"/>
      <c r="C574" s="1"/>
      <c r="D574" s="1"/>
      <c r="E574" s="1"/>
      <c r="F574" s="2"/>
      <c r="G574" s="2"/>
      <c r="H574" s="2"/>
      <c r="I574" s="2"/>
      <c r="J574" s="2"/>
      <c r="K574" s="2"/>
      <c r="L574" s="2"/>
      <c r="M574" s="2"/>
      <c r="N574" s="3"/>
      <c r="O574" s="3"/>
      <c r="P574" s="3"/>
      <c r="Q574" s="1"/>
      <c r="R574" s="1"/>
      <c r="S574" s="1"/>
      <c r="T574" s="1"/>
      <c r="U574" s="1"/>
      <c r="V574" s="1"/>
      <c r="W574" s="1"/>
      <c r="X574" s="1"/>
      <c r="Y574" s="1"/>
      <c r="Z574" s="1"/>
      <c r="AA574" s="1"/>
      <c r="AB574" s="1"/>
      <c r="AC574" s="1"/>
      <c r="AD574" s="1"/>
      <c r="AE574" s="1"/>
      <c r="AF574" s="1"/>
      <c r="AG574" s="1"/>
      <c r="AH574" s="1"/>
      <c r="AI574" s="1"/>
      <c r="AJ574" s="1"/>
      <c r="AK574" s="1"/>
    </row>
    <row r="575" spans="1:37" ht="12.75" customHeight="1">
      <c r="A575" s="1"/>
      <c r="B575" s="1"/>
      <c r="C575" s="1"/>
      <c r="D575" s="1"/>
      <c r="E575" s="1"/>
      <c r="F575" s="2"/>
      <c r="G575" s="2"/>
      <c r="H575" s="2"/>
      <c r="I575" s="2"/>
      <c r="J575" s="2"/>
      <c r="K575" s="2"/>
      <c r="L575" s="2"/>
      <c r="M575" s="2"/>
      <c r="N575" s="3"/>
      <c r="O575" s="3"/>
      <c r="P575" s="3"/>
      <c r="Q575" s="1"/>
      <c r="R575" s="1"/>
      <c r="S575" s="1"/>
      <c r="T575" s="1"/>
      <c r="U575" s="1"/>
      <c r="V575" s="1"/>
      <c r="W575" s="1"/>
      <c r="X575" s="1"/>
      <c r="Y575" s="1"/>
      <c r="Z575" s="1"/>
      <c r="AA575" s="1"/>
      <c r="AB575" s="1"/>
      <c r="AC575" s="1"/>
      <c r="AD575" s="1"/>
      <c r="AE575" s="1"/>
      <c r="AF575" s="1"/>
      <c r="AG575" s="1"/>
      <c r="AH575" s="1"/>
      <c r="AI575" s="1"/>
      <c r="AJ575" s="1"/>
      <c r="AK575" s="1"/>
    </row>
    <row r="576" spans="1:37" ht="12.75" customHeight="1">
      <c r="A576" s="1"/>
      <c r="B576" s="1"/>
      <c r="C576" s="1"/>
      <c r="D576" s="1"/>
      <c r="E576" s="1"/>
      <c r="F576" s="2"/>
      <c r="G576" s="2"/>
      <c r="H576" s="2"/>
      <c r="I576" s="2"/>
      <c r="J576" s="2"/>
      <c r="K576" s="2"/>
      <c r="L576" s="2"/>
      <c r="M576" s="2"/>
      <c r="N576" s="3"/>
      <c r="O576" s="3"/>
      <c r="P576" s="3"/>
      <c r="Q576" s="1"/>
      <c r="R576" s="1"/>
      <c r="S576" s="1"/>
      <c r="T576" s="1"/>
      <c r="U576" s="1"/>
      <c r="V576" s="1"/>
      <c r="W576" s="1"/>
      <c r="X576" s="1"/>
      <c r="Y576" s="1"/>
      <c r="Z576" s="1"/>
      <c r="AA576" s="1"/>
      <c r="AB576" s="1"/>
      <c r="AC576" s="1"/>
      <c r="AD576" s="1"/>
      <c r="AE576" s="1"/>
      <c r="AF576" s="1"/>
      <c r="AG576" s="1"/>
      <c r="AH576" s="1"/>
      <c r="AI576" s="1"/>
      <c r="AJ576" s="1"/>
      <c r="AK576" s="1"/>
    </row>
    <row r="577" spans="1:37" ht="12.75" customHeight="1">
      <c r="A577" s="1"/>
      <c r="B577" s="1"/>
      <c r="C577" s="1"/>
      <c r="D577" s="1"/>
      <c r="E577" s="1"/>
      <c r="F577" s="2"/>
      <c r="G577" s="2"/>
      <c r="H577" s="2"/>
      <c r="I577" s="2"/>
      <c r="J577" s="2"/>
      <c r="K577" s="2"/>
      <c r="L577" s="2"/>
      <c r="M577" s="2"/>
      <c r="N577" s="3"/>
      <c r="O577" s="3"/>
      <c r="P577" s="3"/>
      <c r="Q577" s="1"/>
      <c r="R577" s="1"/>
      <c r="S577" s="1"/>
      <c r="T577" s="1"/>
      <c r="U577" s="1"/>
      <c r="V577" s="1"/>
      <c r="W577" s="1"/>
      <c r="X577" s="1"/>
      <c r="Y577" s="1"/>
      <c r="Z577" s="1"/>
      <c r="AA577" s="1"/>
      <c r="AB577" s="1"/>
      <c r="AC577" s="1"/>
      <c r="AD577" s="1"/>
      <c r="AE577" s="1"/>
      <c r="AF577" s="1"/>
      <c r="AG577" s="1"/>
      <c r="AH577" s="1"/>
      <c r="AI577" s="1"/>
      <c r="AJ577" s="1"/>
      <c r="AK577" s="1"/>
    </row>
    <row r="578" spans="1:37" ht="12.75" customHeight="1">
      <c r="A578" s="1"/>
      <c r="B578" s="1"/>
      <c r="C578" s="1"/>
      <c r="D578" s="1"/>
      <c r="E578" s="1"/>
      <c r="F578" s="2"/>
      <c r="G578" s="2"/>
      <c r="H578" s="2"/>
      <c r="I578" s="2"/>
      <c r="J578" s="2"/>
      <c r="K578" s="2"/>
      <c r="L578" s="2"/>
      <c r="M578" s="2"/>
      <c r="N578" s="3"/>
      <c r="O578" s="3"/>
      <c r="P578" s="3"/>
      <c r="Q578" s="1"/>
      <c r="R578" s="1"/>
      <c r="S578" s="1"/>
      <c r="T578" s="1"/>
      <c r="U578" s="1"/>
      <c r="V578" s="1"/>
      <c r="W578" s="1"/>
      <c r="X578" s="1"/>
      <c r="Y578" s="1"/>
      <c r="Z578" s="1"/>
      <c r="AA578" s="1"/>
      <c r="AB578" s="1"/>
      <c r="AC578" s="1"/>
      <c r="AD578" s="1"/>
      <c r="AE578" s="1"/>
      <c r="AF578" s="1"/>
      <c r="AG578" s="1"/>
      <c r="AH578" s="1"/>
      <c r="AI578" s="1"/>
      <c r="AJ578" s="1"/>
      <c r="AK578" s="1"/>
    </row>
    <row r="579" spans="1:37" ht="12.75" customHeight="1">
      <c r="A579" s="1"/>
      <c r="B579" s="1"/>
      <c r="C579" s="1"/>
      <c r="D579" s="1"/>
      <c r="E579" s="1"/>
      <c r="F579" s="2"/>
      <c r="G579" s="2"/>
      <c r="H579" s="2"/>
      <c r="I579" s="2"/>
      <c r="J579" s="2"/>
      <c r="K579" s="2"/>
      <c r="L579" s="2"/>
      <c r="M579" s="2"/>
      <c r="N579" s="3"/>
      <c r="O579" s="3"/>
      <c r="P579" s="3"/>
      <c r="Q579" s="1"/>
      <c r="R579" s="1"/>
      <c r="S579" s="1"/>
      <c r="T579" s="1"/>
      <c r="U579" s="1"/>
      <c r="V579" s="1"/>
      <c r="W579" s="1"/>
      <c r="X579" s="1"/>
      <c r="Y579" s="1"/>
      <c r="Z579" s="1"/>
      <c r="AA579" s="1"/>
      <c r="AB579" s="1"/>
      <c r="AC579" s="1"/>
      <c r="AD579" s="1"/>
      <c r="AE579" s="1"/>
      <c r="AF579" s="1"/>
      <c r="AG579" s="1"/>
      <c r="AH579" s="1"/>
      <c r="AI579" s="1"/>
      <c r="AJ579" s="1"/>
      <c r="AK579" s="1"/>
    </row>
    <row r="580" spans="1:37" ht="12.75" customHeight="1">
      <c r="A580" s="1"/>
      <c r="B580" s="1"/>
      <c r="C580" s="1"/>
      <c r="D580" s="1"/>
      <c r="E580" s="1"/>
      <c r="F580" s="2"/>
      <c r="G580" s="2"/>
      <c r="H580" s="2"/>
      <c r="I580" s="2"/>
      <c r="J580" s="2"/>
      <c r="K580" s="2"/>
      <c r="L580" s="2"/>
      <c r="M580" s="2"/>
      <c r="N580" s="3"/>
      <c r="O580" s="3"/>
      <c r="P580" s="3"/>
      <c r="Q580" s="1"/>
      <c r="R580" s="1"/>
      <c r="S580" s="1"/>
      <c r="T580" s="1"/>
      <c r="U580" s="1"/>
      <c r="V580" s="1"/>
      <c r="W580" s="1"/>
      <c r="X580" s="1"/>
      <c r="Y580" s="1"/>
      <c r="Z580" s="1"/>
      <c r="AA580" s="1"/>
      <c r="AB580" s="1"/>
      <c r="AC580" s="1"/>
      <c r="AD580" s="1"/>
      <c r="AE580" s="1"/>
      <c r="AF580" s="1"/>
      <c r="AG580" s="1"/>
      <c r="AH580" s="1"/>
      <c r="AI580" s="1"/>
      <c r="AJ580" s="1"/>
      <c r="AK580" s="1"/>
    </row>
    <row r="581" spans="1:37" ht="12.75" customHeight="1">
      <c r="A581" s="1"/>
      <c r="B581" s="1"/>
      <c r="C581" s="1"/>
      <c r="D581" s="1"/>
      <c r="E581" s="1"/>
      <c r="F581" s="2"/>
      <c r="G581" s="2"/>
      <c r="H581" s="2"/>
      <c r="I581" s="2"/>
      <c r="J581" s="2"/>
      <c r="K581" s="2"/>
      <c r="L581" s="2"/>
      <c r="M581" s="2"/>
      <c r="N581" s="3"/>
      <c r="O581" s="3"/>
      <c r="P581" s="3"/>
      <c r="Q581" s="1"/>
      <c r="R581" s="1"/>
      <c r="S581" s="1"/>
      <c r="T581" s="1"/>
      <c r="U581" s="1"/>
      <c r="V581" s="1"/>
      <c r="W581" s="1"/>
      <c r="X581" s="1"/>
      <c r="Y581" s="1"/>
      <c r="Z581" s="1"/>
      <c r="AA581" s="1"/>
      <c r="AB581" s="1"/>
      <c r="AC581" s="1"/>
      <c r="AD581" s="1"/>
      <c r="AE581" s="1"/>
      <c r="AF581" s="1"/>
      <c r="AG581" s="1"/>
      <c r="AH581" s="1"/>
      <c r="AI581" s="1"/>
      <c r="AJ581" s="1"/>
      <c r="AK581" s="1"/>
    </row>
    <row r="582" spans="1:37" ht="12.75" customHeight="1">
      <c r="A582" s="1"/>
      <c r="B582" s="1"/>
      <c r="C582" s="1"/>
      <c r="D582" s="1"/>
      <c r="E582" s="1"/>
      <c r="F582" s="2"/>
      <c r="G582" s="2"/>
      <c r="H582" s="2"/>
      <c r="I582" s="2"/>
      <c r="J582" s="2"/>
      <c r="K582" s="2"/>
      <c r="L582" s="2"/>
      <c r="M582" s="2"/>
      <c r="N582" s="3"/>
      <c r="O582" s="3"/>
      <c r="P582" s="3"/>
      <c r="Q582" s="1"/>
      <c r="R582" s="1"/>
      <c r="S582" s="1"/>
      <c r="T582" s="1"/>
      <c r="U582" s="1"/>
      <c r="V582" s="1"/>
      <c r="W582" s="1"/>
      <c r="X582" s="1"/>
      <c r="Y582" s="1"/>
      <c r="Z582" s="1"/>
      <c r="AA582" s="1"/>
      <c r="AB582" s="1"/>
      <c r="AC582" s="1"/>
      <c r="AD582" s="1"/>
      <c r="AE582" s="1"/>
      <c r="AF582" s="1"/>
      <c r="AG582" s="1"/>
      <c r="AH582" s="1"/>
      <c r="AI582" s="1"/>
      <c r="AJ582" s="1"/>
      <c r="AK582" s="1"/>
    </row>
    <row r="583" spans="1:37" ht="12.75" customHeight="1">
      <c r="A583" s="1"/>
      <c r="B583" s="1"/>
      <c r="C583" s="1"/>
      <c r="D583" s="1"/>
      <c r="E583" s="1"/>
      <c r="F583" s="2"/>
      <c r="G583" s="2"/>
      <c r="H583" s="2"/>
      <c r="I583" s="2"/>
      <c r="J583" s="2"/>
      <c r="K583" s="2"/>
      <c r="L583" s="2"/>
      <c r="M583" s="2"/>
      <c r="N583" s="3"/>
      <c r="O583" s="3"/>
      <c r="P583" s="3"/>
      <c r="Q583" s="1"/>
      <c r="R583" s="1"/>
      <c r="S583" s="1"/>
      <c r="T583" s="1"/>
      <c r="U583" s="1"/>
      <c r="V583" s="1"/>
      <c r="W583" s="1"/>
      <c r="X583" s="1"/>
      <c r="Y583" s="1"/>
      <c r="Z583" s="1"/>
      <c r="AA583" s="1"/>
      <c r="AB583" s="1"/>
      <c r="AC583" s="1"/>
      <c r="AD583" s="1"/>
      <c r="AE583" s="1"/>
      <c r="AF583" s="1"/>
      <c r="AG583" s="1"/>
      <c r="AH583" s="1"/>
      <c r="AI583" s="1"/>
      <c r="AJ583" s="1"/>
      <c r="AK583" s="1"/>
    </row>
    <row r="584" spans="1:37" ht="12.75" customHeight="1">
      <c r="A584" s="1"/>
      <c r="B584" s="1"/>
      <c r="C584" s="1"/>
      <c r="D584" s="1"/>
      <c r="E584" s="1"/>
      <c r="F584" s="2"/>
      <c r="G584" s="2"/>
      <c r="H584" s="2"/>
      <c r="I584" s="2"/>
      <c r="J584" s="2"/>
      <c r="K584" s="2"/>
      <c r="L584" s="2"/>
      <c r="M584" s="2"/>
      <c r="N584" s="3"/>
      <c r="O584" s="3"/>
      <c r="P584" s="3"/>
      <c r="Q584" s="1"/>
      <c r="R584" s="1"/>
      <c r="S584" s="1"/>
      <c r="T584" s="1"/>
      <c r="U584" s="1"/>
      <c r="V584" s="1"/>
      <c r="W584" s="1"/>
      <c r="X584" s="1"/>
      <c r="Y584" s="1"/>
      <c r="Z584" s="1"/>
      <c r="AA584" s="1"/>
      <c r="AB584" s="1"/>
      <c r="AC584" s="1"/>
      <c r="AD584" s="1"/>
      <c r="AE584" s="1"/>
      <c r="AF584" s="1"/>
      <c r="AG584" s="1"/>
      <c r="AH584" s="1"/>
      <c r="AI584" s="1"/>
      <c r="AJ584" s="1"/>
      <c r="AK584" s="1"/>
    </row>
    <row r="585" spans="1:37" ht="12.75" customHeight="1">
      <c r="A585" s="1"/>
      <c r="B585" s="1"/>
      <c r="C585" s="1"/>
      <c r="D585" s="1"/>
      <c r="E585" s="1"/>
      <c r="F585" s="2"/>
      <c r="G585" s="2"/>
      <c r="H585" s="2"/>
      <c r="I585" s="2"/>
      <c r="J585" s="2"/>
      <c r="K585" s="2"/>
      <c r="L585" s="2"/>
      <c r="M585" s="2"/>
      <c r="N585" s="3"/>
      <c r="O585" s="3"/>
      <c r="P585" s="3"/>
      <c r="Q585" s="1"/>
      <c r="R585" s="1"/>
      <c r="S585" s="1"/>
      <c r="T585" s="1"/>
      <c r="U585" s="1"/>
      <c r="V585" s="1"/>
      <c r="W585" s="1"/>
      <c r="X585" s="1"/>
      <c r="Y585" s="1"/>
      <c r="Z585" s="1"/>
      <c r="AA585" s="1"/>
      <c r="AB585" s="1"/>
      <c r="AC585" s="1"/>
      <c r="AD585" s="1"/>
      <c r="AE585" s="1"/>
      <c r="AF585" s="1"/>
      <c r="AG585" s="1"/>
      <c r="AH585" s="1"/>
      <c r="AI585" s="1"/>
      <c r="AJ585" s="1"/>
      <c r="AK585" s="1"/>
    </row>
    <row r="586" spans="1:37" ht="12.75" customHeight="1">
      <c r="A586" s="1"/>
      <c r="B586" s="1"/>
      <c r="C586" s="1"/>
      <c r="D586" s="1"/>
      <c r="E586" s="1"/>
      <c r="F586" s="2"/>
      <c r="G586" s="2"/>
      <c r="H586" s="2"/>
      <c r="I586" s="2"/>
      <c r="J586" s="2"/>
      <c r="K586" s="2"/>
      <c r="L586" s="2"/>
      <c r="M586" s="2"/>
      <c r="N586" s="3"/>
      <c r="O586" s="3"/>
      <c r="P586" s="3"/>
      <c r="Q586" s="1"/>
      <c r="R586" s="1"/>
      <c r="S586" s="1"/>
      <c r="T586" s="1"/>
      <c r="U586" s="1"/>
      <c r="V586" s="1"/>
      <c r="W586" s="1"/>
      <c r="X586" s="1"/>
      <c r="Y586" s="1"/>
      <c r="Z586" s="1"/>
      <c r="AA586" s="1"/>
      <c r="AB586" s="1"/>
      <c r="AC586" s="1"/>
      <c r="AD586" s="1"/>
      <c r="AE586" s="1"/>
      <c r="AF586" s="1"/>
      <c r="AG586" s="1"/>
      <c r="AH586" s="1"/>
      <c r="AI586" s="1"/>
      <c r="AJ586" s="1"/>
      <c r="AK586" s="1"/>
    </row>
    <row r="587" spans="1:37" ht="12.75" customHeight="1">
      <c r="A587" s="1"/>
      <c r="B587" s="1"/>
      <c r="C587" s="1"/>
      <c r="D587" s="1"/>
      <c r="E587" s="1"/>
      <c r="F587" s="2"/>
      <c r="G587" s="2"/>
      <c r="H587" s="2"/>
      <c r="I587" s="2"/>
      <c r="J587" s="2"/>
      <c r="K587" s="2"/>
      <c r="L587" s="2"/>
      <c r="M587" s="2"/>
      <c r="N587" s="3"/>
      <c r="O587" s="3"/>
      <c r="P587" s="3"/>
      <c r="Q587" s="1"/>
      <c r="R587" s="1"/>
      <c r="S587" s="1"/>
      <c r="T587" s="1"/>
      <c r="U587" s="1"/>
      <c r="V587" s="1"/>
      <c r="W587" s="1"/>
      <c r="X587" s="1"/>
      <c r="Y587" s="1"/>
      <c r="Z587" s="1"/>
      <c r="AA587" s="1"/>
      <c r="AB587" s="1"/>
      <c r="AC587" s="1"/>
      <c r="AD587" s="1"/>
      <c r="AE587" s="1"/>
      <c r="AF587" s="1"/>
      <c r="AG587" s="1"/>
      <c r="AH587" s="1"/>
      <c r="AI587" s="1"/>
      <c r="AJ587" s="1"/>
      <c r="AK587" s="1"/>
    </row>
    <row r="588" spans="1:37" ht="12.75" customHeight="1">
      <c r="A588" s="1"/>
      <c r="B588" s="1"/>
      <c r="C588" s="1"/>
      <c r="D588" s="1"/>
      <c r="E588" s="1"/>
      <c r="F588" s="2"/>
      <c r="G588" s="2"/>
      <c r="H588" s="2"/>
      <c r="I588" s="2"/>
      <c r="J588" s="2"/>
      <c r="K588" s="2"/>
      <c r="L588" s="2"/>
      <c r="M588" s="2"/>
      <c r="N588" s="3"/>
      <c r="O588" s="3"/>
      <c r="P588" s="3"/>
      <c r="Q588" s="1"/>
      <c r="R588" s="1"/>
      <c r="S588" s="1"/>
      <c r="T588" s="1"/>
      <c r="U588" s="1"/>
      <c r="V588" s="1"/>
      <c r="W588" s="1"/>
      <c r="X588" s="1"/>
      <c r="Y588" s="1"/>
      <c r="Z588" s="1"/>
      <c r="AA588" s="1"/>
      <c r="AB588" s="1"/>
      <c r="AC588" s="1"/>
      <c r="AD588" s="1"/>
      <c r="AE588" s="1"/>
      <c r="AF588" s="1"/>
      <c r="AG588" s="1"/>
      <c r="AH588" s="1"/>
      <c r="AI588" s="1"/>
      <c r="AJ588" s="1"/>
      <c r="AK588" s="1"/>
    </row>
    <row r="589" spans="1:37" ht="12.75" customHeight="1">
      <c r="A589" s="1"/>
      <c r="B589" s="1"/>
      <c r="C589" s="1"/>
      <c r="D589" s="1"/>
      <c r="E589" s="1"/>
      <c r="F589" s="2"/>
      <c r="G589" s="2"/>
      <c r="H589" s="2"/>
      <c r="I589" s="2"/>
      <c r="J589" s="2"/>
      <c r="K589" s="2"/>
      <c r="L589" s="2"/>
      <c r="M589" s="2"/>
      <c r="N589" s="3"/>
      <c r="O589" s="3"/>
      <c r="P589" s="3"/>
      <c r="Q589" s="1"/>
      <c r="R589" s="1"/>
      <c r="S589" s="1"/>
      <c r="T589" s="1"/>
      <c r="U589" s="1"/>
      <c r="V589" s="1"/>
      <c r="W589" s="1"/>
      <c r="X589" s="1"/>
      <c r="Y589" s="1"/>
      <c r="Z589" s="1"/>
      <c r="AA589" s="1"/>
      <c r="AB589" s="1"/>
      <c r="AC589" s="1"/>
      <c r="AD589" s="1"/>
      <c r="AE589" s="1"/>
      <c r="AF589" s="1"/>
      <c r="AG589" s="1"/>
      <c r="AH589" s="1"/>
      <c r="AI589" s="1"/>
      <c r="AJ589" s="1"/>
      <c r="AK589" s="1"/>
    </row>
    <row r="590" spans="1:37" ht="12.75" customHeight="1">
      <c r="A590" s="1"/>
      <c r="B590" s="1"/>
      <c r="C590" s="1"/>
      <c r="D590" s="1"/>
      <c r="E590" s="1"/>
      <c r="F590" s="2"/>
      <c r="G590" s="2"/>
      <c r="H590" s="2"/>
      <c r="I590" s="2"/>
      <c r="J590" s="2"/>
      <c r="K590" s="2"/>
      <c r="L590" s="2"/>
      <c r="M590" s="2"/>
      <c r="N590" s="3"/>
      <c r="O590" s="3"/>
      <c r="P590" s="3"/>
      <c r="Q590" s="1"/>
      <c r="R590" s="1"/>
      <c r="S590" s="1"/>
      <c r="T590" s="1"/>
      <c r="U590" s="1"/>
      <c r="V590" s="1"/>
      <c r="W590" s="1"/>
      <c r="X590" s="1"/>
      <c r="Y590" s="1"/>
      <c r="Z590" s="1"/>
      <c r="AA590" s="1"/>
      <c r="AB590" s="1"/>
      <c r="AC590" s="1"/>
      <c r="AD590" s="1"/>
      <c r="AE590" s="1"/>
      <c r="AF590" s="1"/>
      <c r="AG590" s="1"/>
      <c r="AH590" s="1"/>
      <c r="AI590" s="1"/>
      <c r="AJ590" s="1"/>
      <c r="AK590" s="1"/>
    </row>
    <row r="591" spans="1:37" ht="12.75" customHeight="1">
      <c r="A591" s="1"/>
      <c r="B591" s="1"/>
      <c r="C591" s="1"/>
      <c r="D591" s="1"/>
      <c r="E591" s="1"/>
      <c r="F591" s="2"/>
      <c r="G591" s="2"/>
      <c r="H591" s="2"/>
      <c r="I591" s="2"/>
      <c r="J591" s="2"/>
      <c r="K591" s="2"/>
      <c r="L591" s="2"/>
      <c r="M591" s="2"/>
      <c r="N591" s="3"/>
      <c r="O591" s="3"/>
      <c r="P591" s="3"/>
      <c r="Q591" s="1"/>
      <c r="R591" s="1"/>
      <c r="S591" s="1"/>
      <c r="T591" s="1"/>
      <c r="U591" s="1"/>
      <c r="V591" s="1"/>
      <c r="W591" s="1"/>
      <c r="X591" s="1"/>
      <c r="Y591" s="1"/>
      <c r="Z591" s="1"/>
      <c r="AA591" s="1"/>
      <c r="AB591" s="1"/>
      <c r="AC591" s="1"/>
      <c r="AD591" s="1"/>
      <c r="AE591" s="1"/>
      <c r="AF591" s="1"/>
      <c r="AG591" s="1"/>
      <c r="AH591" s="1"/>
      <c r="AI591" s="1"/>
      <c r="AJ591" s="1"/>
      <c r="AK591" s="1"/>
    </row>
    <row r="592" spans="1:37" ht="12.75" customHeight="1">
      <c r="A592" s="1"/>
      <c r="B592" s="1"/>
      <c r="C592" s="1"/>
      <c r="D592" s="1"/>
      <c r="E592" s="1"/>
      <c r="F592" s="2"/>
      <c r="G592" s="2"/>
      <c r="H592" s="2"/>
      <c r="I592" s="2"/>
      <c r="J592" s="2"/>
      <c r="K592" s="2"/>
      <c r="L592" s="2"/>
      <c r="M592" s="2"/>
      <c r="N592" s="3"/>
      <c r="O592" s="3"/>
      <c r="P592" s="3"/>
      <c r="Q592" s="1"/>
      <c r="R592" s="1"/>
      <c r="S592" s="1"/>
      <c r="T592" s="1"/>
      <c r="U592" s="1"/>
      <c r="V592" s="1"/>
      <c r="W592" s="1"/>
      <c r="X592" s="1"/>
      <c r="Y592" s="1"/>
      <c r="Z592" s="1"/>
      <c r="AA592" s="1"/>
      <c r="AB592" s="1"/>
      <c r="AC592" s="1"/>
      <c r="AD592" s="1"/>
      <c r="AE592" s="1"/>
      <c r="AF592" s="1"/>
      <c r="AG592" s="1"/>
      <c r="AH592" s="1"/>
      <c r="AI592" s="1"/>
      <c r="AJ592" s="1"/>
      <c r="AK592" s="1"/>
    </row>
    <row r="593" spans="1:37" ht="12.75" customHeight="1">
      <c r="A593" s="1"/>
      <c r="B593" s="1"/>
      <c r="C593" s="1"/>
      <c r="D593" s="1"/>
      <c r="E593" s="1"/>
      <c r="F593" s="2"/>
      <c r="G593" s="2"/>
      <c r="H593" s="2"/>
      <c r="I593" s="2"/>
      <c r="J593" s="2"/>
      <c r="K593" s="2"/>
      <c r="L593" s="2"/>
      <c r="M593" s="2"/>
      <c r="N593" s="3"/>
      <c r="O593" s="3"/>
      <c r="P593" s="3"/>
      <c r="Q593" s="1"/>
      <c r="R593" s="1"/>
      <c r="S593" s="1"/>
      <c r="T593" s="1"/>
      <c r="U593" s="1"/>
      <c r="V593" s="1"/>
      <c r="W593" s="1"/>
      <c r="X593" s="1"/>
      <c r="Y593" s="1"/>
      <c r="Z593" s="1"/>
      <c r="AA593" s="1"/>
      <c r="AB593" s="1"/>
      <c r="AC593" s="1"/>
      <c r="AD593" s="1"/>
      <c r="AE593" s="1"/>
      <c r="AF593" s="1"/>
      <c r="AG593" s="1"/>
      <c r="AH593" s="1"/>
      <c r="AI593" s="1"/>
      <c r="AJ593" s="1"/>
      <c r="AK593" s="1"/>
    </row>
    <row r="594" spans="1:37" ht="12.75" customHeight="1">
      <c r="A594" s="1"/>
      <c r="B594" s="1"/>
      <c r="C594" s="1"/>
      <c r="D594" s="1"/>
      <c r="E594" s="1"/>
      <c r="F594" s="2"/>
      <c r="G594" s="2"/>
      <c r="H594" s="2"/>
      <c r="I594" s="2"/>
      <c r="J594" s="2"/>
      <c r="K594" s="2"/>
      <c r="L594" s="2"/>
      <c r="M594" s="2"/>
      <c r="N594" s="3"/>
      <c r="O594" s="3"/>
      <c r="P594" s="3"/>
      <c r="Q594" s="1"/>
      <c r="R594" s="1"/>
      <c r="S594" s="1"/>
      <c r="T594" s="1"/>
      <c r="U594" s="1"/>
      <c r="V594" s="1"/>
      <c r="W594" s="1"/>
      <c r="X594" s="1"/>
      <c r="Y594" s="1"/>
      <c r="Z594" s="1"/>
      <c r="AA594" s="1"/>
      <c r="AB594" s="1"/>
      <c r="AC594" s="1"/>
      <c r="AD594" s="1"/>
      <c r="AE594" s="1"/>
      <c r="AF594" s="1"/>
      <c r="AG594" s="1"/>
      <c r="AH594" s="1"/>
      <c r="AI594" s="1"/>
      <c r="AJ594" s="1"/>
      <c r="AK594" s="1"/>
    </row>
    <row r="595" spans="1:37" ht="12.75" customHeight="1">
      <c r="A595" s="1"/>
      <c r="B595" s="1"/>
      <c r="C595" s="1"/>
      <c r="D595" s="1"/>
      <c r="E595" s="1"/>
      <c r="F595" s="2"/>
      <c r="G595" s="2"/>
      <c r="H595" s="2"/>
      <c r="I595" s="2"/>
      <c r="J595" s="2"/>
      <c r="K595" s="2"/>
      <c r="L595" s="2"/>
      <c r="M595" s="2"/>
      <c r="N595" s="3"/>
      <c r="O595" s="3"/>
      <c r="P595" s="3"/>
      <c r="Q595" s="1"/>
      <c r="R595" s="1"/>
      <c r="S595" s="1"/>
      <c r="T595" s="1"/>
      <c r="U595" s="1"/>
      <c r="V595" s="1"/>
      <c r="W595" s="1"/>
      <c r="X595" s="1"/>
      <c r="Y595" s="1"/>
      <c r="Z595" s="1"/>
      <c r="AA595" s="1"/>
      <c r="AB595" s="1"/>
      <c r="AC595" s="1"/>
      <c r="AD595" s="1"/>
      <c r="AE595" s="1"/>
      <c r="AF595" s="1"/>
      <c r="AG595" s="1"/>
      <c r="AH595" s="1"/>
      <c r="AI595" s="1"/>
      <c r="AJ595" s="1"/>
      <c r="AK595" s="1"/>
    </row>
    <row r="596" spans="1:37" ht="12.75" customHeight="1">
      <c r="A596" s="1"/>
      <c r="B596" s="1"/>
      <c r="C596" s="1"/>
      <c r="D596" s="1"/>
      <c r="E596" s="1"/>
      <c r="F596" s="2"/>
      <c r="G596" s="2"/>
      <c r="H596" s="2"/>
      <c r="I596" s="2"/>
      <c r="J596" s="2"/>
      <c r="K596" s="2"/>
      <c r="L596" s="2"/>
      <c r="M596" s="2"/>
      <c r="N596" s="3"/>
      <c r="O596" s="3"/>
      <c r="P596" s="3"/>
      <c r="Q596" s="1"/>
      <c r="R596" s="1"/>
      <c r="S596" s="1"/>
      <c r="T596" s="1"/>
      <c r="U596" s="1"/>
      <c r="V596" s="1"/>
      <c r="W596" s="1"/>
      <c r="X596" s="1"/>
      <c r="Y596" s="1"/>
      <c r="Z596" s="1"/>
      <c r="AA596" s="1"/>
      <c r="AB596" s="1"/>
      <c r="AC596" s="1"/>
      <c r="AD596" s="1"/>
      <c r="AE596" s="1"/>
      <c r="AF596" s="1"/>
      <c r="AG596" s="1"/>
      <c r="AH596" s="1"/>
      <c r="AI596" s="1"/>
      <c r="AJ596" s="1"/>
      <c r="AK596" s="1"/>
    </row>
    <row r="597" spans="1:37" ht="12.75" customHeight="1">
      <c r="A597" s="1"/>
      <c r="B597" s="1"/>
      <c r="C597" s="1"/>
      <c r="D597" s="1"/>
      <c r="E597" s="1"/>
      <c r="F597" s="2"/>
      <c r="G597" s="2"/>
      <c r="H597" s="2"/>
      <c r="I597" s="2"/>
      <c r="J597" s="2"/>
      <c r="K597" s="2"/>
      <c r="L597" s="2"/>
      <c r="M597" s="2"/>
      <c r="N597" s="3"/>
      <c r="O597" s="3"/>
      <c r="P597" s="3"/>
      <c r="Q597" s="1"/>
      <c r="R597" s="1"/>
      <c r="S597" s="1"/>
      <c r="T597" s="1"/>
      <c r="U597" s="1"/>
      <c r="V597" s="1"/>
      <c r="W597" s="1"/>
      <c r="X597" s="1"/>
      <c r="Y597" s="1"/>
      <c r="Z597" s="1"/>
      <c r="AA597" s="1"/>
      <c r="AB597" s="1"/>
      <c r="AC597" s="1"/>
      <c r="AD597" s="1"/>
      <c r="AE597" s="1"/>
      <c r="AF597" s="1"/>
      <c r="AG597" s="1"/>
      <c r="AH597" s="1"/>
      <c r="AI597" s="1"/>
      <c r="AJ597" s="1"/>
      <c r="AK597" s="1"/>
    </row>
    <row r="598" spans="1:37" ht="12.75" customHeight="1">
      <c r="A598" s="1"/>
      <c r="B598" s="1"/>
      <c r="C598" s="1"/>
      <c r="D598" s="1"/>
      <c r="E598" s="1"/>
      <c r="F598" s="2"/>
      <c r="G598" s="2"/>
      <c r="H598" s="2"/>
      <c r="I598" s="2"/>
      <c r="J598" s="2"/>
      <c r="K598" s="2"/>
      <c r="L598" s="2"/>
      <c r="M598" s="2"/>
      <c r="N598" s="3"/>
      <c r="O598" s="3"/>
      <c r="P598" s="3"/>
      <c r="Q598" s="1"/>
      <c r="R598" s="1"/>
      <c r="S598" s="1"/>
      <c r="T598" s="1"/>
      <c r="U598" s="1"/>
      <c r="V598" s="1"/>
      <c r="W598" s="1"/>
      <c r="X598" s="1"/>
      <c r="Y598" s="1"/>
      <c r="Z598" s="1"/>
      <c r="AA598" s="1"/>
      <c r="AB598" s="1"/>
      <c r="AC598" s="1"/>
      <c r="AD598" s="1"/>
      <c r="AE598" s="1"/>
      <c r="AF598" s="1"/>
      <c r="AG598" s="1"/>
      <c r="AH598" s="1"/>
      <c r="AI598" s="1"/>
      <c r="AJ598" s="1"/>
      <c r="AK598" s="1"/>
    </row>
    <row r="599" spans="1:37" ht="12.75" customHeight="1">
      <c r="A599" s="1"/>
      <c r="B599" s="1"/>
      <c r="C599" s="1"/>
      <c r="D599" s="1"/>
      <c r="E599" s="1"/>
      <c r="F599" s="2"/>
      <c r="G599" s="2"/>
      <c r="H599" s="2"/>
      <c r="I599" s="2"/>
      <c r="J599" s="2"/>
      <c r="K599" s="2"/>
      <c r="L599" s="2"/>
      <c r="M599" s="2"/>
      <c r="N599" s="3"/>
      <c r="O599" s="3"/>
      <c r="P599" s="3"/>
      <c r="Q599" s="1"/>
      <c r="R599" s="1"/>
      <c r="S599" s="1"/>
      <c r="T599" s="1"/>
      <c r="U599" s="1"/>
      <c r="V599" s="1"/>
      <c r="W599" s="1"/>
      <c r="X599" s="1"/>
      <c r="Y599" s="1"/>
      <c r="Z599" s="1"/>
      <c r="AA599" s="1"/>
      <c r="AB599" s="1"/>
      <c r="AC599" s="1"/>
      <c r="AD599" s="1"/>
      <c r="AE599" s="1"/>
      <c r="AF599" s="1"/>
      <c r="AG599" s="1"/>
      <c r="AH599" s="1"/>
      <c r="AI599" s="1"/>
      <c r="AJ599" s="1"/>
      <c r="AK599" s="1"/>
    </row>
    <row r="600" spans="1:37" ht="12.75" customHeight="1">
      <c r="A600" s="1"/>
      <c r="B600" s="1"/>
      <c r="C600" s="1"/>
      <c r="D600" s="1"/>
      <c r="E600" s="1"/>
      <c r="F600" s="2"/>
      <c r="G600" s="2"/>
      <c r="H600" s="2"/>
      <c r="I600" s="2"/>
      <c r="J600" s="2"/>
      <c r="K600" s="2"/>
      <c r="L600" s="2"/>
      <c r="M600" s="2"/>
      <c r="N600" s="3"/>
      <c r="O600" s="3"/>
      <c r="P600" s="3"/>
      <c r="Q600" s="1"/>
      <c r="R600" s="1"/>
      <c r="S600" s="1"/>
      <c r="T600" s="1"/>
      <c r="U600" s="1"/>
      <c r="V600" s="1"/>
      <c r="W600" s="1"/>
      <c r="X600" s="1"/>
      <c r="Y600" s="1"/>
      <c r="Z600" s="1"/>
      <c r="AA600" s="1"/>
      <c r="AB600" s="1"/>
      <c r="AC600" s="1"/>
      <c r="AD600" s="1"/>
      <c r="AE600" s="1"/>
      <c r="AF600" s="1"/>
      <c r="AG600" s="1"/>
      <c r="AH600" s="1"/>
      <c r="AI600" s="1"/>
      <c r="AJ600" s="1"/>
      <c r="AK600" s="1"/>
    </row>
    <row r="601" spans="1:37" ht="12.75" customHeight="1">
      <c r="A601" s="1"/>
      <c r="B601" s="1"/>
      <c r="C601" s="1"/>
      <c r="D601" s="1"/>
      <c r="E601" s="1"/>
      <c r="F601" s="2"/>
      <c r="G601" s="2"/>
      <c r="H601" s="2"/>
      <c r="I601" s="2"/>
      <c r="J601" s="2"/>
      <c r="K601" s="2"/>
      <c r="L601" s="2"/>
      <c r="M601" s="2"/>
      <c r="N601" s="3"/>
      <c r="O601" s="3"/>
      <c r="P601" s="3"/>
      <c r="Q601" s="1"/>
      <c r="R601" s="1"/>
      <c r="S601" s="1"/>
      <c r="T601" s="1"/>
      <c r="U601" s="1"/>
      <c r="V601" s="1"/>
      <c r="W601" s="1"/>
      <c r="X601" s="1"/>
      <c r="Y601" s="1"/>
      <c r="Z601" s="1"/>
      <c r="AA601" s="1"/>
      <c r="AB601" s="1"/>
      <c r="AC601" s="1"/>
      <c r="AD601" s="1"/>
      <c r="AE601" s="1"/>
      <c r="AF601" s="1"/>
      <c r="AG601" s="1"/>
      <c r="AH601" s="1"/>
      <c r="AI601" s="1"/>
      <c r="AJ601" s="1"/>
      <c r="AK601" s="1"/>
    </row>
    <row r="602" spans="1:37" ht="12.75" customHeight="1">
      <c r="A602" s="1"/>
      <c r="B602" s="1"/>
      <c r="C602" s="1"/>
      <c r="D602" s="1"/>
      <c r="E602" s="1"/>
      <c r="F602" s="2"/>
      <c r="G602" s="2"/>
      <c r="H602" s="2"/>
      <c r="I602" s="2"/>
      <c r="J602" s="2"/>
      <c r="K602" s="2"/>
      <c r="L602" s="2"/>
      <c r="M602" s="2"/>
      <c r="N602" s="3"/>
      <c r="O602" s="3"/>
      <c r="P602" s="3"/>
      <c r="Q602" s="1"/>
      <c r="R602" s="1"/>
      <c r="S602" s="1"/>
      <c r="T602" s="1"/>
      <c r="U602" s="1"/>
      <c r="V602" s="1"/>
      <c r="W602" s="1"/>
      <c r="X602" s="1"/>
      <c r="Y602" s="1"/>
      <c r="Z602" s="1"/>
      <c r="AA602" s="1"/>
      <c r="AB602" s="1"/>
      <c r="AC602" s="1"/>
      <c r="AD602" s="1"/>
      <c r="AE602" s="1"/>
      <c r="AF602" s="1"/>
      <c r="AG602" s="1"/>
      <c r="AH602" s="1"/>
      <c r="AI602" s="1"/>
      <c r="AJ602" s="1"/>
      <c r="AK602" s="1"/>
    </row>
    <row r="603" spans="1:37" ht="12.75" customHeight="1">
      <c r="A603" s="1"/>
      <c r="B603" s="1"/>
      <c r="C603" s="1"/>
      <c r="D603" s="1"/>
      <c r="E603" s="1"/>
      <c r="F603" s="2"/>
      <c r="G603" s="2"/>
      <c r="H603" s="2"/>
      <c r="I603" s="2"/>
      <c r="J603" s="2"/>
      <c r="K603" s="2"/>
      <c r="L603" s="2"/>
      <c r="M603" s="2"/>
      <c r="N603" s="3"/>
      <c r="O603" s="3"/>
      <c r="P603" s="3"/>
      <c r="Q603" s="1"/>
      <c r="R603" s="1"/>
      <c r="S603" s="1"/>
      <c r="T603" s="1"/>
      <c r="U603" s="1"/>
      <c r="V603" s="1"/>
      <c r="W603" s="1"/>
      <c r="X603" s="1"/>
      <c r="Y603" s="1"/>
      <c r="Z603" s="1"/>
      <c r="AA603" s="1"/>
      <c r="AB603" s="1"/>
      <c r="AC603" s="1"/>
      <c r="AD603" s="1"/>
      <c r="AE603" s="1"/>
      <c r="AF603" s="1"/>
      <c r="AG603" s="1"/>
      <c r="AH603" s="1"/>
      <c r="AI603" s="1"/>
      <c r="AJ603" s="1"/>
      <c r="AK603" s="1"/>
    </row>
    <row r="604" spans="1:37" ht="12.75" customHeight="1">
      <c r="A604" s="1"/>
      <c r="B604" s="1"/>
      <c r="C604" s="1"/>
      <c r="D604" s="1"/>
      <c r="E604" s="1"/>
      <c r="F604" s="2"/>
      <c r="G604" s="2"/>
      <c r="H604" s="2"/>
      <c r="I604" s="2"/>
      <c r="J604" s="2"/>
      <c r="K604" s="2"/>
      <c r="L604" s="2"/>
      <c r="M604" s="2"/>
      <c r="N604" s="3"/>
      <c r="O604" s="3"/>
      <c r="P604" s="3"/>
      <c r="Q604" s="1"/>
      <c r="R604" s="1"/>
      <c r="S604" s="1"/>
      <c r="T604" s="1"/>
      <c r="U604" s="1"/>
      <c r="V604" s="1"/>
      <c r="W604" s="1"/>
      <c r="X604" s="1"/>
      <c r="Y604" s="1"/>
      <c r="Z604" s="1"/>
      <c r="AA604" s="1"/>
      <c r="AB604" s="1"/>
      <c r="AC604" s="1"/>
      <c r="AD604" s="1"/>
      <c r="AE604" s="1"/>
      <c r="AF604" s="1"/>
      <c r="AG604" s="1"/>
      <c r="AH604" s="1"/>
      <c r="AI604" s="1"/>
      <c r="AJ604" s="1"/>
      <c r="AK604" s="1"/>
    </row>
    <row r="605" spans="1:37" ht="12.75" customHeight="1">
      <c r="A605" s="1"/>
      <c r="B605" s="1"/>
      <c r="C605" s="1"/>
      <c r="D605" s="1"/>
      <c r="E605" s="1"/>
      <c r="F605" s="2"/>
      <c r="G605" s="2"/>
      <c r="H605" s="2"/>
      <c r="I605" s="2"/>
      <c r="J605" s="2"/>
      <c r="K605" s="2"/>
      <c r="L605" s="2"/>
      <c r="M605" s="2"/>
      <c r="N605" s="3"/>
      <c r="O605" s="3"/>
      <c r="P605" s="3"/>
      <c r="Q605" s="1"/>
      <c r="R605" s="1"/>
      <c r="S605" s="1"/>
      <c r="T605" s="1"/>
      <c r="U605" s="1"/>
      <c r="V605" s="1"/>
      <c r="W605" s="1"/>
      <c r="X605" s="1"/>
      <c r="Y605" s="1"/>
      <c r="Z605" s="1"/>
      <c r="AA605" s="1"/>
      <c r="AB605" s="1"/>
      <c r="AC605" s="1"/>
      <c r="AD605" s="1"/>
      <c r="AE605" s="1"/>
      <c r="AF605" s="1"/>
      <c r="AG605" s="1"/>
      <c r="AH605" s="1"/>
      <c r="AI605" s="1"/>
      <c r="AJ605" s="1"/>
      <c r="AK605" s="1"/>
    </row>
    <row r="606" spans="1:37" ht="12.75" customHeight="1">
      <c r="A606" s="1"/>
      <c r="B606" s="1"/>
      <c r="C606" s="1"/>
      <c r="D606" s="1"/>
      <c r="E606" s="1"/>
      <c r="F606" s="2"/>
      <c r="G606" s="2"/>
      <c r="H606" s="2"/>
      <c r="I606" s="2"/>
      <c r="J606" s="2"/>
      <c r="K606" s="2"/>
      <c r="L606" s="2"/>
      <c r="M606" s="2"/>
      <c r="N606" s="3"/>
      <c r="O606" s="3"/>
      <c r="P606" s="3"/>
      <c r="Q606" s="1"/>
      <c r="R606" s="1"/>
      <c r="S606" s="1"/>
      <c r="T606" s="1"/>
      <c r="U606" s="1"/>
      <c r="V606" s="1"/>
      <c r="W606" s="1"/>
      <c r="X606" s="1"/>
      <c r="Y606" s="1"/>
      <c r="Z606" s="1"/>
      <c r="AA606" s="1"/>
      <c r="AB606" s="1"/>
      <c r="AC606" s="1"/>
      <c r="AD606" s="1"/>
      <c r="AE606" s="1"/>
      <c r="AF606" s="1"/>
      <c r="AG606" s="1"/>
      <c r="AH606" s="1"/>
      <c r="AI606" s="1"/>
      <c r="AJ606" s="1"/>
      <c r="AK606" s="1"/>
    </row>
    <row r="607" spans="1:37" ht="12.75" customHeight="1">
      <c r="A607" s="1"/>
      <c r="B607" s="1"/>
      <c r="C607" s="1"/>
      <c r="D607" s="1"/>
      <c r="E607" s="1"/>
      <c r="F607" s="2"/>
      <c r="G607" s="2"/>
      <c r="H607" s="2"/>
      <c r="I607" s="2"/>
      <c r="J607" s="2"/>
      <c r="K607" s="2"/>
      <c r="L607" s="2"/>
      <c r="M607" s="2"/>
      <c r="N607" s="3"/>
      <c r="O607" s="3"/>
      <c r="P607" s="3"/>
      <c r="Q607" s="1"/>
      <c r="R607" s="1"/>
      <c r="S607" s="1"/>
      <c r="T607" s="1"/>
      <c r="U607" s="1"/>
      <c r="V607" s="1"/>
      <c r="W607" s="1"/>
      <c r="X607" s="1"/>
      <c r="Y607" s="1"/>
      <c r="Z607" s="1"/>
      <c r="AA607" s="1"/>
      <c r="AB607" s="1"/>
      <c r="AC607" s="1"/>
      <c r="AD607" s="1"/>
      <c r="AE607" s="1"/>
      <c r="AF607" s="1"/>
      <c r="AG607" s="1"/>
      <c r="AH607" s="1"/>
      <c r="AI607" s="1"/>
      <c r="AJ607" s="1"/>
      <c r="AK607" s="1"/>
    </row>
    <row r="608" spans="1:37" ht="12.75" customHeight="1">
      <c r="A608" s="1"/>
      <c r="B608" s="1"/>
      <c r="C608" s="1"/>
      <c r="D608" s="1"/>
      <c r="E608" s="1"/>
      <c r="F608" s="2"/>
      <c r="G608" s="2"/>
      <c r="H608" s="2"/>
      <c r="I608" s="2"/>
      <c r="J608" s="2"/>
      <c r="K608" s="2"/>
      <c r="L608" s="2"/>
      <c r="M608" s="2"/>
      <c r="N608" s="3"/>
      <c r="O608" s="3"/>
      <c r="P608" s="3"/>
      <c r="Q608" s="1"/>
      <c r="R608" s="1"/>
      <c r="S608" s="1"/>
      <c r="T608" s="1"/>
      <c r="U608" s="1"/>
      <c r="V608" s="1"/>
      <c r="W608" s="1"/>
      <c r="X608" s="1"/>
      <c r="Y608" s="1"/>
      <c r="Z608" s="1"/>
      <c r="AA608" s="1"/>
      <c r="AB608" s="1"/>
      <c r="AC608" s="1"/>
      <c r="AD608" s="1"/>
      <c r="AE608" s="1"/>
      <c r="AF608" s="1"/>
      <c r="AG608" s="1"/>
      <c r="AH608" s="1"/>
      <c r="AI608" s="1"/>
      <c r="AJ608" s="1"/>
      <c r="AK608" s="1"/>
    </row>
    <row r="609" spans="1:37" ht="12.75" customHeight="1">
      <c r="A609" s="1"/>
      <c r="B609" s="1"/>
      <c r="C609" s="1"/>
      <c r="D609" s="1"/>
      <c r="E609" s="1"/>
      <c r="F609" s="2"/>
      <c r="G609" s="2"/>
      <c r="H609" s="2"/>
      <c r="I609" s="2"/>
      <c r="J609" s="2"/>
      <c r="K609" s="2"/>
      <c r="L609" s="2"/>
      <c r="M609" s="2"/>
      <c r="N609" s="3"/>
      <c r="O609" s="3"/>
      <c r="P609" s="3"/>
      <c r="Q609" s="1"/>
      <c r="R609" s="1"/>
      <c r="S609" s="1"/>
      <c r="T609" s="1"/>
      <c r="U609" s="1"/>
      <c r="V609" s="1"/>
      <c r="W609" s="1"/>
      <c r="X609" s="1"/>
      <c r="Y609" s="1"/>
      <c r="Z609" s="1"/>
      <c r="AA609" s="1"/>
      <c r="AB609" s="1"/>
      <c r="AC609" s="1"/>
      <c r="AD609" s="1"/>
      <c r="AE609" s="1"/>
      <c r="AF609" s="1"/>
      <c r="AG609" s="1"/>
      <c r="AH609" s="1"/>
      <c r="AI609" s="1"/>
      <c r="AJ609" s="1"/>
      <c r="AK609" s="1"/>
    </row>
    <row r="610" spans="1:37" ht="12.75" customHeight="1">
      <c r="A610" s="1"/>
      <c r="B610" s="1"/>
      <c r="C610" s="1"/>
      <c r="D610" s="1"/>
      <c r="E610" s="1"/>
      <c r="F610" s="2"/>
      <c r="G610" s="2"/>
      <c r="H610" s="2"/>
      <c r="I610" s="2"/>
      <c r="J610" s="2"/>
      <c r="K610" s="2"/>
      <c r="L610" s="2"/>
      <c r="M610" s="2"/>
      <c r="N610" s="3"/>
      <c r="O610" s="3"/>
      <c r="P610" s="3"/>
      <c r="Q610" s="1"/>
      <c r="R610" s="1"/>
      <c r="S610" s="1"/>
      <c r="T610" s="1"/>
      <c r="U610" s="1"/>
      <c r="V610" s="1"/>
      <c r="W610" s="1"/>
      <c r="X610" s="1"/>
      <c r="Y610" s="1"/>
      <c r="Z610" s="1"/>
      <c r="AA610" s="1"/>
      <c r="AB610" s="1"/>
      <c r="AC610" s="1"/>
      <c r="AD610" s="1"/>
      <c r="AE610" s="1"/>
      <c r="AF610" s="1"/>
      <c r="AG610" s="1"/>
      <c r="AH610" s="1"/>
      <c r="AI610" s="1"/>
      <c r="AJ610" s="1"/>
      <c r="AK610" s="1"/>
    </row>
    <row r="611" spans="1:37" ht="12.75" customHeight="1">
      <c r="A611" s="1"/>
      <c r="B611" s="1"/>
      <c r="C611" s="1"/>
      <c r="D611" s="1"/>
      <c r="E611" s="1"/>
      <c r="F611" s="2"/>
      <c r="G611" s="2"/>
      <c r="H611" s="2"/>
      <c r="I611" s="2"/>
      <c r="J611" s="2"/>
      <c r="K611" s="2"/>
      <c r="L611" s="2"/>
      <c r="M611" s="2"/>
      <c r="N611" s="3"/>
      <c r="O611" s="3"/>
      <c r="P611" s="3"/>
      <c r="Q611" s="1"/>
      <c r="R611" s="1"/>
      <c r="S611" s="1"/>
      <c r="T611" s="1"/>
      <c r="U611" s="1"/>
      <c r="V611" s="1"/>
      <c r="W611" s="1"/>
      <c r="X611" s="1"/>
      <c r="Y611" s="1"/>
      <c r="Z611" s="1"/>
      <c r="AA611" s="1"/>
      <c r="AB611" s="1"/>
      <c r="AC611" s="1"/>
      <c r="AD611" s="1"/>
      <c r="AE611" s="1"/>
      <c r="AF611" s="1"/>
      <c r="AG611" s="1"/>
      <c r="AH611" s="1"/>
      <c r="AI611" s="1"/>
      <c r="AJ611" s="1"/>
      <c r="AK611" s="1"/>
    </row>
    <row r="612" spans="1:37" ht="12.75" customHeight="1">
      <c r="A612" s="1"/>
      <c r="B612" s="1"/>
      <c r="C612" s="1"/>
      <c r="D612" s="1"/>
      <c r="E612" s="1"/>
      <c r="F612" s="2"/>
      <c r="G612" s="2"/>
      <c r="H612" s="2"/>
      <c r="I612" s="2"/>
      <c r="J612" s="2"/>
      <c r="K612" s="2"/>
      <c r="L612" s="2"/>
      <c r="M612" s="2"/>
      <c r="N612" s="3"/>
      <c r="O612" s="3"/>
      <c r="P612" s="3"/>
      <c r="Q612" s="1"/>
      <c r="R612" s="1"/>
      <c r="S612" s="1"/>
      <c r="T612" s="1"/>
      <c r="U612" s="1"/>
      <c r="V612" s="1"/>
      <c r="W612" s="1"/>
      <c r="X612" s="1"/>
      <c r="Y612" s="1"/>
      <c r="Z612" s="1"/>
      <c r="AA612" s="1"/>
      <c r="AB612" s="1"/>
      <c r="AC612" s="1"/>
      <c r="AD612" s="1"/>
      <c r="AE612" s="1"/>
      <c r="AF612" s="1"/>
      <c r="AG612" s="1"/>
      <c r="AH612" s="1"/>
      <c r="AI612" s="1"/>
      <c r="AJ612" s="1"/>
      <c r="AK612" s="1"/>
    </row>
    <row r="613" spans="1:37" ht="12.75" customHeight="1">
      <c r="A613" s="1"/>
      <c r="B613" s="1"/>
      <c r="C613" s="1"/>
      <c r="D613" s="1"/>
      <c r="E613" s="1"/>
      <c r="F613" s="2"/>
      <c r="G613" s="2"/>
      <c r="H613" s="2"/>
      <c r="I613" s="2"/>
      <c r="J613" s="2"/>
      <c r="K613" s="2"/>
      <c r="L613" s="2"/>
      <c r="M613" s="2"/>
      <c r="N613" s="3"/>
      <c r="O613" s="3"/>
      <c r="P613" s="3"/>
      <c r="Q613" s="1"/>
      <c r="R613" s="1"/>
      <c r="S613" s="1"/>
      <c r="T613" s="1"/>
      <c r="U613" s="1"/>
      <c r="V613" s="1"/>
      <c r="W613" s="1"/>
      <c r="X613" s="1"/>
      <c r="Y613" s="1"/>
      <c r="Z613" s="1"/>
      <c r="AA613" s="1"/>
      <c r="AB613" s="1"/>
      <c r="AC613" s="1"/>
      <c r="AD613" s="1"/>
      <c r="AE613" s="1"/>
      <c r="AF613" s="1"/>
      <c r="AG613" s="1"/>
      <c r="AH613" s="1"/>
      <c r="AI613" s="1"/>
      <c r="AJ613" s="1"/>
      <c r="AK613" s="1"/>
    </row>
    <row r="614" spans="1:37" ht="12.75" customHeight="1">
      <c r="A614" s="1"/>
      <c r="B614" s="1"/>
      <c r="C614" s="1"/>
      <c r="D614" s="1"/>
      <c r="E614" s="1"/>
      <c r="F614" s="2"/>
      <c r="G614" s="2"/>
      <c r="H614" s="2"/>
      <c r="I614" s="2"/>
      <c r="J614" s="2"/>
      <c r="K614" s="2"/>
      <c r="L614" s="2"/>
      <c r="M614" s="2"/>
      <c r="N614" s="3"/>
      <c r="O614" s="3"/>
      <c r="P614" s="3"/>
      <c r="Q614" s="1"/>
      <c r="R614" s="1"/>
      <c r="S614" s="1"/>
      <c r="T614" s="1"/>
      <c r="U614" s="1"/>
      <c r="V614" s="1"/>
      <c r="W614" s="1"/>
      <c r="X614" s="1"/>
      <c r="Y614" s="1"/>
      <c r="Z614" s="1"/>
      <c r="AA614" s="1"/>
      <c r="AB614" s="1"/>
      <c r="AC614" s="1"/>
      <c r="AD614" s="1"/>
      <c r="AE614" s="1"/>
      <c r="AF614" s="1"/>
      <c r="AG614" s="1"/>
      <c r="AH614" s="1"/>
      <c r="AI614" s="1"/>
      <c r="AJ614" s="1"/>
      <c r="AK614" s="1"/>
    </row>
    <row r="615" spans="1:37" ht="12.75" customHeight="1">
      <c r="A615" s="1"/>
      <c r="B615" s="1"/>
      <c r="C615" s="1"/>
      <c r="D615" s="1"/>
      <c r="E615" s="1"/>
      <c r="F615" s="2"/>
      <c r="G615" s="2"/>
      <c r="H615" s="2"/>
      <c r="I615" s="2"/>
      <c r="J615" s="2"/>
      <c r="K615" s="2"/>
      <c r="L615" s="2"/>
      <c r="M615" s="2"/>
      <c r="N615" s="3"/>
      <c r="O615" s="3"/>
      <c r="P615" s="3"/>
      <c r="Q615" s="1"/>
      <c r="R615" s="1"/>
      <c r="S615" s="1"/>
      <c r="T615" s="1"/>
      <c r="U615" s="1"/>
      <c r="V615" s="1"/>
      <c r="W615" s="1"/>
      <c r="X615" s="1"/>
      <c r="Y615" s="1"/>
      <c r="Z615" s="1"/>
      <c r="AA615" s="1"/>
      <c r="AB615" s="1"/>
      <c r="AC615" s="1"/>
      <c r="AD615" s="1"/>
      <c r="AE615" s="1"/>
      <c r="AF615" s="1"/>
      <c r="AG615" s="1"/>
      <c r="AH615" s="1"/>
      <c r="AI615" s="1"/>
      <c r="AJ615" s="1"/>
      <c r="AK615" s="1"/>
    </row>
    <row r="616" spans="1:37" ht="12.75" customHeight="1">
      <c r="A616" s="1"/>
      <c r="B616" s="1"/>
      <c r="C616" s="1"/>
      <c r="D616" s="1"/>
      <c r="E616" s="1"/>
      <c r="F616" s="2"/>
      <c r="G616" s="2"/>
      <c r="H616" s="2"/>
      <c r="I616" s="2"/>
      <c r="J616" s="2"/>
      <c r="K616" s="2"/>
      <c r="L616" s="2"/>
      <c r="M616" s="2"/>
      <c r="N616" s="3"/>
      <c r="O616" s="3"/>
      <c r="P616" s="3"/>
      <c r="Q616" s="1"/>
      <c r="R616" s="1"/>
      <c r="S616" s="1"/>
      <c r="T616" s="1"/>
      <c r="U616" s="1"/>
      <c r="V616" s="1"/>
      <c r="W616" s="1"/>
      <c r="X616" s="1"/>
      <c r="Y616" s="1"/>
      <c r="Z616" s="1"/>
      <c r="AA616" s="1"/>
      <c r="AB616" s="1"/>
      <c r="AC616" s="1"/>
      <c r="AD616" s="1"/>
      <c r="AE616" s="1"/>
      <c r="AF616" s="1"/>
      <c r="AG616" s="1"/>
      <c r="AH616" s="1"/>
      <c r="AI616" s="1"/>
      <c r="AJ616" s="1"/>
      <c r="AK616" s="1"/>
    </row>
    <row r="617" spans="1:37" ht="12.75" customHeight="1">
      <c r="A617" s="1"/>
      <c r="B617" s="1"/>
      <c r="C617" s="1"/>
      <c r="D617" s="1"/>
      <c r="E617" s="1"/>
      <c r="F617" s="2"/>
      <c r="G617" s="2"/>
      <c r="H617" s="2"/>
      <c r="I617" s="2"/>
      <c r="J617" s="2"/>
      <c r="K617" s="2"/>
      <c r="L617" s="2"/>
      <c r="M617" s="2"/>
      <c r="N617" s="3"/>
      <c r="O617" s="3"/>
      <c r="P617" s="3"/>
      <c r="Q617" s="1"/>
      <c r="R617" s="1"/>
      <c r="S617" s="1"/>
      <c r="T617" s="1"/>
      <c r="U617" s="1"/>
      <c r="V617" s="1"/>
      <c r="W617" s="1"/>
      <c r="X617" s="1"/>
      <c r="Y617" s="1"/>
      <c r="Z617" s="1"/>
      <c r="AA617" s="1"/>
      <c r="AB617" s="1"/>
      <c r="AC617" s="1"/>
      <c r="AD617" s="1"/>
      <c r="AE617" s="1"/>
      <c r="AF617" s="1"/>
      <c r="AG617" s="1"/>
      <c r="AH617" s="1"/>
      <c r="AI617" s="1"/>
      <c r="AJ617" s="1"/>
      <c r="AK617" s="1"/>
    </row>
    <row r="618" spans="1:37" ht="12.75" customHeight="1">
      <c r="A618" s="1"/>
      <c r="B618" s="1"/>
      <c r="C618" s="1"/>
      <c r="D618" s="1"/>
      <c r="E618" s="1"/>
      <c r="F618" s="2"/>
      <c r="G618" s="2"/>
      <c r="H618" s="2"/>
      <c r="I618" s="2"/>
      <c r="J618" s="2"/>
      <c r="K618" s="2"/>
      <c r="L618" s="2"/>
      <c r="M618" s="2"/>
      <c r="N618" s="3"/>
      <c r="O618" s="3"/>
      <c r="P618" s="3"/>
      <c r="Q618" s="1"/>
      <c r="R618" s="1"/>
      <c r="S618" s="1"/>
      <c r="T618" s="1"/>
      <c r="U618" s="1"/>
      <c r="V618" s="1"/>
      <c r="W618" s="1"/>
      <c r="X618" s="1"/>
      <c r="Y618" s="1"/>
      <c r="Z618" s="1"/>
      <c r="AA618" s="1"/>
      <c r="AB618" s="1"/>
      <c r="AC618" s="1"/>
      <c r="AD618" s="1"/>
      <c r="AE618" s="1"/>
      <c r="AF618" s="1"/>
      <c r="AG618" s="1"/>
      <c r="AH618" s="1"/>
      <c r="AI618" s="1"/>
      <c r="AJ618" s="1"/>
      <c r="AK618" s="1"/>
    </row>
    <row r="619" spans="1:37" ht="12.75" customHeight="1">
      <c r="A619" s="1"/>
      <c r="B619" s="1"/>
      <c r="C619" s="1"/>
      <c r="D619" s="1"/>
      <c r="E619" s="1"/>
      <c r="F619" s="2"/>
      <c r="G619" s="2"/>
      <c r="H619" s="2"/>
      <c r="I619" s="2"/>
      <c r="J619" s="2"/>
      <c r="K619" s="2"/>
      <c r="L619" s="2"/>
      <c r="M619" s="2"/>
      <c r="N619" s="3"/>
      <c r="O619" s="3"/>
      <c r="P619" s="3"/>
      <c r="Q619" s="1"/>
      <c r="R619" s="1"/>
      <c r="S619" s="1"/>
      <c r="T619" s="1"/>
      <c r="U619" s="1"/>
      <c r="V619" s="1"/>
      <c r="W619" s="1"/>
      <c r="X619" s="1"/>
      <c r="Y619" s="1"/>
      <c r="Z619" s="1"/>
      <c r="AA619" s="1"/>
      <c r="AB619" s="1"/>
      <c r="AC619" s="1"/>
      <c r="AD619" s="1"/>
      <c r="AE619" s="1"/>
      <c r="AF619" s="1"/>
      <c r="AG619" s="1"/>
      <c r="AH619" s="1"/>
      <c r="AI619" s="1"/>
      <c r="AJ619" s="1"/>
      <c r="AK619" s="1"/>
    </row>
    <row r="620" spans="1:37" ht="12.75" customHeight="1">
      <c r="A620" s="1"/>
      <c r="B620" s="1"/>
      <c r="C620" s="1"/>
      <c r="D620" s="1"/>
      <c r="E620" s="1"/>
      <c r="F620" s="2"/>
      <c r="G620" s="2"/>
      <c r="H620" s="2"/>
      <c r="I620" s="2"/>
      <c r="J620" s="2"/>
      <c r="K620" s="2"/>
      <c r="L620" s="2"/>
      <c r="M620" s="2"/>
      <c r="N620" s="3"/>
      <c r="O620" s="3"/>
      <c r="P620" s="3"/>
      <c r="Q620" s="1"/>
      <c r="R620" s="1"/>
      <c r="S620" s="1"/>
      <c r="T620" s="1"/>
      <c r="U620" s="1"/>
      <c r="V620" s="1"/>
      <c r="W620" s="1"/>
      <c r="X620" s="1"/>
      <c r="Y620" s="1"/>
      <c r="Z620" s="1"/>
      <c r="AA620" s="1"/>
      <c r="AB620" s="1"/>
      <c r="AC620" s="1"/>
      <c r="AD620" s="1"/>
      <c r="AE620" s="1"/>
      <c r="AF620" s="1"/>
      <c r="AG620" s="1"/>
      <c r="AH620" s="1"/>
      <c r="AI620" s="1"/>
      <c r="AJ620" s="1"/>
      <c r="AK620" s="1"/>
    </row>
    <row r="621" spans="1:37" ht="12.75" customHeight="1">
      <c r="A621" s="1"/>
      <c r="B621" s="1"/>
      <c r="C621" s="1"/>
      <c r="D621" s="1"/>
      <c r="E621" s="1"/>
      <c r="F621" s="2"/>
      <c r="G621" s="2"/>
      <c r="H621" s="2"/>
      <c r="I621" s="2"/>
      <c r="J621" s="2"/>
      <c r="K621" s="2"/>
      <c r="L621" s="2"/>
      <c r="M621" s="2"/>
      <c r="N621" s="3"/>
      <c r="O621" s="3"/>
      <c r="P621" s="3"/>
      <c r="Q621" s="1"/>
      <c r="R621" s="1"/>
      <c r="S621" s="1"/>
      <c r="T621" s="1"/>
      <c r="U621" s="1"/>
      <c r="V621" s="1"/>
      <c r="W621" s="1"/>
      <c r="X621" s="1"/>
      <c r="Y621" s="1"/>
      <c r="Z621" s="1"/>
      <c r="AA621" s="1"/>
      <c r="AB621" s="1"/>
      <c r="AC621" s="1"/>
      <c r="AD621" s="1"/>
      <c r="AE621" s="1"/>
      <c r="AF621" s="1"/>
      <c r="AG621" s="1"/>
      <c r="AH621" s="1"/>
      <c r="AI621" s="1"/>
      <c r="AJ621" s="1"/>
      <c r="AK621" s="1"/>
    </row>
    <row r="622" spans="1:37" ht="12.75" customHeight="1">
      <c r="A622" s="1"/>
      <c r="B622" s="1"/>
      <c r="C622" s="1"/>
      <c r="D622" s="1"/>
      <c r="E622" s="1"/>
      <c r="F622" s="2"/>
      <c r="G622" s="2"/>
      <c r="H622" s="2"/>
      <c r="I622" s="2"/>
      <c r="J622" s="2"/>
      <c r="K622" s="2"/>
      <c r="L622" s="2"/>
      <c r="M622" s="2"/>
      <c r="N622" s="3"/>
      <c r="O622" s="3"/>
      <c r="P622" s="3"/>
      <c r="Q622" s="1"/>
      <c r="R622" s="1"/>
      <c r="S622" s="1"/>
      <c r="T622" s="1"/>
      <c r="U622" s="1"/>
      <c r="V622" s="1"/>
      <c r="W622" s="1"/>
      <c r="X622" s="1"/>
      <c r="Y622" s="1"/>
      <c r="Z622" s="1"/>
      <c r="AA622" s="1"/>
      <c r="AB622" s="1"/>
      <c r="AC622" s="1"/>
      <c r="AD622" s="1"/>
      <c r="AE622" s="1"/>
      <c r="AF622" s="1"/>
      <c r="AG622" s="1"/>
      <c r="AH622" s="1"/>
      <c r="AI622" s="1"/>
      <c r="AJ622" s="1"/>
      <c r="AK622" s="1"/>
    </row>
    <row r="623" spans="1:37" ht="12.75" customHeight="1">
      <c r="A623" s="1"/>
      <c r="B623" s="1"/>
      <c r="C623" s="1"/>
      <c r="D623" s="1"/>
      <c r="E623" s="1"/>
      <c r="F623" s="2"/>
      <c r="G623" s="2"/>
      <c r="H623" s="2"/>
      <c r="I623" s="2"/>
      <c r="J623" s="2"/>
      <c r="K623" s="2"/>
      <c r="L623" s="2"/>
      <c r="M623" s="2"/>
      <c r="N623" s="3"/>
      <c r="O623" s="3"/>
      <c r="P623" s="3"/>
      <c r="Q623" s="1"/>
      <c r="R623" s="1"/>
      <c r="S623" s="1"/>
      <c r="T623" s="1"/>
      <c r="U623" s="1"/>
      <c r="V623" s="1"/>
      <c r="W623" s="1"/>
      <c r="X623" s="1"/>
      <c r="Y623" s="1"/>
      <c r="Z623" s="1"/>
      <c r="AA623" s="1"/>
      <c r="AB623" s="1"/>
      <c r="AC623" s="1"/>
      <c r="AD623" s="1"/>
      <c r="AE623" s="1"/>
      <c r="AF623" s="1"/>
      <c r="AG623" s="1"/>
      <c r="AH623" s="1"/>
      <c r="AI623" s="1"/>
      <c r="AJ623" s="1"/>
      <c r="AK623" s="1"/>
    </row>
    <row r="624" spans="1:37" ht="12.75" customHeight="1">
      <c r="A624" s="1"/>
      <c r="B624" s="1"/>
      <c r="C624" s="1"/>
      <c r="D624" s="1"/>
      <c r="E624" s="1"/>
      <c r="F624" s="2"/>
      <c r="G624" s="2"/>
      <c r="H624" s="2"/>
      <c r="I624" s="2"/>
      <c r="J624" s="2"/>
      <c r="K624" s="2"/>
      <c r="L624" s="2"/>
      <c r="M624" s="2"/>
      <c r="N624" s="3"/>
      <c r="O624" s="3"/>
      <c r="P624" s="3"/>
      <c r="Q624" s="1"/>
      <c r="R624" s="1"/>
      <c r="S624" s="1"/>
      <c r="T624" s="1"/>
      <c r="U624" s="1"/>
      <c r="V624" s="1"/>
      <c r="W624" s="1"/>
      <c r="X624" s="1"/>
      <c r="Y624" s="1"/>
      <c r="Z624" s="1"/>
      <c r="AA624" s="1"/>
      <c r="AB624" s="1"/>
      <c r="AC624" s="1"/>
      <c r="AD624" s="1"/>
      <c r="AE624" s="1"/>
      <c r="AF624" s="1"/>
      <c r="AG624" s="1"/>
      <c r="AH624" s="1"/>
      <c r="AI624" s="1"/>
      <c r="AJ624" s="1"/>
      <c r="AK624" s="1"/>
    </row>
    <row r="625" spans="1:37" ht="12.75" customHeight="1">
      <c r="A625" s="1"/>
      <c r="B625" s="1"/>
      <c r="C625" s="1"/>
      <c r="D625" s="1"/>
      <c r="E625" s="1"/>
      <c r="F625" s="2"/>
      <c r="G625" s="2"/>
      <c r="H625" s="2"/>
      <c r="I625" s="2"/>
      <c r="J625" s="2"/>
      <c r="K625" s="2"/>
      <c r="L625" s="2"/>
      <c r="M625" s="2"/>
      <c r="N625" s="3"/>
      <c r="O625" s="3"/>
      <c r="P625" s="3"/>
      <c r="Q625" s="1"/>
      <c r="R625" s="1"/>
      <c r="S625" s="1"/>
      <c r="T625" s="1"/>
      <c r="U625" s="1"/>
      <c r="V625" s="1"/>
      <c r="W625" s="1"/>
      <c r="X625" s="1"/>
      <c r="Y625" s="1"/>
      <c r="Z625" s="1"/>
      <c r="AA625" s="1"/>
      <c r="AB625" s="1"/>
      <c r="AC625" s="1"/>
      <c r="AD625" s="1"/>
      <c r="AE625" s="1"/>
      <c r="AF625" s="1"/>
      <c r="AG625" s="1"/>
      <c r="AH625" s="1"/>
      <c r="AI625" s="1"/>
      <c r="AJ625" s="1"/>
      <c r="AK625" s="1"/>
    </row>
    <row r="626" spans="1:37" ht="12.75" customHeight="1">
      <c r="A626" s="1"/>
      <c r="B626" s="1"/>
      <c r="C626" s="1"/>
      <c r="D626" s="1"/>
      <c r="E626" s="1"/>
      <c r="F626" s="2"/>
      <c r="G626" s="2"/>
      <c r="H626" s="2"/>
      <c r="I626" s="2"/>
      <c r="J626" s="2"/>
      <c r="K626" s="2"/>
      <c r="L626" s="2"/>
      <c r="M626" s="2"/>
      <c r="N626" s="3"/>
      <c r="O626" s="3"/>
      <c r="P626" s="3"/>
      <c r="Q626" s="1"/>
      <c r="R626" s="1"/>
      <c r="S626" s="1"/>
      <c r="T626" s="1"/>
      <c r="U626" s="1"/>
      <c r="V626" s="1"/>
      <c r="W626" s="1"/>
      <c r="X626" s="1"/>
      <c r="Y626" s="1"/>
      <c r="Z626" s="1"/>
      <c r="AA626" s="1"/>
      <c r="AB626" s="1"/>
      <c r="AC626" s="1"/>
      <c r="AD626" s="1"/>
      <c r="AE626" s="1"/>
      <c r="AF626" s="1"/>
      <c r="AG626" s="1"/>
      <c r="AH626" s="1"/>
      <c r="AI626" s="1"/>
      <c r="AJ626" s="1"/>
      <c r="AK626" s="1"/>
    </row>
    <row r="627" spans="1:37" ht="12.75" customHeight="1">
      <c r="A627" s="1"/>
      <c r="B627" s="1"/>
      <c r="C627" s="1"/>
      <c r="D627" s="1"/>
      <c r="E627" s="1"/>
      <c r="F627" s="2"/>
      <c r="G627" s="2"/>
      <c r="H627" s="2"/>
      <c r="I627" s="2"/>
      <c r="J627" s="2"/>
      <c r="K627" s="2"/>
      <c r="L627" s="2"/>
      <c r="M627" s="2"/>
      <c r="N627" s="3"/>
      <c r="O627" s="3"/>
      <c r="P627" s="3"/>
      <c r="Q627" s="1"/>
      <c r="R627" s="1"/>
      <c r="S627" s="1"/>
      <c r="T627" s="1"/>
      <c r="U627" s="1"/>
      <c r="V627" s="1"/>
      <c r="W627" s="1"/>
      <c r="X627" s="1"/>
      <c r="Y627" s="1"/>
      <c r="Z627" s="1"/>
      <c r="AA627" s="1"/>
      <c r="AB627" s="1"/>
      <c r="AC627" s="1"/>
      <c r="AD627" s="1"/>
      <c r="AE627" s="1"/>
      <c r="AF627" s="1"/>
      <c r="AG627" s="1"/>
      <c r="AH627" s="1"/>
      <c r="AI627" s="1"/>
      <c r="AJ627" s="1"/>
      <c r="AK627" s="1"/>
    </row>
    <row r="628" spans="1:37" ht="12.75" customHeight="1">
      <c r="A628" s="1"/>
      <c r="B628" s="1"/>
      <c r="C628" s="1"/>
      <c r="D628" s="1"/>
      <c r="E628" s="1"/>
      <c r="F628" s="2"/>
      <c r="G628" s="2"/>
      <c r="H628" s="2"/>
      <c r="I628" s="2"/>
      <c r="J628" s="2"/>
      <c r="K628" s="2"/>
      <c r="L628" s="2"/>
      <c r="M628" s="2"/>
      <c r="N628" s="3"/>
      <c r="O628" s="3"/>
      <c r="P628" s="3"/>
      <c r="Q628" s="1"/>
      <c r="R628" s="1"/>
      <c r="S628" s="1"/>
      <c r="T628" s="1"/>
      <c r="U628" s="1"/>
      <c r="V628" s="1"/>
      <c r="W628" s="1"/>
      <c r="X628" s="1"/>
      <c r="Y628" s="1"/>
      <c r="Z628" s="1"/>
      <c r="AA628" s="1"/>
      <c r="AB628" s="1"/>
      <c r="AC628" s="1"/>
      <c r="AD628" s="1"/>
      <c r="AE628" s="1"/>
      <c r="AF628" s="1"/>
      <c r="AG628" s="1"/>
      <c r="AH628" s="1"/>
      <c r="AI628" s="1"/>
      <c r="AJ628" s="1"/>
      <c r="AK628" s="1"/>
    </row>
    <row r="629" spans="1:37" ht="12.75" customHeight="1">
      <c r="A629" s="1"/>
      <c r="B629" s="1"/>
      <c r="C629" s="1"/>
      <c r="D629" s="1"/>
      <c r="E629" s="1"/>
      <c r="F629" s="2"/>
      <c r="G629" s="2"/>
      <c r="H629" s="2"/>
      <c r="I629" s="2"/>
      <c r="J629" s="2"/>
      <c r="K629" s="2"/>
      <c r="L629" s="2"/>
      <c r="M629" s="2"/>
      <c r="N629" s="3"/>
      <c r="O629" s="3"/>
      <c r="P629" s="3"/>
      <c r="Q629" s="1"/>
      <c r="R629" s="1"/>
      <c r="S629" s="1"/>
      <c r="T629" s="1"/>
      <c r="U629" s="1"/>
      <c r="V629" s="1"/>
      <c r="W629" s="1"/>
      <c r="X629" s="1"/>
      <c r="Y629" s="1"/>
      <c r="Z629" s="1"/>
      <c r="AA629" s="1"/>
      <c r="AB629" s="1"/>
      <c r="AC629" s="1"/>
      <c r="AD629" s="1"/>
      <c r="AE629" s="1"/>
      <c r="AF629" s="1"/>
      <c r="AG629" s="1"/>
      <c r="AH629" s="1"/>
      <c r="AI629" s="1"/>
      <c r="AJ629" s="1"/>
      <c r="AK629" s="1"/>
    </row>
    <row r="630" spans="1:37" ht="12.75" customHeight="1">
      <c r="A630" s="1"/>
      <c r="B630" s="1"/>
      <c r="C630" s="1"/>
      <c r="D630" s="1"/>
      <c r="E630" s="1"/>
      <c r="F630" s="2"/>
      <c r="G630" s="2"/>
      <c r="H630" s="2"/>
      <c r="I630" s="2"/>
      <c r="J630" s="2"/>
      <c r="K630" s="2"/>
      <c r="L630" s="2"/>
      <c r="M630" s="2"/>
      <c r="N630" s="3"/>
      <c r="O630" s="3"/>
      <c r="P630" s="3"/>
      <c r="Q630" s="1"/>
      <c r="R630" s="1"/>
      <c r="S630" s="1"/>
      <c r="T630" s="1"/>
      <c r="U630" s="1"/>
      <c r="V630" s="1"/>
      <c r="W630" s="1"/>
      <c r="X630" s="1"/>
      <c r="Y630" s="1"/>
      <c r="Z630" s="1"/>
      <c r="AA630" s="1"/>
      <c r="AB630" s="1"/>
      <c r="AC630" s="1"/>
      <c r="AD630" s="1"/>
      <c r="AE630" s="1"/>
      <c r="AF630" s="1"/>
      <c r="AG630" s="1"/>
      <c r="AH630" s="1"/>
      <c r="AI630" s="1"/>
      <c r="AJ630" s="1"/>
      <c r="AK630" s="1"/>
    </row>
    <row r="631" spans="1:37" ht="12.75" customHeight="1">
      <c r="A631" s="1"/>
      <c r="B631" s="1"/>
      <c r="C631" s="1"/>
      <c r="D631" s="1"/>
      <c r="E631" s="1"/>
      <c r="F631" s="2"/>
      <c r="G631" s="2"/>
      <c r="H631" s="2"/>
      <c r="I631" s="2"/>
      <c r="J631" s="2"/>
      <c r="K631" s="2"/>
      <c r="L631" s="2"/>
      <c r="M631" s="2"/>
      <c r="N631" s="3"/>
      <c r="O631" s="3"/>
      <c r="P631" s="3"/>
      <c r="Q631" s="1"/>
      <c r="R631" s="1"/>
      <c r="S631" s="1"/>
      <c r="T631" s="1"/>
      <c r="U631" s="1"/>
      <c r="V631" s="1"/>
      <c r="W631" s="1"/>
      <c r="X631" s="1"/>
      <c r="Y631" s="1"/>
      <c r="Z631" s="1"/>
      <c r="AA631" s="1"/>
      <c r="AB631" s="1"/>
      <c r="AC631" s="1"/>
      <c r="AD631" s="1"/>
      <c r="AE631" s="1"/>
      <c r="AF631" s="1"/>
      <c r="AG631" s="1"/>
      <c r="AH631" s="1"/>
      <c r="AI631" s="1"/>
      <c r="AJ631" s="1"/>
      <c r="AK631" s="1"/>
    </row>
    <row r="632" spans="1:37" ht="12.75" customHeight="1">
      <c r="A632" s="1"/>
      <c r="B632" s="1"/>
      <c r="C632" s="1"/>
      <c r="D632" s="1"/>
      <c r="E632" s="1"/>
      <c r="F632" s="2"/>
      <c r="G632" s="2"/>
      <c r="H632" s="2"/>
      <c r="I632" s="2"/>
      <c r="J632" s="2"/>
      <c r="K632" s="2"/>
      <c r="L632" s="2"/>
      <c r="M632" s="2"/>
      <c r="N632" s="3"/>
      <c r="O632" s="3"/>
      <c r="P632" s="3"/>
      <c r="Q632" s="1"/>
      <c r="R632" s="1"/>
      <c r="S632" s="1"/>
      <c r="T632" s="1"/>
      <c r="U632" s="1"/>
      <c r="V632" s="1"/>
      <c r="W632" s="1"/>
      <c r="X632" s="1"/>
      <c r="Y632" s="1"/>
      <c r="Z632" s="1"/>
      <c r="AA632" s="1"/>
      <c r="AB632" s="1"/>
      <c r="AC632" s="1"/>
      <c r="AD632" s="1"/>
      <c r="AE632" s="1"/>
      <c r="AF632" s="1"/>
      <c r="AG632" s="1"/>
      <c r="AH632" s="1"/>
      <c r="AI632" s="1"/>
      <c r="AJ632" s="1"/>
      <c r="AK632" s="1"/>
    </row>
    <row r="633" spans="1:37" ht="12.75" customHeight="1">
      <c r="A633" s="1"/>
      <c r="B633" s="1"/>
      <c r="C633" s="1"/>
      <c r="D633" s="1"/>
      <c r="E633" s="1"/>
      <c r="F633" s="2"/>
      <c r="G633" s="2"/>
      <c r="H633" s="2"/>
      <c r="I633" s="2"/>
      <c r="J633" s="2"/>
      <c r="K633" s="2"/>
      <c r="L633" s="2"/>
      <c r="M633" s="2"/>
      <c r="N633" s="3"/>
      <c r="O633" s="3"/>
      <c r="P633" s="3"/>
      <c r="Q633" s="1"/>
      <c r="R633" s="1"/>
      <c r="S633" s="1"/>
      <c r="T633" s="1"/>
      <c r="U633" s="1"/>
      <c r="V633" s="1"/>
      <c r="W633" s="1"/>
      <c r="X633" s="1"/>
      <c r="Y633" s="1"/>
      <c r="Z633" s="1"/>
      <c r="AA633" s="1"/>
      <c r="AB633" s="1"/>
      <c r="AC633" s="1"/>
      <c r="AD633" s="1"/>
      <c r="AE633" s="1"/>
      <c r="AF633" s="1"/>
      <c r="AG633" s="1"/>
      <c r="AH633" s="1"/>
      <c r="AI633" s="1"/>
      <c r="AJ633" s="1"/>
      <c r="AK633" s="1"/>
    </row>
    <row r="634" spans="1:37" ht="12.75" customHeight="1">
      <c r="A634" s="1"/>
      <c r="B634" s="1"/>
      <c r="C634" s="1"/>
      <c r="D634" s="1"/>
      <c r="E634" s="1"/>
      <c r="F634" s="2"/>
      <c r="G634" s="2"/>
      <c r="H634" s="2"/>
      <c r="I634" s="2"/>
      <c r="J634" s="2"/>
      <c r="K634" s="2"/>
      <c r="L634" s="2"/>
      <c r="M634" s="2"/>
      <c r="N634" s="3"/>
      <c r="O634" s="3"/>
      <c r="P634" s="3"/>
      <c r="Q634" s="1"/>
      <c r="R634" s="1"/>
      <c r="S634" s="1"/>
      <c r="T634" s="1"/>
      <c r="U634" s="1"/>
      <c r="V634" s="1"/>
      <c r="W634" s="1"/>
      <c r="X634" s="1"/>
      <c r="Y634" s="1"/>
      <c r="Z634" s="1"/>
      <c r="AA634" s="1"/>
      <c r="AB634" s="1"/>
      <c r="AC634" s="1"/>
      <c r="AD634" s="1"/>
      <c r="AE634" s="1"/>
      <c r="AF634" s="1"/>
      <c r="AG634" s="1"/>
      <c r="AH634" s="1"/>
      <c r="AI634" s="1"/>
      <c r="AJ634" s="1"/>
      <c r="AK634" s="1"/>
    </row>
    <row r="635" spans="1:37" ht="12.75" customHeight="1">
      <c r="A635" s="1"/>
      <c r="B635" s="1"/>
      <c r="C635" s="1"/>
      <c r="D635" s="1"/>
      <c r="E635" s="1"/>
      <c r="F635" s="2"/>
      <c r="G635" s="2"/>
      <c r="H635" s="2"/>
      <c r="I635" s="2"/>
      <c r="J635" s="2"/>
      <c r="K635" s="2"/>
      <c r="L635" s="2"/>
      <c r="M635" s="2"/>
      <c r="N635" s="3"/>
      <c r="O635" s="3"/>
      <c r="P635" s="3"/>
      <c r="Q635" s="1"/>
      <c r="R635" s="1"/>
      <c r="S635" s="1"/>
      <c r="T635" s="1"/>
      <c r="U635" s="1"/>
      <c r="V635" s="1"/>
      <c r="W635" s="1"/>
      <c r="X635" s="1"/>
      <c r="Y635" s="1"/>
      <c r="Z635" s="1"/>
      <c r="AA635" s="1"/>
      <c r="AB635" s="1"/>
      <c r="AC635" s="1"/>
      <c r="AD635" s="1"/>
      <c r="AE635" s="1"/>
      <c r="AF635" s="1"/>
      <c r="AG635" s="1"/>
      <c r="AH635" s="1"/>
      <c r="AI635" s="1"/>
      <c r="AJ635" s="1"/>
      <c r="AK635" s="1"/>
    </row>
    <row r="636" spans="1:37" ht="12.75" customHeight="1">
      <c r="A636" s="1"/>
      <c r="B636" s="1"/>
      <c r="C636" s="1"/>
      <c r="D636" s="1"/>
      <c r="E636" s="1"/>
      <c r="F636" s="2"/>
      <c r="G636" s="2"/>
      <c r="H636" s="2"/>
      <c r="I636" s="2"/>
      <c r="J636" s="2"/>
      <c r="K636" s="2"/>
      <c r="L636" s="2"/>
      <c r="M636" s="2"/>
      <c r="N636" s="3"/>
      <c r="O636" s="3"/>
      <c r="P636" s="3"/>
      <c r="Q636" s="1"/>
      <c r="R636" s="1"/>
      <c r="S636" s="1"/>
      <c r="T636" s="1"/>
      <c r="U636" s="1"/>
      <c r="V636" s="1"/>
      <c r="W636" s="1"/>
      <c r="X636" s="1"/>
      <c r="Y636" s="1"/>
      <c r="Z636" s="1"/>
      <c r="AA636" s="1"/>
      <c r="AB636" s="1"/>
      <c r="AC636" s="1"/>
      <c r="AD636" s="1"/>
      <c r="AE636" s="1"/>
      <c r="AF636" s="1"/>
      <c r="AG636" s="1"/>
      <c r="AH636" s="1"/>
      <c r="AI636" s="1"/>
      <c r="AJ636" s="1"/>
      <c r="AK636" s="1"/>
    </row>
    <row r="637" spans="1:37" ht="12.75" customHeight="1">
      <c r="A637" s="1"/>
      <c r="B637" s="1"/>
      <c r="C637" s="1"/>
      <c r="D637" s="1"/>
      <c r="E637" s="1"/>
      <c r="F637" s="2"/>
      <c r="G637" s="2"/>
      <c r="H637" s="2"/>
      <c r="I637" s="2"/>
      <c r="J637" s="2"/>
      <c r="K637" s="2"/>
      <c r="L637" s="2"/>
      <c r="M637" s="2"/>
      <c r="N637" s="3"/>
      <c r="O637" s="3"/>
      <c r="P637" s="3"/>
      <c r="Q637" s="1"/>
      <c r="R637" s="1"/>
      <c r="S637" s="1"/>
      <c r="T637" s="1"/>
      <c r="U637" s="1"/>
      <c r="V637" s="1"/>
      <c r="W637" s="1"/>
      <c r="X637" s="1"/>
      <c r="Y637" s="1"/>
      <c r="Z637" s="1"/>
      <c r="AA637" s="1"/>
      <c r="AB637" s="1"/>
      <c r="AC637" s="1"/>
      <c r="AD637" s="1"/>
      <c r="AE637" s="1"/>
      <c r="AF637" s="1"/>
      <c r="AG637" s="1"/>
      <c r="AH637" s="1"/>
      <c r="AI637" s="1"/>
      <c r="AJ637" s="1"/>
      <c r="AK637" s="1"/>
    </row>
    <row r="638" spans="1:37" ht="12.75" customHeight="1">
      <c r="A638" s="1"/>
      <c r="B638" s="1"/>
      <c r="C638" s="1"/>
      <c r="D638" s="1"/>
      <c r="E638" s="1"/>
      <c r="F638" s="2"/>
      <c r="G638" s="2"/>
      <c r="H638" s="2"/>
      <c r="I638" s="2"/>
      <c r="J638" s="2"/>
      <c r="K638" s="2"/>
      <c r="L638" s="2"/>
      <c r="M638" s="2"/>
      <c r="N638" s="3"/>
      <c r="O638" s="3"/>
      <c r="P638" s="3"/>
      <c r="Q638" s="1"/>
      <c r="R638" s="1"/>
      <c r="S638" s="1"/>
      <c r="T638" s="1"/>
      <c r="U638" s="1"/>
      <c r="V638" s="1"/>
      <c r="W638" s="1"/>
      <c r="X638" s="1"/>
      <c r="Y638" s="1"/>
      <c r="Z638" s="1"/>
      <c r="AA638" s="1"/>
      <c r="AB638" s="1"/>
      <c r="AC638" s="1"/>
      <c r="AD638" s="1"/>
      <c r="AE638" s="1"/>
      <c r="AF638" s="1"/>
      <c r="AG638" s="1"/>
      <c r="AH638" s="1"/>
      <c r="AI638" s="1"/>
      <c r="AJ638" s="1"/>
      <c r="AK638" s="1"/>
    </row>
    <row r="639" spans="1:37" ht="12.75" customHeight="1">
      <c r="A639" s="1"/>
      <c r="B639" s="1"/>
      <c r="C639" s="1"/>
      <c r="D639" s="1"/>
      <c r="E639" s="1"/>
      <c r="F639" s="2"/>
      <c r="G639" s="2"/>
      <c r="H639" s="2"/>
      <c r="I639" s="2"/>
      <c r="J639" s="2"/>
      <c r="K639" s="2"/>
      <c r="L639" s="2"/>
      <c r="M639" s="2"/>
      <c r="N639" s="3"/>
      <c r="O639" s="3"/>
      <c r="P639" s="3"/>
      <c r="Q639" s="1"/>
      <c r="R639" s="1"/>
      <c r="S639" s="1"/>
      <c r="T639" s="1"/>
      <c r="U639" s="1"/>
      <c r="V639" s="1"/>
      <c r="W639" s="1"/>
      <c r="X639" s="1"/>
      <c r="Y639" s="1"/>
      <c r="Z639" s="1"/>
      <c r="AA639" s="1"/>
      <c r="AB639" s="1"/>
      <c r="AC639" s="1"/>
      <c r="AD639" s="1"/>
      <c r="AE639" s="1"/>
      <c r="AF639" s="1"/>
      <c r="AG639" s="1"/>
      <c r="AH639" s="1"/>
      <c r="AI639" s="1"/>
      <c r="AJ639" s="1"/>
      <c r="AK639" s="1"/>
    </row>
    <row r="640" spans="1:37" ht="12.75" customHeight="1">
      <c r="A640" s="1"/>
      <c r="B640" s="1"/>
      <c r="C640" s="1"/>
      <c r="D640" s="1"/>
      <c r="E640" s="1"/>
      <c r="F640" s="2"/>
      <c r="G640" s="2"/>
      <c r="H640" s="2"/>
      <c r="I640" s="2"/>
      <c r="J640" s="2"/>
      <c r="K640" s="2"/>
      <c r="L640" s="2"/>
      <c r="M640" s="2"/>
      <c r="N640" s="3"/>
      <c r="O640" s="3"/>
      <c r="P640" s="3"/>
      <c r="Q640" s="1"/>
      <c r="R640" s="1"/>
      <c r="S640" s="1"/>
      <c r="T640" s="1"/>
      <c r="U640" s="1"/>
      <c r="V640" s="1"/>
      <c r="W640" s="1"/>
      <c r="X640" s="1"/>
      <c r="Y640" s="1"/>
      <c r="Z640" s="1"/>
      <c r="AA640" s="1"/>
      <c r="AB640" s="1"/>
      <c r="AC640" s="1"/>
      <c r="AD640" s="1"/>
      <c r="AE640" s="1"/>
      <c r="AF640" s="1"/>
      <c r="AG640" s="1"/>
      <c r="AH640" s="1"/>
      <c r="AI640" s="1"/>
      <c r="AJ640" s="1"/>
      <c r="AK640" s="1"/>
    </row>
    <row r="641" spans="1:37" ht="12.75" customHeight="1">
      <c r="A641" s="1"/>
      <c r="B641" s="1"/>
      <c r="C641" s="1"/>
      <c r="D641" s="1"/>
      <c r="E641" s="1"/>
      <c r="F641" s="2"/>
      <c r="G641" s="2"/>
      <c r="H641" s="2"/>
      <c r="I641" s="2"/>
      <c r="J641" s="2"/>
      <c r="K641" s="2"/>
      <c r="L641" s="2"/>
      <c r="M641" s="2"/>
      <c r="N641" s="3"/>
      <c r="O641" s="3"/>
      <c r="P641" s="3"/>
      <c r="Q641" s="1"/>
      <c r="R641" s="1"/>
      <c r="S641" s="1"/>
      <c r="T641" s="1"/>
      <c r="U641" s="1"/>
      <c r="V641" s="1"/>
      <c r="W641" s="1"/>
      <c r="X641" s="1"/>
      <c r="Y641" s="1"/>
      <c r="Z641" s="1"/>
      <c r="AA641" s="1"/>
      <c r="AB641" s="1"/>
      <c r="AC641" s="1"/>
      <c r="AD641" s="1"/>
      <c r="AE641" s="1"/>
      <c r="AF641" s="1"/>
      <c r="AG641" s="1"/>
      <c r="AH641" s="1"/>
      <c r="AI641" s="1"/>
      <c r="AJ641" s="1"/>
      <c r="AK641" s="1"/>
    </row>
    <row r="642" spans="1:37" ht="12.75" customHeight="1">
      <c r="A642" s="1"/>
      <c r="B642" s="1"/>
      <c r="C642" s="1"/>
      <c r="D642" s="1"/>
      <c r="E642" s="1"/>
      <c r="F642" s="2"/>
      <c r="G642" s="2"/>
      <c r="H642" s="2"/>
      <c r="I642" s="2"/>
      <c r="J642" s="2"/>
      <c r="K642" s="2"/>
      <c r="L642" s="2"/>
      <c r="M642" s="2"/>
      <c r="N642" s="3"/>
      <c r="O642" s="3"/>
      <c r="P642" s="3"/>
      <c r="Q642" s="1"/>
      <c r="R642" s="1"/>
      <c r="S642" s="1"/>
      <c r="T642" s="1"/>
      <c r="U642" s="1"/>
      <c r="V642" s="1"/>
      <c r="W642" s="1"/>
      <c r="X642" s="1"/>
      <c r="Y642" s="1"/>
      <c r="Z642" s="1"/>
      <c r="AA642" s="1"/>
      <c r="AB642" s="1"/>
      <c r="AC642" s="1"/>
      <c r="AD642" s="1"/>
      <c r="AE642" s="1"/>
      <c r="AF642" s="1"/>
      <c r="AG642" s="1"/>
      <c r="AH642" s="1"/>
      <c r="AI642" s="1"/>
      <c r="AJ642" s="1"/>
      <c r="AK642" s="1"/>
    </row>
    <row r="643" spans="1:37" ht="12.75" customHeight="1">
      <c r="A643" s="1"/>
      <c r="B643" s="1"/>
      <c r="C643" s="1"/>
      <c r="D643" s="1"/>
      <c r="E643" s="1"/>
      <c r="F643" s="2"/>
      <c r="G643" s="2"/>
      <c r="H643" s="2"/>
      <c r="I643" s="2"/>
      <c r="J643" s="2"/>
      <c r="K643" s="2"/>
      <c r="L643" s="2"/>
      <c r="M643" s="2"/>
      <c r="N643" s="3"/>
      <c r="O643" s="3"/>
      <c r="P643" s="3"/>
      <c r="Q643" s="1"/>
      <c r="R643" s="1"/>
      <c r="S643" s="1"/>
      <c r="T643" s="1"/>
      <c r="U643" s="1"/>
      <c r="V643" s="1"/>
      <c r="W643" s="1"/>
      <c r="X643" s="1"/>
      <c r="Y643" s="1"/>
      <c r="Z643" s="1"/>
      <c r="AA643" s="1"/>
      <c r="AB643" s="1"/>
      <c r="AC643" s="1"/>
      <c r="AD643" s="1"/>
      <c r="AE643" s="1"/>
      <c r="AF643" s="1"/>
      <c r="AG643" s="1"/>
      <c r="AH643" s="1"/>
      <c r="AI643" s="1"/>
      <c r="AJ643" s="1"/>
      <c r="AK643" s="1"/>
    </row>
    <row r="644" spans="1:37" ht="12.75" customHeight="1">
      <c r="A644" s="1"/>
      <c r="B644" s="1"/>
      <c r="C644" s="1"/>
      <c r="D644" s="1"/>
      <c r="E644" s="1"/>
      <c r="F644" s="2"/>
      <c r="G644" s="2"/>
      <c r="H644" s="2"/>
      <c r="I644" s="2"/>
      <c r="J644" s="2"/>
      <c r="K644" s="2"/>
      <c r="L644" s="2"/>
      <c r="M644" s="2"/>
      <c r="N644" s="3"/>
      <c r="O644" s="3"/>
      <c r="P644" s="3"/>
      <c r="Q644" s="1"/>
      <c r="R644" s="1"/>
      <c r="S644" s="1"/>
      <c r="T644" s="1"/>
      <c r="U644" s="1"/>
      <c r="V644" s="1"/>
      <c r="W644" s="1"/>
      <c r="X644" s="1"/>
      <c r="Y644" s="1"/>
      <c r="Z644" s="1"/>
      <c r="AA644" s="1"/>
      <c r="AB644" s="1"/>
      <c r="AC644" s="1"/>
      <c r="AD644" s="1"/>
      <c r="AE644" s="1"/>
      <c r="AF644" s="1"/>
      <c r="AG644" s="1"/>
      <c r="AH644" s="1"/>
      <c r="AI644" s="1"/>
      <c r="AJ644" s="1"/>
      <c r="AK644" s="1"/>
    </row>
    <row r="645" spans="1:37" ht="12.75" customHeight="1">
      <c r="A645" s="1"/>
      <c r="B645" s="1"/>
      <c r="C645" s="1"/>
      <c r="D645" s="1"/>
      <c r="E645" s="1"/>
      <c r="F645" s="2"/>
      <c r="G645" s="2"/>
      <c r="H645" s="2"/>
      <c r="I645" s="2"/>
      <c r="J645" s="2"/>
      <c r="K645" s="2"/>
      <c r="L645" s="2"/>
      <c r="M645" s="2"/>
      <c r="N645" s="3"/>
      <c r="O645" s="3"/>
      <c r="P645" s="3"/>
      <c r="Q645" s="1"/>
      <c r="R645" s="1"/>
      <c r="S645" s="1"/>
      <c r="T645" s="1"/>
      <c r="U645" s="1"/>
      <c r="V645" s="1"/>
      <c r="W645" s="1"/>
      <c r="X645" s="1"/>
      <c r="Y645" s="1"/>
      <c r="Z645" s="1"/>
      <c r="AA645" s="1"/>
      <c r="AB645" s="1"/>
      <c r="AC645" s="1"/>
      <c r="AD645" s="1"/>
      <c r="AE645" s="1"/>
      <c r="AF645" s="1"/>
      <c r="AG645" s="1"/>
      <c r="AH645" s="1"/>
      <c r="AI645" s="1"/>
      <c r="AJ645" s="1"/>
      <c r="AK645" s="1"/>
    </row>
    <row r="646" spans="1:37" ht="12.75" customHeight="1">
      <c r="A646" s="1"/>
      <c r="B646" s="1"/>
      <c r="C646" s="1"/>
      <c r="D646" s="1"/>
      <c r="E646" s="1"/>
      <c r="F646" s="2"/>
      <c r="G646" s="2"/>
      <c r="H646" s="2"/>
      <c r="I646" s="2"/>
      <c r="J646" s="2"/>
      <c r="K646" s="2"/>
      <c r="L646" s="2"/>
      <c r="M646" s="2"/>
      <c r="N646" s="3"/>
      <c r="O646" s="3"/>
      <c r="P646" s="3"/>
      <c r="Q646" s="1"/>
      <c r="R646" s="1"/>
      <c r="S646" s="1"/>
      <c r="T646" s="1"/>
      <c r="U646" s="1"/>
      <c r="V646" s="1"/>
      <c r="W646" s="1"/>
      <c r="X646" s="1"/>
      <c r="Y646" s="1"/>
      <c r="Z646" s="1"/>
      <c r="AA646" s="1"/>
      <c r="AB646" s="1"/>
      <c r="AC646" s="1"/>
      <c r="AD646" s="1"/>
      <c r="AE646" s="1"/>
      <c r="AF646" s="1"/>
      <c r="AG646" s="1"/>
      <c r="AH646" s="1"/>
      <c r="AI646" s="1"/>
      <c r="AJ646" s="1"/>
      <c r="AK646" s="1"/>
    </row>
    <row r="647" spans="1:37" ht="12.75" customHeight="1">
      <c r="A647" s="1"/>
      <c r="B647" s="1"/>
      <c r="C647" s="1"/>
      <c r="D647" s="1"/>
      <c r="E647" s="1"/>
      <c r="F647" s="2"/>
      <c r="G647" s="2"/>
      <c r="H647" s="2"/>
      <c r="I647" s="2"/>
      <c r="J647" s="2"/>
      <c r="K647" s="2"/>
      <c r="L647" s="2"/>
      <c r="M647" s="2"/>
      <c r="N647" s="3"/>
      <c r="O647" s="3"/>
      <c r="P647" s="3"/>
      <c r="Q647" s="1"/>
      <c r="R647" s="1"/>
      <c r="S647" s="1"/>
      <c r="T647" s="1"/>
      <c r="U647" s="1"/>
      <c r="V647" s="1"/>
      <c r="W647" s="1"/>
      <c r="X647" s="1"/>
      <c r="Y647" s="1"/>
      <c r="Z647" s="1"/>
      <c r="AA647" s="1"/>
      <c r="AB647" s="1"/>
      <c r="AC647" s="1"/>
      <c r="AD647" s="1"/>
      <c r="AE647" s="1"/>
      <c r="AF647" s="1"/>
      <c r="AG647" s="1"/>
      <c r="AH647" s="1"/>
      <c r="AI647" s="1"/>
      <c r="AJ647" s="1"/>
      <c r="AK647" s="1"/>
    </row>
    <row r="648" spans="1:37" ht="12.75" customHeight="1">
      <c r="A648" s="1"/>
      <c r="B648" s="1"/>
      <c r="C648" s="1"/>
      <c r="D648" s="1"/>
      <c r="E648" s="1"/>
      <c r="F648" s="2"/>
      <c r="G648" s="2"/>
      <c r="H648" s="2"/>
      <c r="I648" s="2"/>
      <c r="J648" s="2"/>
      <c r="K648" s="2"/>
      <c r="L648" s="2"/>
      <c r="M648" s="2"/>
      <c r="N648" s="3"/>
      <c r="O648" s="3"/>
      <c r="P648" s="3"/>
      <c r="Q648" s="1"/>
      <c r="R648" s="1"/>
      <c r="S648" s="1"/>
      <c r="T648" s="1"/>
      <c r="U648" s="1"/>
      <c r="V648" s="1"/>
      <c r="W648" s="1"/>
      <c r="X648" s="1"/>
      <c r="Y648" s="1"/>
      <c r="Z648" s="1"/>
      <c r="AA648" s="1"/>
      <c r="AB648" s="1"/>
      <c r="AC648" s="1"/>
      <c r="AD648" s="1"/>
      <c r="AE648" s="1"/>
      <c r="AF648" s="1"/>
      <c r="AG648" s="1"/>
      <c r="AH648" s="1"/>
      <c r="AI648" s="1"/>
      <c r="AJ648" s="1"/>
      <c r="AK648" s="1"/>
    </row>
    <row r="649" spans="1:37" ht="12.75" customHeight="1">
      <c r="A649" s="1"/>
      <c r="B649" s="1"/>
      <c r="C649" s="1"/>
      <c r="D649" s="1"/>
      <c r="E649" s="1"/>
      <c r="F649" s="2"/>
      <c r="G649" s="2"/>
      <c r="H649" s="2"/>
      <c r="I649" s="2"/>
      <c r="J649" s="2"/>
      <c r="K649" s="2"/>
      <c r="L649" s="2"/>
      <c r="M649" s="2"/>
      <c r="N649" s="3"/>
      <c r="O649" s="3"/>
      <c r="P649" s="3"/>
      <c r="Q649" s="1"/>
      <c r="R649" s="1"/>
      <c r="S649" s="1"/>
      <c r="T649" s="1"/>
      <c r="U649" s="1"/>
      <c r="V649" s="1"/>
      <c r="W649" s="1"/>
      <c r="X649" s="1"/>
      <c r="Y649" s="1"/>
      <c r="Z649" s="1"/>
      <c r="AA649" s="1"/>
      <c r="AB649" s="1"/>
      <c r="AC649" s="1"/>
      <c r="AD649" s="1"/>
      <c r="AE649" s="1"/>
      <c r="AF649" s="1"/>
      <c r="AG649" s="1"/>
      <c r="AH649" s="1"/>
      <c r="AI649" s="1"/>
      <c r="AJ649" s="1"/>
      <c r="AK649" s="1"/>
    </row>
    <row r="650" spans="1:37" ht="12.75" customHeight="1">
      <c r="A650" s="1"/>
      <c r="B650" s="1"/>
      <c r="C650" s="1"/>
      <c r="D650" s="1"/>
      <c r="E650" s="1"/>
      <c r="F650" s="2"/>
      <c r="G650" s="2"/>
      <c r="H650" s="2"/>
      <c r="I650" s="2"/>
      <c r="J650" s="2"/>
      <c r="K650" s="2"/>
      <c r="L650" s="2"/>
      <c r="M650" s="2"/>
      <c r="N650" s="3"/>
      <c r="O650" s="3"/>
      <c r="P650" s="3"/>
      <c r="Q650" s="1"/>
      <c r="R650" s="1"/>
      <c r="S650" s="1"/>
      <c r="T650" s="1"/>
      <c r="U650" s="1"/>
      <c r="V650" s="1"/>
      <c r="W650" s="1"/>
      <c r="X650" s="1"/>
      <c r="Y650" s="1"/>
      <c r="Z650" s="1"/>
      <c r="AA650" s="1"/>
      <c r="AB650" s="1"/>
      <c r="AC650" s="1"/>
      <c r="AD650" s="1"/>
      <c r="AE650" s="1"/>
      <c r="AF650" s="1"/>
      <c r="AG650" s="1"/>
      <c r="AH650" s="1"/>
      <c r="AI650" s="1"/>
      <c r="AJ650" s="1"/>
      <c r="AK650" s="1"/>
    </row>
    <row r="651" spans="1:37" ht="12.75" customHeight="1">
      <c r="A651" s="1"/>
      <c r="B651" s="1"/>
      <c r="C651" s="1"/>
      <c r="D651" s="1"/>
      <c r="E651" s="1"/>
      <c r="F651" s="2"/>
      <c r="G651" s="2"/>
      <c r="H651" s="2"/>
      <c r="I651" s="2"/>
      <c r="J651" s="2"/>
      <c r="K651" s="2"/>
      <c r="L651" s="2"/>
      <c r="M651" s="2"/>
      <c r="N651" s="3"/>
      <c r="O651" s="3"/>
      <c r="P651" s="3"/>
      <c r="Q651" s="1"/>
      <c r="R651" s="1"/>
      <c r="S651" s="1"/>
      <c r="T651" s="1"/>
      <c r="U651" s="1"/>
      <c r="V651" s="1"/>
      <c r="W651" s="1"/>
      <c r="X651" s="1"/>
      <c r="Y651" s="1"/>
      <c r="Z651" s="1"/>
      <c r="AA651" s="1"/>
      <c r="AB651" s="1"/>
      <c r="AC651" s="1"/>
      <c r="AD651" s="1"/>
      <c r="AE651" s="1"/>
      <c r="AF651" s="1"/>
      <c r="AG651" s="1"/>
      <c r="AH651" s="1"/>
      <c r="AI651" s="1"/>
      <c r="AJ651" s="1"/>
      <c r="AK651" s="1"/>
    </row>
    <row r="652" spans="1:37" ht="12.75" customHeight="1">
      <c r="A652" s="1"/>
      <c r="B652" s="1"/>
      <c r="C652" s="1"/>
      <c r="D652" s="1"/>
      <c r="E652" s="1"/>
      <c r="F652" s="2"/>
      <c r="G652" s="2"/>
      <c r="H652" s="2"/>
      <c r="I652" s="2"/>
      <c r="J652" s="2"/>
      <c r="K652" s="2"/>
      <c r="L652" s="2"/>
      <c r="M652" s="2"/>
      <c r="N652" s="3"/>
      <c r="O652" s="3"/>
      <c r="P652" s="3"/>
      <c r="Q652" s="1"/>
      <c r="R652" s="1"/>
      <c r="S652" s="1"/>
      <c r="T652" s="1"/>
      <c r="U652" s="1"/>
      <c r="V652" s="1"/>
      <c r="W652" s="1"/>
      <c r="X652" s="1"/>
      <c r="Y652" s="1"/>
      <c r="Z652" s="1"/>
      <c r="AA652" s="1"/>
      <c r="AB652" s="1"/>
      <c r="AC652" s="1"/>
      <c r="AD652" s="1"/>
      <c r="AE652" s="1"/>
      <c r="AF652" s="1"/>
      <c r="AG652" s="1"/>
      <c r="AH652" s="1"/>
      <c r="AI652" s="1"/>
      <c r="AJ652" s="1"/>
      <c r="AK652" s="1"/>
    </row>
    <row r="653" spans="1:37" ht="12.75" customHeight="1">
      <c r="A653" s="1"/>
      <c r="B653" s="1"/>
      <c r="C653" s="1"/>
      <c r="D653" s="1"/>
      <c r="E653" s="1"/>
      <c r="F653" s="2"/>
      <c r="G653" s="2"/>
      <c r="H653" s="2"/>
      <c r="I653" s="2"/>
      <c r="J653" s="2"/>
      <c r="K653" s="2"/>
      <c r="L653" s="2"/>
      <c r="M653" s="2"/>
      <c r="N653" s="3"/>
      <c r="O653" s="3"/>
      <c r="P653" s="3"/>
      <c r="Q653" s="1"/>
      <c r="R653" s="1"/>
      <c r="S653" s="1"/>
      <c r="T653" s="1"/>
      <c r="U653" s="1"/>
      <c r="V653" s="1"/>
      <c r="W653" s="1"/>
      <c r="X653" s="1"/>
      <c r="Y653" s="1"/>
      <c r="Z653" s="1"/>
      <c r="AA653" s="1"/>
      <c r="AB653" s="1"/>
      <c r="AC653" s="1"/>
      <c r="AD653" s="1"/>
      <c r="AE653" s="1"/>
      <c r="AF653" s="1"/>
      <c r="AG653" s="1"/>
      <c r="AH653" s="1"/>
      <c r="AI653" s="1"/>
      <c r="AJ653" s="1"/>
      <c r="AK653" s="1"/>
    </row>
    <row r="654" spans="1:37" ht="12.75" customHeight="1">
      <c r="A654" s="1"/>
      <c r="B654" s="1"/>
      <c r="C654" s="1"/>
      <c r="D654" s="1"/>
      <c r="E654" s="1"/>
      <c r="F654" s="2"/>
      <c r="G654" s="2"/>
      <c r="H654" s="2"/>
      <c r="I654" s="2"/>
      <c r="J654" s="2"/>
      <c r="K654" s="2"/>
      <c r="L654" s="2"/>
      <c r="M654" s="2"/>
      <c r="N654" s="3"/>
      <c r="O654" s="3"/>
      <c r="P654" s="3"/>
      <c r="Q654" s="1"/>
      <c r="R654" s="1"/>
      <c r="S654" s="1"/>
      <c r="T654" s="1"/>
      <c r="U654" s="1"/>
      <c r="V654" s="1"/>
      <c r="W654" s="1"/>
      <c r="X654" s="1"/>
      <c r="Y654" s="1"/>
      <c r="Z654" s="1"/>
      <c r="AA654" s="1"/>
      <c r="AB654" s="1"/>
      <c r="AC654" s="1"/>
      <c r="AD654" s="1"/>
      <c r="AE654" s="1"/>
      <c r="AF654" s="1"/>
      <c r="AG654" s="1"/>
      <c r="AH654" s="1"/>
      <c r="AI654" s="1"/>
      <c r="AJ654" s="1"/>
      <c r="AK654" s="1"/>
    </row>
    <row r="655" spans="1:37" ht="12.75" customHeight="1">
      <c r="A655" s="1"/>
      <c r="B655" s="1"/>
      <c r="C655" s="1"/>
      <c r="D655" s="1"/>
      <c r="E655" s="1"/>
      <c r="F655" s="2"/>
      <c r="G655" s="2"/>
      <c r="H655" s="2"/>
      <c r="I655" s="2"/>
      <c r="J655" s="2"/>
      <c r="K655" s="2"/>
      <c r="L655" s="2"/>
      <c r="M655" s="2"/>
      <c r="N655" s="3"/>
      <c r="O655" s="3"/>
      <c r="P655" s="3"/>
      <c r="Q655" s="1"/>
      <c r="R655" s="1"/>
      <c r="S655" s="1"/>
      <c r="T655" s="1"/>
      <c r="U655" s="1"/>
      <c r="V655" s="1"/>
      <c r="W655" s="1"/>
      <c r="X655" s="1"/>
      <c r="Y655" s="1"/>
      <c r="Z655" s="1"/>
      <c r="AA655" s="1"/>
      <c r="AB655" s="1"/>
      <c r="AC655" s="1"/>
      <c r="AD655" s="1"/>
      <c r="AE655" s="1"/>
      <c r="AF655" s="1"/>
      <c r="AG655" s="1"/>
      <c r="AH655" s="1"/>
      <c r="AI655" s="1"/>
      <c r="AJ655" s="1"/>
      <c r="AK655" s="1"/>
    </row>
    <row r="656" spans="1:37" ht="12.75" customHeight="1">
      <c r="A656" s="1"/>
      <c r="B656" s="1"/>
      <c r="C656" s="1"/>
      <c r="D656" s="1"/>
      <c r="E656" s="1"/>
      <c r="F656" s="2"/>
      <c r="G656" s="2"/>
      <c r="H656" s="2"/>
      <c r="I656" s="2"/>
      <c r="J656" s="2"/>
      <c r="K656" s="2"/>
      <c r="L656" s="2"/>
      <c r="M656" s="2"/>
      <c r="N656" s="3"/>
      <c r="O656" s="3"/>
      <c r="P656" s="3"/>
      <c r="Q656" s="1"/>
      <c r="R656" s="1"/>
      <c r="S656" s="1"/>
      <c r="T656" s="1"/>
      <c r="U656" s="1"/>
      <c r="V656" s="1"/>
      <c r="W656" s="1"/>
      <c r="X656" s="1"/>
      <c r="Y656" s="1"/>
      <c r="Z656" s="1"/>
      <c r="AA656" s="1"/>
      <c r="AB656" s="1"/>
      <c r="AC656" s="1"/>
      <c r="AD656" s="1"/>
      <c r="AE656" s="1"/>
      <c r="AF656" s="1"/>
      <c r="AG656" s="1"/>
      <c r="AH656" s="1"/>
      <c r="AI656" s="1"/>
      <c r="AJ656" s="1"/>
      <c r="AK656" s="1"/>
    </row>
    <row r="657" spans="1:37" ht="12.75" customHeight="1">
      <c r="A657" s="1"/>
      <c r="B657" s="1"/>
      <c r="C657" s="1"/>
      <c r="D657" s="1"/>
      <c r="E657" s="1"/>
      <c r="F657" s="2"/>
      <c r="G657" s="2"/>
      <c r="H657" s="2"/>
      <c r="I657" s="2"/>
      <c r="J657" s="2"/>
      <c r="K657" s="2"/>
      <c r="L657" s="2"/>
      <c r="M657" s="2"/>
      <c r="N657" s="3"/>
      <c r="O657" s="3"/>
      <c r="P657" s="3"/>
      <c r="Q657" s="1"/>
      <c r="R657" s="1"/>
      <c r="S657" s="1"/>
      <c r="T657" s="1"/>
      <c r="U657" s="1"/>
      <c r="V657" s="1"/>
      <c r="W657" s="1"/>
      <c r="X657" s="1"/>
      <c r="Y657" s="1"/>
      <c r="Z657" s="1"/>
      <c r="AA657" s="1"/>
      <c r="AB657" s="1"/>
      <c r="AC657" s="1"/>
      <c r="AD657" s="1"/>
      <c r="AE657" s="1"/>
      <c r="AF657" s="1"/>
      <c r="AG657" s="1"/>
      <c r="AH657" s="1"/>
      <c r="AI657" s="1"/>
      <c r="AJ657" s="1"/>
      <c r="AK657" s="1"/>
    </row>
    <row r="658" spans="1:37" ht="12.75" customHeight="1">
      <c r="A658" s="1"/>
      <c r="B658" s="1"/>
      <c r="C658" s="1"/>
      <c r="D658" s="1"/>
      <c r="E658" s="1"/>
      <c r="F658" s="2"/>
      <c r="G658" s="2"/>
      <c r="H658" s="2"/>
      <c r="I658" s="2"/>
      <c r="J658" s="2"/>
      <c r="K658" s="2"/>
      <c r="L658" s="2"/>
      <c r="M658" s="2"/>
      <c r="N658" s="3"/>
      <c r="O658" s="3"/>
      <c r="P658" s="3"/>
      <c r="Q658" s="1"/>
      <c r="R658" s="1"/>
      <c r="S658" s="1"/>
      <c r="T658" s="1"/>
      <c r="U658" s="1"/>
      <c r="V658" s="1"/>
      <c r="W658" s="1"/>
      <c r="X658" s="1"/>
      <c r="Y658" s="1"/>
      <c r="Z658" s="1"/>
      <c r="AA658" s="1"/>
      <c r="AB658" s="1"/>
      <c r="AC658" s="1"/>
      <c r="AD658" s="1"/>
      <c r="AE658" s="1"/>
      <c r="AF658" s="1"/>
      <c r="AG658" s="1"/>
      <c r="AH658" s="1"/>
      <c r="AI658" s="1"/>
      <c r="AJ658" s="1"/>
      <c r="AK658" s="1"/>
    </row>
    <row r="659" spans="1:37" ht="12.75" customHeight="1">
      <c r="A659" s="1"/>
      <c r="B659" s="1"/>
      <c r="C659" s="1"/>
      <c r="D659" s="1"/>
      <c r="E659" s="1"/>
      <c r="F659" s="2"/>
      <c r="G659" s="2"/>
      <c r="H659" s="2"/>
      <c r="I659" s="2"/>
      <c r="J659" s="2"/>
      <c r="K659" s="2"/>
      <c r="L659" s="2"/>
      <c r="M659" s="2"/>
      <c r="N659" s="3"/>
      <c r="O659" s="3"/>
      <c r="P659" s="3"/>
      <c r="Q659" s="1"/>
      <c r="R659" s="1"/>
      <c r="S659" s="1"/>
      <c r="T659" s="1"/>
      <c r="U659" s="1"/>
      <c r="V659" s="1"/>
      <c r="W659" s="1"/>
      <c r="X659" s="1"/>
      <c r="Y659" s="1"/>
      <c r="Z659" s="1"/>
      <c r="AA659" s="1"/>
      <c r="AB659" s="1"/>
      <c r="AC659" s="1"/>
      <c r="AD659" s="1"/>
      <c r="AE659" s="1"/>
      <c r="AF659" s="1"/>
      <c r="AG659" s="1"/>
      <c r="AH659" s="1"/>
      <c r="AI659" s="1"/>
      <c r="AJ659" s="1"/>
      <c r="AK659" s="1"/>
    </row>
    <row r="660" spans="1:37" ht="12.75" customHeight="1">
      <c r="A660" s="1"/>
      <c r="B660" s="1"/>
      <c r="C660" s="1"/>
      <c r="D660" s="1"/>
      <c r="E660" s="1"/>
      <c r="F660" s="2"/>
      <c r="G660" s="2"/>
      <c r="H660" s="2"/>
      <c r="I660" s="2"/>
      <c r="J660" s="2"/>
      <c r="K660" s="2"/>
      <c r="L660" s="2"/>
      <c r="M660" s="2"/>
      <c r="N660" s="3"/>
      <c r="O660" s="3"/>
      <c r="P660" s="3"/>
      <c r="Q660" s="1"/>
      <c r="R660" s="1"/>
      <c r="S660" s="1"/>
      <c r="T660" s="1"/>
      <c r="U660" s="1"/>
      <c r="V660" s="1"/>
      <c r="W660" s="1"/>
      <c r="X660" s="1"/>
      <c r="Y660" s="1"/>
      <c r="Z660" s="1"/>
      <c r="AA660" s="1"/>
      <c r="AB660" s="1"/>
      <c r="AC660" s="1"/>
      <c r="AD660" s="1"/>
      <c r="AE660" s="1"/>
      <c r="AF660" s="1"/>
      <c r="AG660" s="1"/>
      <c r="AH660" s="1"/>
      <c r="AI660" s="1"/>
      <c r="AJ660" s="1"/>
      <c r="AK660" s="1"/>
    </row>
    <row r="661" spans="1:37" ht="12.75" customHeight="1">
      <c r="A661" s="1"/>
      <c r="B661" s="1"/>
      <c r="C661" s="1"/>
      <c r="D661" s="1"/>
      <c r="E661" s="1"/>
      <c r="F661" s="2"/>
      <c r="G661" s="2"/>
      <c r="H661" s="2"/>
      <c r="I661" s="2"/>
      <c r="J661" s="2"/>
      <c r="K661" s="2"/>
      <c r="L661" s="2"/>
      <c r="M661" s="2"/>
      <c r="N661" s="3"/>
      <c r="O661" s="3"/>
      <c r="P661" s="3"/>
      <c r="Q661" s="1"/>
      <c r="R661" s="1"/>
      <c r="S661" s="1"/>
      <c r="T661" s="1"/>
      <c r="U661" s="1"/>
      <c r="V661" s="1"/>
      <c r="W661" s="1"/>
      <c r="X661" s="1"/>
      <c r="Y661" s="1"/>
      <c r="Z661" s="1"/>
      <c r="AA661" s="1"/>
      <c r="AB661" s="1"/>
      <c r="AC661" s="1"/>
      <c r="AD661" s="1"/>
      <c r="AE661" s="1"/>
      <c r="AF661" s="1"/>
      <c r="AG661" s="1"/>
      <c r="AH661" s="1"/>
      <c r="AI661" s="1"/>
      <c r="AJ661" s="1"/>
      <c r="AK661" s="1"/>
    </row>
    <row r="662" spans="1:37" ht="12.75" customHeight="1">
      <c r="A662" s="1"/>
      <c r="B662" s="1"/>
      <c r="C662" s="1"/>
      <c r="D662" s="1"/>
      <c r="E662" s="1"/>
      <c r="F662" s="2"/>
      <c r="G662" s="2"/>
      <c r="H662" s="2"/>
      <c r="I662" s="2"/>
      <c r="J662" s="2"/>
      <c r="K662" s="2"/>
      <c r="L662" s="2"/>
      <c r="M662" s="2"/>
      <c r="N662" s="3"/>
      <c r="O662" s="3"/>
      <c r="P662" s="3"/>
      <c r="Q662" s="1"/>
      <c r="R662" s="1"/>
      <c r="S662" s="1"/>
      <c r="T662" s="1"/>
      <c r="U662" s="1"/>
      <c r="V662" s="1"/>
      <c r="W662" s="1"/>
      <c r="X662" s="1"/>
      <c r="Y662" s="1"/>
      <c r="Z662" s="1"/>
      <c r="AA662" s="1"/>
      <c r="AB662" s="1"/>
      <c r="AC662" s="1"/>
      <c r="AD662" s="1"/>
      <c r="AE662" s="1"/>
      <c r="AF662" s="1"/>
      <c r="AG662" s="1"/>
      <c r="AH662" s="1"/>
      <c r="AI662" s="1"/>
      <c r="AJ662" s="1"/>
      <c r="AK662" s="1"/>
    </row>
    <row r="663" spans="1:37" ht="12.75" customHeight="1">
      <c r="A663" s="1"/>
      <c r="B663" s="1"/>
      <c r="C663" s="1"/>
      <c r="D663" s="1"/>
      <c r="E663" s="1"/>
      <c r="F663" s="2"/>
      <c r="G663" s="2"/>
      <c r="H663" s="2"/>
      <c r="I663" s="2"/>
      <c r="J663" s="2"/>
      <c r="K663" s="2"/>
      <c r="L663" s="2"/>
      <c r="M663" s="2"/>
      <c r="N663" s="3"/>
      <c r="O663" s="3"/>
      <c r="P663" s="3"/>
      <c r="Q663" s="1"/>
      <c r="R663" s="1"/>
      <c r="S663" s="1"/>
      <c r="T663" s="1"/>
      <c r="U663" s="1"/>
      <c r="V663" s="1"/>
      <c r="W663" s="1"/>
      <c r="X663" s="1"/>
      <c r="Y663" s="1"/>
      <c r="Z663" s="1"/>
      <c r="AA663" s="1"/>
      <c r="AB663" s="1"/>
      <c r="AC663" s="1"/>
      <c r="AD663" s="1"/>
      <c r="AE663" s="1"/>
      <c r="AF663" s="1"/>
      <c r="AG663" s="1"/>
      <c r="AH663" s="1"/>
      <c r="AI663" s="1"/>
      <c r="AJ663" s="1"/>
      <c r="AK663" s="1"/>
    </row>
    <row r="664" spans="1:37" ht="12.75" customHeight="1">
      <c r="A664" s="1"/>
      <c r="B664" s="1"/>
      <c r="C664" s="1"/>
      <c r="D664" s="1"/>
      <c r="E664" s="1"/>
      <c r="F664" s="2"/>
      <c r="G664" s="2"/>
      <c r="H664" s="2"/>
      <c r="I664" s="2"/>
      <c r="J664" s="2"/>
      <c r="K664" s="2"/>
      <c r="L664" s="2"/>
      <c r="M664" s="2"/>
      <c r="N664" s="3"/>
      <c r="O664" s="3"/>
      <c r="P664" s="3"/>
      <c r="Q664" s="1"/>
      <c r="R664" s="1"/>
      <c r="S664" s="1"/>
      <c r="T664" s="1"/>
      <c r="U664" s="1"/>
      <c r="V664" s="1"/>
      <c r="W664" s="1"/>
      <c r="X664" s="1"/>
      <c r="Y664" s="1"/>
      <c r="Z664" s="1"/>
      <c r="AA664" s="1"/>
      <c r="AB664" s="1"/>
      <c r="AC664" s="1"/>
      <c r="AD664" s="1"/>
      <c r="AE664" s="1"/>
      <c r="AF664" s="1"/>
      <c r="AG664" s="1"/>
      <c r="AH664" s="1"/>
      <c r="AI664" s="1"/>
      <c r="AJ664" s="1"/>
      <c r="AK664" s="1"/>
    </row>
    <row r="665" spans="1:37" ht="12.75" customHeight="1">
      <c r="A665" s="1"/>
      <c r="B665" s="1"/>
      <c r="C665" s="1"/>
      <c r="D665" s="1"/>
      <c r="E665" s="1"/>
      <c r="F665" s="2"/>
      <c r="G665" s="2"/>
      <c r="H665" s="2"/>
      <c r="I665" s="2"/>
      <c r="J665" s="2"/>
      <c r="K665" s="2"/>
      <c r="L665" s="2"/>
      <c r="M665" s="2"/>
      <c r="N665" s="3"/>
      <c r="O665" s="3"/>
      <c r="P665" s="3"/>
      <c r="Q665" s="1"/>
      <c r="R665" s="1"/>
      <c r="S665" s="1"/>
      <c r="T665" s="1"/>
      <c r="U665" s="1"/>
      <c r="V665" s="1"/>
      <c r="W665" s="1"/>
      <c r="X665" s="1"/>
      <c r="Y665" s="1"/>
      <c r="Z665" s="1"/>
      <c r="AA665" s="1"/>
      <c r="AB665" s="1"/>
      <c r="AC665" s="1"/>
      <c r="AD665" s="1"/>
      <c r="AE665" s="1"/>
      <c r="AF665" s="1"/>
      <c r="AG665" s="1"/>
      <c r="AH665" s="1"/>
      <c r="AI665" s="1"/>
      <c r="AJ665" s="1"/>
      <c r="AK665" s="1"/>
    </row>
    <row r="666" spans="1:37" ht="12.75" customHeight="1">
      <c r="A666" s="1"/>
      <c r="B666" s="1"/>
      <c r="C666" s="1"/>
      <c r="D666" s="1"/>
      <c r="E666" s="1"/>
      <c r="F666" s="2"/>
      <c r="G666" s="2"/>
      <c r="H666" s="2"/>
      <c r="I666" s="2"/>
      <c r="J666" s="2"/>
      <c r="K666" s="2"/>
      <c r="L666" s="2"/>
      <c r="M666" s="2"/>
      <c r="N666" s="3"/>
      <c r="O666" s="3"/>
      <c r="P666" s="3"/>
      <c r="Q666" s="1"/>
      <c r="R666" s="1"/>
      <c r="S666" s="1"/>
      <c r="T666" s="1"/>
      <c r="U666" s="1"/>
      <c r="V666" s="1"/>
      <c r="W666" s="1"/>
      <c r="X666" s="1"/>
      <c r="Y666" s="1"/>
      <c r="Z666" s="1"/>
      <c r="AA666" s="1"/>
      <c r="AB666" s="1"/>
      <c r="AC666" s="1"/>
      <c r="AD666" s="1"/>
      <c r="AE666" s="1"/>
      <c r="AF666" s="1"/>
      <c r="AG666" s="1"/>
      <c r="AH666" s="1"/>
      <c r="AI666" s="1"/>
      <c r="AJ666" s="1"/>
      <c r="AK666" s="1"/>
    </row>
    <row r="667" spans="1:37" ht="12.75" customHeight="1">
      <c r="A667" s="1"/>
      <c r="B667" s="1"/>
      <c r="C667" s="1"/>
      <c r="D667" s="1"/>
      <c r="E667" s="1"/>
      <c r="F667" s="2"/>
      <c r="G667" s="2"/>
      <c r="H667" s="2"/>
      <c r="I667" s="2"/>
      <c r="J667" s="2"/>
      <c r="K667" s="2"/>
      <c r="L667" s="2"/>
      <c r="M667" s="2"/>
      <c r="N667" s="3"/>
      <c r="O667" s="3"/>
      <c r="P667" s="3"/>
      <c r="Q667" s="1"/>
      <c r="R667" s="1"/>
      <c r="S667" s="1"/>
      <c r="T667" s="1"/>
      <c r="U667" s="1"/>
      <c r="V667" s="1"/>
      <c r="W667" s="1"/>
      <c r="X667" s="1"/>
      <c r="Y667" s="1"/>
      <c r="Z667" s="1"/>
      <c r="AA667" s="1"/>
      <c r="AB667" s="1"/>
      <c r="AC667" s="1"/>
      <c r="AD667" s="1"/>
      <c r="AE667" s="1"/>
      <c r="AF667" s="1"/>
      <c r="AG667" s="1"/>
      <c r="AH667" s="1"/>
      <c r="AI667" s="1"/>
      <c r="AJ667" s="1"/>
      <c r="AK667" s="1"/>
    </row>
    <row r="668" spans="1:37" ht="12.75" customHeight="1">
      <c r="A668" s="1"/>
      <c r="B668" s="1"/>
      <c r="C668" s="1"/>
      <c r="D668" s="1"/>
      <c r="E668" s="1"/>
      <c r="F668" s="2"/>
      <c r="G668" s="2"/>
      <c r="H668" s="2"/>
      <c r="I668" s="2"/>
      <c r="J668" s="2"/>
      <c r="K668" s="2"/>
      <c r="L668" s="2"/>
      <c r="M668" s="2"/>
      <c r="N668" s="3"/>
      <c r="O668" s="3"/>
      <c r="P668" s="3"/>
      <c r="Q668" s="1"/>
      <c r="R668" s="1"/>
      <c r="S668" s="1"/>
      <c r="T668" s="1"/>
      <c r="U668" s="1"/>
      <c r="V668" s="1"/>
      <c r="W668" s="1"/>
      <c r="X668" s="1"/>
      <c r="Y668" s="1"/>
      <c r="Z668" s="1"/>
      <c r="AA668" s="1"/>
      <c r="AB668" s="1"/>
      <c r="AC668" s="1"/>
      <c r="AD668" s="1"/>
      <c r="AE668" s="1"/>
      <c r="AF668" s="1"/>
      <c r="AG668" s="1"/>
      <c r="AH668" s="1"/>
      <c r="AI668" s="1"/>
      <c r="AJ668" s="1"/>
      <c r="AK668" s="1"/>
    </row>
    <row r="669" spans="1:37" ht="12.75" customHeight="1">
      <c r="A669" s="1"/>
      <c r="B669" s="1"/>
      <c r="C669" s="1"/>
      <c r="D669" s="1"/>
      <c r="E669" s="1"/>
      <c r="F669" s="2"/>
      <c r="G669" s="2"/>
      <c r="H669" s="2"/>
      <c r="I669" s="2"/>
      <c r="J669" s="2"/>
      <c r="K669" s="2"/>
      <c r="L669" s="2"/>
      <c r="M669" s="2"/>
      <c r="N669" s="3"/>
      <c r="O669" s="3"/>
      <c r="P669" s="3"/>
      <c r="Q669" s="1"/>
      <c r="R669" s="1"/>
      <c r="S669" s="1"/>
      <c r="T669" s="1"/>
      <c r="U669" s="1"/>
      <c r="V669" s="1"/>
      <c r="W669" s="1"/>
      <c r="X669" s="1"/>
      <c r="Y669" s="1"/>
      <c r="Z669" s="1"/>
      <c r="AA669" s="1"/>
      <c r="AB669" s="1"/>
      <c r="AC669" s="1"/>
      <c r="AD669" s="1"/>
      <c r="AE669" s="1"/>
      <c r="AF669" s="1"/>
      <c r="AG669" s="1"/>
      <c r="AH669" s="1"/>
      <c r="AI669" s="1"/>
      <c r="AJ669" s="1"/>
      <c r="AK669" s="1"/>
    </row>
    <row r="670" spans="1:37" ht="12.75" customHeight="1">
      <c r="A670" s="1"/>
      <c r="B670" s="1"/>
      <c r="C670" s="1"/>
      <c r="D670" s="1"/>
      <c r="E670" s="1"/>
      <c r="F670" s="2"/>
      <c r="G670" s="2"/>
      <c r="H670" s="2"/>
      <c r="I670" s="2"/>
      <c r="J670" s="2"/>
      <c r="K670" s="2"/>
      <c r="L670" s="2"/>
      <c r="M670" s="2"/>
      <c r="N670" s="3"/>
      <c r="O670" s="3"/>
      <c r="P670" s="3"/>
      <c r="Q670" s="1"/>
      <c r="R670" s="1"/>
      <c r="S670" s="1"/>
      <c r="T670" s="1"/>
      <c r="U670" s="1"/>
      <c r="V670" s="1"/>
      <c r="W670" s="1"/>
      <c r="X670" s="1"/>
      <c r="Y670" s="1"/>
      <c r="Z670" s="1"/>
      <c r="AA670" s="1"/>
      <c r="AB670" s="1"/>
      <c r="AC670" s="1"/>
      <c r="AD670" s="1"/>
      <c r="AE670" s="1"/>
      <c r="AF670" s="1"/>
      <c r="AG670" s="1"/>
      <c r="AH670" s="1"/>
      <c r="AI670" s="1"/>
      <c r="AJ670" s="1"/>
      <c r="AK670" s="1"/>
    </row>
    <row r="671" spans="1:37" ht="12.75" customHeight="1">
      <c r="A671" s="1"/>
      <c r="B671" s="1"/>
      <c r="C671" s="1"/>
      <c r="D671" s="1"/>
      <c r="E671" s="1"/>
      <c r="F671" s="2"/>
      <c r="G671" s="2"/>
      <c r="H671" s="2"/>
      <c r="I671" s="2"/>
      <c r="J671" s="2"/>
      <c r="K671" s="2"/>
      <c r="L671" s="2"/>
      <c r="M671" s="2"/>
      <c r="N671" s="3"/>
      <c r="O671" s="3"/>
      <c r="P671" s="3"/>
      <c r="Q671" s="1"/>
      <c r="R671" s="1"/>
      <c r="S671" s="1"/>
      <c r="T671" s="1"/>
      <c r="U671" s="1"/>
      <c r="V671" s="1"/>
      <c r="W671" s="1"/>
      <c r="X671" s="1"/>
      <c r="Y671" s="1"/>
      <c r="Z671" s="1"/>
      <c r="AA671" s="1"/>
      <c r="AB671" s="1"/>
      <c r="AC671" s="1"/>
      <c r="AD671" s="1"/>
      <c r="AE671" s="1"/>
      <c r="AF671" s="1"/>
      <c r="AG671" s="1"/>
      <c r="AH671" s="1"/>
      <c r="AI671" s="1"/>
      <c r="AJ671" s="1"/>
      <c r="AK671" s="1"/>
    </row>
    <row r="672" spans="1:37" ht="12.75" customHeight="1">
      <c r="A672" s="1"/>
      <c r="B672" s="1"/>
      <c r="C672" s="1"/>
      <c r="D672" s="1"/>
      <c r="E672" s="1"/>
      <c r="F672" s="2"/>
      <c r="G672" s="2"/>
      <c r="H672" s="2"/>
      <c r="I672" s="2"/>
      <c r="J672" s="2"/>
      <c r="K672" s="2"/>
      <c r="L672" s="2"/>
      <c r="M672" s="2"/>
      <c r="N672" s="3"/>
      <c r="O672" s="3"/>
      <c r="P672" s="3"/>
      <c r="Q672" s="1"/>
      <c r="R672" s="1"/>
      <c r="S672" s="1"/>
      <c r="T672" s="1"/>
      <c r="U672" s="1"/>
      <c r="V672" s="1"/>
      <c r="W672" s="1"/>
      <c r="X672" s="1"/>
      <c r="Y672" s="1"/>
      <c r="Z672" s="1"/>
      <c r="AA672" s="1"/>
      <c r="AB672" s="1"/>
      <c r="AC672" s="1"/>
      <c r="AD672" s="1"/>
      <c r="AE672" s="1"/>
      <c r="AF672" s="1"/>
      <c r="AG672" s="1"/>
      <c r="AH672" s="1"/>
      <c r="AI672" s="1"/>
      <c r="AJ672" s="1"/>
      <c r="AK672" s="1"/>
    </row>
    <row r="673" spans="1:37" ht="12.75" customHeight="1">
      <c r="A673" s="1"/>
      <c r="B673" s="1"/>
      <c r="C673" s="1"/>
      <c r="D673" s="1"/>
      <c r="E673" s="1"/>
      <c r="F673" s="2"/>
      <c r="G673" s="2"/>
      <c r="H673" s="2"/>
      <c r="I673" s="2"/>
      <c r="J673" s="2"/>
      <c r="K673" s="2"/>
      <c r="L673" s="2"/>
      <c r="M673" s="2"/>
      <c r="N673" s="3"/>
      <c r="O673" s="3"/>
      <c r="P673" s="3"/>
      <c r="Q673" s="1"/>
      <c r="R673" s="1"/>
      <c r="S673" s="1"/>
      <c r="T673" s="1"/>
      <c r="U673" s="1"/>
      <c r="V673" s="1"/>
      <c r="W673" s="1"/>
      <c r="X673" s="1"/>
      <c r="Y673" s="1"/>
      <c r="Z673" s="1"/>
      <c r="AA673" s="1"/>
      <c r="AB673" s="1"/>
      <c r="AC673" s="1"/>
      <c r="AD673" s="1"/>
      <c r="AE673" s="1"/>
      <c r="AF673" s="1"/>
      <c r="AG673" s="1"/>
      <c r="AH673" s="1"/>
      <c r="AI673" s="1"/>
      <c r="AJ673" s="1"/>
      <c r="AK673" s="1"/>
    </row>
    <row r="674" spans="1:37" ht="12.75" customHeight="1">
      <c r="A674" s="1"/>
      <c r="B674" s="1"/>
      <c r="C674" s="1"/>
      <c r="D674" s="1"/>
      <c r="E674" s="1"/>
      <c r="F674" s="2"/>
      <c r="G674" s="2"/>
      <c r="H674" s="2"/>
      <c r="I674" s="2"/>
      <c r="J674" s="2"/>
      <c r="K674" s="2"/>
      <c r="L674" s="2"/>
      <c r="M674" s="2"/>
      <c r="N674" s="3"/>
      <c r="O674" s="3"/>
      <c r="P674" s="3"/>
      <c r="Q674" s="1"/>
      <c r="R674" s="1"/>
      <c r="S674" s="1"/>
      <c r="T674" s="1"/>
      <c r="U674" s="1"/>
      <c r="V674" s="1"/>
      <c r="W674" s="1"/>
      <c r="X674" s="1"/>
      <c r="Y674" s="1"/>
      <c r="Z674" s="1"/>
      <c r="AA674" s="1"/>
      <c r="AB674" s="1"/>
      <c r="AC674" s="1"/>
      <c r="AD674" s="1"/>
      <c r="AE674" s="1"/>
      <c r="AF674" s="1"/>
      <c r="AG674" s="1"/>
      <c r="AH674" s="1"/>
      <c r="AI674" s="1"/>
      <c r="AJ674" s="1"/>
      <c r="AK674" s="1"/>
    </row>
    <row r="675" spans="1:37" ht="12.75" customHeight="1">
      <c r="A675" s="1"/>
      <c r="B675" s="1"/>
      <c r="C675" s="1"/>
      <c r="D675" s="1"/>
      <c r="E675" s="1"/>
      <c r="F675" s="2"/>
      <c r="G675" s="2"/>
      <c r="H675" s="2"/>
      <c r="I675" s="2"/>
      <c r="J675" s="2"/>
      <c r="K675" s="2"/>
      <c r="L675" s="2"/>
      <c r="M675" s="2"/>
      <c r="N675" s="3"/>
      <c r="O675" s="3"/>
      <c r="P675" s="3"/>
      <c r="Q675" s="1"/>
      <c r="R675" s="1"/>
      <c r="S675" s="1"/>
      <c r="T675" s="1"/>
      <c r="U675" s="1"/>
      <c r="V675" s="1"/>
      <c r="W675" s="1"/>
      <c r="X675" s="1"/>
      <c r="Y675" s="1"/>
      <c r="Z675" s="1"/>
      <c r="AA675" s="1"/>
      <c r="AB675" s="1"/>
      <c r="AC675" s="1"/>
      <c r="AD675" s="1"/>
      <c r="AE675" s="1"/>
      <c r="AF675" s="1"/>
      <c r="AG675" s="1"/>
      <c r="AH675" s="1"/>
      <c r="AI675" s="1"/>
      <c r="AJ675" s="1"/>
      <c r="AK675" s="1"/>
    </row>
    <row r="676" spans="1:37" ht="12.75" customHeight="1">
      <c r="A676" s="1"/>
      <c r="B676" s="1"/>
      <c r="C676" s="1"/>
      <c r="D676" s="1"/>
      <c r="E676" s="1"/>
      <c r="F676" s="2"/>
      <c r="G676" s="2"/>
      <c r="H676" s="2"/>
      <c r="I676" s="2"/>
      <c r="J676" s="2"/>
      <c r="K676" s="2"/>
      <c r="L676" s="2"/>
      <c r="M676" s="2"/>
      <c r="N676" s="3"/>
      <c r="O676" s="3"/>
      <c r="P676" s="3"/>
      <c r="Q676" s="1"/>
      <c r="R676" s="1"/>
      <c r="S676" s="1"/>
      <c r="T676" s="1"/>
      <c r="U676" s="1"/>
      <c r="V676" s="1"/>
      <c r="W676" s="1"/>
      <c r="X676" s="1"/>
      <c r="Y676" s="1"/>
      <c r="Z676" s="1"/>
      <c r="AA676" s="1"/>
      <c r="AB676" s="1"/>
      <c r="AC676" s="1"/>
      <c r="AD676" s="1"/>
      <c r="AE676" s="1"/>
      <c r="AF676" s="1"/>
      <c r="AG676" s="1"/>
      <c r="AH676" s="1"/>
      <c r="AI676" s="1"/>
      <c r="AJ676" s="1"/>
      <c r="AK676" s="1"/>
    </row>
    <row r="677" spans="1:37" ht="12.75" customHeight="1">
      <c r="A677" s="1"/>
      <c r="B677" s="1"/>
      <c r="C677" s="1"/>
      <c r="D677" s="1"/>
      <c r="E677" s="1"/>
      <c r="F677" s="2"/>
      <c r="G677" s="2"/>
      <c r="H677" s="2"/>
      <c r="I677" s="2"/>
      <c r="J677" s="2"/>
      <c r="K677" s="2"/>
      <c r="L677" s="2"/>
      <c r="M677" s="2"/>
      <c r="N677" s="3"/>
      <c r="O677" s="3"/>
      <c r="P677" s="3"/>
      <c r="Q677" s="1"/>
      <c r="R677" s="1"/>
      <c r="S677" s="1"/>
      <c r="T677" s="1"/>
      <c r="U677" s="1"/>
      <c r="V677" s="1"/>
      <c r="W677" s="1"/>
      <c r="X677" s="1"/>
      <c r="Y677" s="1"/>
      <c r="Z677" s="1"/>
      <c r="AA677" s="1"/>
      <c r="AB677" s="1"/>
      <c r="AC677" s="1"/>
      <c r="AD677" s="1"/>
      <c r="AE677" s="1"/>
      <c r="AF677" s="1"/>
      <c r="AG677" s="1"/>
      <c r="AH677" s="1"/>
      <c r="AI677" s="1"/>
      <c r="AJ677" s="1"/>
      <c r="AK677" s="1"/>
    </row>
    <row r="678" spans="1:37" ht="12.75" customHeight="1">
      <c r="A678" s="1"/>
      <c r="B678" s="1"/>
      <c r="C678" s="1"/>
      <c r="D678" s="1"/>
      <c r="E678" s="1"/>
      <c r="F678" s="2"/>
      <c r="G678" s="2"/>
      <c r="H678" s="2"/>
      <c r="I678" s="2"/>
      <c r="J678" s="2"/>
      <c r="K678" s="2"/>
      <c r="L678" s="2"/>
      <c r="M678" s="2"/>
      <c r="N678" s="3"/>
      <c r="O678" s="3"/>
      <c r="P678" s="3"/>
      <c r="Q678" s="1"/>
      <c r="R678" s="1"/>
      <c r="S678" s="1"/>
      <c r="T678" s="1"/>
      <c r="U678" s="1"/>
      <c r="V678" s="1"/>
      <c r="W678" s="1"/>
      <c r="X678" s="1"/>
      <c r="Y678" s="1"/>
      <c r="Z678" s="1"/>
      <c r="AA678" s="1"/>
      <c r="AB678" s="1"/>
      <c r="AC678" s="1"/>
      <c r="AD678" s="1"/>
      <c r="AE678" s="1"/>
      <c r="AF678" s="1"/>
      <c r="AG678" s="1"/>
      <c r="AH678" s="1"/>
      <c r="AI678" s="1"/>
      <c r="AJ678" s="1"/>
      <c r="AK678" s="1"/>
    </row>
    <row r="679" spans="1:37" ht="12.75" customHeight="1">
      <c r="A679" s="1"/>
      <c r="B679" s="1"/>
      <c r="C679" s="1"/>
      <c r="D679" s="1"/>
      <c r="E679" s="1"/>
      <c r="F679" s="2"/>
      <c r="G679" s="2"/>
      <c r="H679" s="2"/>
      <c r="I679" s="2"/>
      <c r="J679" s="2"/>
      <c r="K679" s="2"/>
      <c r="L679" s="2"/>
      <c r="M679" s="2"/>
      <c r="N679" s="3"/>
      <c r="O679" s="3"/>
      <c r="P679" s="3"/>
      <c r="Q679" s="1"/>
      <c r="R679" s="1"/>
      <c r="S679" s="1"/>
      <c r="T679" s="1"/>
      <c r="U679" s="1"/>
      <c r="V679" s="1"/>
      <c r="W679" s="1"/>
      <c r="X679" s="1"/>
      <c r="Y679" s="1"/>
      <c r="Z679" s="1"/>
      <c r="AA679" s="1"/>
      <c r="AB679" s="1"/>
      <c r="AC679" s="1"/>
      <c r="AD679" s="1"/>
      <c r="AE679" s="1"/>
      <c r="AF679" s="1"/>
      <c r="AG679" s="1"/>
      <c r="AH679" s="1"/>
      <c r="AI679" s="1"/>
      <c r="AJ679" s="1"/>
      <c r="AK679" s="1"/>
    </row>
    <row r="680" spans="1:37" ht="12.75" customHeight="1">
      <c r="A680" s="1"/>
      <c r="B680" s="1"/>
      <c r="C680" s="1"/>
      <c r="D680" s="1"/>
      <c r="E680" s="1"/>
      <c r="F680" s="2"/>
      <c r="G680" s="2"/>
      <c r="H680" s="2"/>
      <c r="I680" s="2"/>
      <c r="J680" s="2"/>
      <c r="K680" s="2"/>
      <c r="L680" s="2"/>
      <c r="M680" s="2"/>
      <c r="N680" s="3"/>
      <c r="O680" s="3"/>
      <c r="P680" s="3"/>
      <c r="Q680" s="1"/>
      <c r="R680" s="1"/>
      <c r="S680" s="1"/>
      <c r="T680" s="1"/>
      <c r="U680" s="1"/>
      <c r="V680" s="1"/>
      <c r="W680" s="1"/>
      <c r="X680" s="1"/>
      <c r="Y680" s="1"/>
      <c r="Z680" s="1"/>
      <c r="AA680" s="1"/>
      <c r="AB680" s="1"/>
      <c r="AC680" s="1"/>
      <c r="AD680" s="1"/>
      <c r="AE680" s="1"/>
      <c r="AF680" s="1"/>
      <c r="AG680" s="1"/>
      <c r="AH680" s="1"/>
      <c r="AI680" s="1"/>
      <c r="AJ680" s="1"/>
      <c r="AK680" s="1"/>
    </row>
    <row r="681" spans="1:37" ht="12.75" customHeight="1">
      <c r="A681" s="1"/>
      <c r="B681" s="1"/>
      <c r="C681" s="1"/>
      <c r="D681" s="1"/>
      <c r="E681" s="1"/>
      <c r="F681" s="2"/>
      <c r="G681" s="2"/>
      <c r="H681" s="2"/>
      <c r="I681" s="2"/>
      <c r="J681" s="2"/>
      <c r="K681" s="2"/>
      <c r="L681" s="2"/>
      <c r="M681" s="2"/>
      <c r="N681" s="3"/>
      <c r="O681" s="3"/>
      <c r="P681" s="3"/>
      <c r="Q681" s="1"/>
      <c r="R681" s="1"/>
      <c r="S681" s="1"/>
      <c r="T681" s="1"/>
      <c r="U681" s="1"/>
      <c r="V681" s="1"/>
      <c r="W681" s="1"/>
      <c r="X681" s="1"/>
      <c r="Y681" s="1"/>
      <c r="Z681" s="1"/>
      <c r="AA681" s="1"/>
      <c r="AB681" s="1"/>
      <c r="AC681" s="1"/>
      <c r="AD681" s="1"/>
      <c r="AE681" s="1"/>
      <c r="AF681" s="1"/>
      <c r="AG681" s="1"/>
      <c r="AH681" s="1"/>
      <c r="AI681" s="1"/>
      <c r="AJ681" s="1"/>
      <c r="AK681" s="1"/>
    </row>
    <row r="682" spans="1:37" ht="12.75" customHeight="1">
      <c r="A682" s="1"/>
      <c r="B682" s="1"/>
      <c r="C682" s="1"/>
      <c r="D682" s="1"/>
      <c r="E682" s="1"/>
      <c r="F682" s="2"/>
      <c r="G682" s="2"/>
      <c r="H682" s="2"/>
      <c r="I682" s="2"/>
      <c r="J682" s="2"/>
      <c r="K682" s="2"/>
      <c r="L682" s="2"/>
      <c r="M682" s="2"/>
      <c r="N682" s="3"/>
      <c r="O682" s="3"/>
      <c r="P682" s="3"/>
      <c r="Q682" s="1"/>
      <c r="R682" s="1"/>
      <c r="S682" s="1"/>
      <c r="T682" s="1"/>
      <c r="U682" s="1"/>
      <c r="V682" s="1"/>
      <c r="W682" s="1"/>
      <c r="X682" s="1"/>
      <c r="Y682" s="1"/>
      <c r="Z682" s="1"/>
      <c r="AA682" s="1"/>
      <c r="AB682" s="1"/>
      <c r="AC682" s="1"/>
      <c r="AD682" s="1"/>
      <c r="AE682" s="1"/>
      <c r="AF682" s="1"/>
      <c r="AG682" s="1"/>
      <c r="AH682" s="1"/>
      <c r="AI682" s="1"/>
      <c r="AJ682" s="1"/>
      <c r="AK682" s="1"/>
    </row>
    <row r="683" spans="1:37" ht="12.75" customHeight="1">
      <c r="A683" s="1"/>
      <c r="B683" s="1"/>
      <c r="C683" s="1"/>
      <c r="D683" s="1"/>
      <c r="E683" s="1"/>
      <c r="F683" s="2"/>
      <c r="G683" s="2"/>
      <c r="H683" s="2"/>
      <c r="I683" s="2"/>
      <c r="J683" s="2"/>
      <c r="K683" s="2"/>
      <c r="L683" s="2"/>
      <c r="M683" s="2"/>
      <c r="N683" s="3"/>
      <c r="O683" s="3"/>
      <c r="P683" s="3"/>
      <c r="Q683" s="1"/>
      <c r="R683" s="1"/>
      <c r="S683" s="1"/>
      <c r="T683" s="1"/>
      <c r="U683" s="1"/>
      <c r="V683" s="1"/>
      <c r="W683" s="1"/>
      <c r="X683" s="1"/>
      <c r="Y683" s="1"/>
      <c r="Z683" s="1"/>
      <c r="AA683" s="1"/>
      <c r="AB683" s="1"/>
      <c r="AC683" s="1"/>
      <c r="AD683" s="1"/>
      <c r="AE683" s="1"/>
      <c r="AF683" s="1"/>
      <c r="AG683" s="1"/>
      <c r="AH683" s="1"/>
      <c r="AI683" s="1"/>
      <c r="AJ683" s="1"/>
      <c r="AK683" s="1"/>
    </row>
    <row r="684" spans="1:37" ht="12.75" customHeight="1">
      <c r="A684" s="1"/>
      <c r="B684" s="1"/>
      <c r="C684" s="1"/>
      <c r="D684" s="1"/>
      <c r="E684" s="1"/>
      <c r="F684" s="2"/>
      <c r="G684" s="2"/>
      <c r="H684" s="2"/>
      <c r="I684" s="2"/>
      <c r="J684" s="2"/>
      <c r="K684" s="2"/>
      <c r="L684" s="2"/>
      <c r="M684" s="2"/>
      <c r="N684" s="3"/>
      <c r="O684" s="3"/>
      <c r="P684" s="3"/>
      <c r="Q684" s="1"/>
      <c r="R684" s="1"/>
      <c r="S684" s="1"/>
      <c r="T684" s="1"/>
      <c r="U684" s="1"/>
      <c r="V684" s="1"/>
      <c r="W684" s="1"/>
      <c r="X684" s="1"/>
      <c r="Y684" s="1"/>
      <c r="Z684" s="1"/>
      <c r="AA684" s="1"/>
      <c r="AB684" s="1"/>
      <c r="AC684" s="1"/>
      <c r="AD684" s="1"/>
      <c r="AE684" s="1"/>
      <c r="AF684" s="1"/>
      <c r="AG684" s="1"/>
      <c r="AH684" s="1"/>
      <c r="AI684" s="1"/>
      <c r="AJ684" s="1"/>
      <c r="AK684" s="1"/>
    </row>
    <row r="685" spans="1:37" ht="12.75" customHeight="1">
      <c r="A685" s="1"/>
      <c r="B685" s="1"/>
      <c r="C685" s="1"/>
      <c r="D685" s="1"/>
      <c r="E685" s="1"/>
      <c r="F685" s="2"/>
      <c r="G685" s="2"/>
      <c r="H685" s="2"/>
      <c r="I685" s="2"/>
      <c r="J685" s="2"/>
      <c r="K685" s="2"/>
      <c r="L685" s="2"/>
      <c r="M685" s="2"/>
      <c r="N685" s="3"/>
      <c r="O685" s="3"/>
      <c r="P685" s="3"/>
      <c r="Q685" s="1"/>
      <c r="R685" s="1"/>
      <c r="S685" s="1"/>
      <c r="T685" s="1"/>
      <c r="U685" s="1"/>
      <c r="V685" s="1"/>
      <c r="W685" s="1"/>
      <c r="X685" s="1"/>
      <c r="Y685" s="1"/>
      <c r="Z685" s="1"/>
      <c r="AA685" s="1"/>
      <c r="AB685" s="1"/>
      <c r="AC685" s="1"/>
      <c r="AD685" s="1"/>
      <c r="AE685" s="1"/>
      <c r="AF685" s="1"/>
      <c r="AG685" s="1"/>
      <c r="AH685" s="1"/>
      <c r="AI685" s="1"/>
      <c r="AJ685" s="1"/>
      <c r="AK685" s="1"/>
    </row>
    <row r="686" spans="1:37" ht="12.75" customHeight="1">
      <c r="A686" s="1"/>
      <c r="B686" s="1"/>
      <c r="C686" s="1"/>
      <c r="D686" s="1"/>
      <c r="E686" s="1"/>
      <c r="F686" s="2"/>
      <c r="G686" s="2"/>
      <c r="H686" s="2"/>
      <c r="I686" s="2"/>
      <c r="J686" s="2"/>
      <c r="K686" s="2"/>
      <c r="L686" s="2"/>
      <c r="M686" s="2"/>
      <c r="N686" s="3"/>
      <c r="O686" s="3"/>
      <c r="P686" s="3"/>
      <c r="Q686" s="1"/>
      <c r="R686" s="1"/>
      <c r="S686" s="1"/>
      <c r="T686" s="1"/>
      <c r="U686" s="1"/>
      <c r="V686" s="1"/>
      <c r="W686" s="1"/>
      <c r="X686" s="1"/>
      <c r="Y686" s="1"/>
      <c r="Z686" s="1"/>
      <c r="AA686" s="1"/>
      <c r="AB686" s="1"/>
      <c r="AC686" s="1"/>
      <c r="AD686" s="1"/>
      <c r="AE686" s="1"/>
      <c r="AF686" s="1"/>
      <c r="AG686" s="1"/>
      <c r="AH686" s="1"/>
      <c r="AI686" s="1"/>
      <c r="AJ686" s="1"/>
      <c r="AK686" s="1"/>
    </row>
    <row r="687" spans="1:37" ht="12.75" customHeight="1">
      <c r="A687" s="1"/>
      <c r="B687" s="1"/>
      <c r="C687" s="1"/>
      <c r="D687" s="1"/>
      <c r="E687" s="1"/>
      <c r="F687" s="2"/>
      <c r="G687" s="2"/>
      <c r="H687" s="2"/>
      <c r="I687" s="2"/>
      <c r="J687" s="2"/>
      <c r="K687" s="2"/>
      <c r="L687" s="2"/>
      <c r="M687" s="2"/>
      <c r="N687" s="3"/>
      <c r="O687" s="3"/>
      <c r="P687" s="3"/>
      <c r="Q687" s="1"/>
      <c r="R687" s="1"/>
      <c r="S687" s="1"/>
      <c r="T687" s="1"/>
      <c r="U687" s="1"/>
      <c r="V687" s="1"/>
      <c r="W687" s="1"/>
      <c r="X687" s="1"/>
      <c r="Y687" s="1"/>
      <c r="Z687" s="1"/>
      <c r="AA687" s="1"/>
      <c r="AB687" s="1"/>
      <c r="AC687" s="1"/>
      <c r="AD687" s="1"/>
      <c r="AE687" s="1"/>
      <c r="AF687" s="1"/>
      <c r="AG687" s="1"/>
      <c r="AH687" s="1"/>
      <c r="AI687" s="1"/>
      <c r="AJ687" s="1"/>
      <c r="AK687" s="1"/>
    </row>
    <row r="688" spans="1:37" ht="12.75" customHeight="1">
      <c r="A688" s="1"/>
      <c r="B688" s="1"/>
      <c r="C688" s="1"/>
      <c r="D688" s="1"/>
      <c r="E688" s="1"/>
      <c r="F688" s="2"/>
      <c r="G688" s="2"/>
      <c r="H688" s="2"/>
      <c r="I688" s="2"/>
      <c r="J688" s="2"/>
      <c r="K688" s="2"/>
      <c r="L688" s="2"/>
      <c r="M688" s="2"/>
      <c r="N688" s="3"/>
      <c r="O688" s="3"/>
      <c r="P688" s="3"/>
      <c r="Q688" s="1"/>
      <c r="R688" s="1"/>
      <c r="S688" s="1"/>
      <c r="T688" s="1"/>
      <c r="U688" s="1"/>
      <c r="V688" s="1"/>
      <c r="W688" s="1"/>
      <c r="X688" s="1"/>
      <c r="Y688" s="1"/>
      <c r="Z688" s="1"/>
      <c r="AA688" s="1"/>
      <c r="AB688" s="1"/>
      <c r="AC688" s="1"/>
      <c r="AD688" s="1"/>
      <c r="AE688" s="1"/>
      <c r="AF688" s="1"/>
      <c r="AG688" s="1"/>
      <c r="AH688" s="1"/>
      <c r="AI688" s="1"/>
      <c r="AJ688" s="1"/>
      <c r="AK688" s="1"/>
    </row>
    <row r="689" spans="1:37" ht="12.75" customHeight="1">
      <c r="A689" s="1"/>
      <c r="B689" s="1"/>
      <c r="C689" s="1"/>
      <c r="D689" s="1"/>
      <c r="E689" s="1"/>
      <c r="F689" s="2"/>
      <c r="G689" s="2"/>
      <c r="H689" s="2"/>
      <c r="I689" s="2"/>
      <c r="J689" s="2"/>
      <c r="K689" s="2"/>
      <c r="L689" s="2"/>
      <c r="M689" s="2"/>
      <c r="N689" s="3"/>
      <c r="O689" s="3"/>
      <c r="P689" s="3"/>
      <c r="Q689" s="1"/>
      <c r="R689" s="1"/>
      <c r="S689" s="1"/>
      <c r="T689" s="1"/>
      <c r="U689" s="1"/>
      <c r="V689" s="1"/>
      <c r="W689" s="1"/>
      <c r="X689" s="1"/>
      <c r="Y689" s="1"/>
      <c r="Z689" s="1"/>
      <c r="AA689" s="1"/>
      <c r="AB689" s="1"/>
      <c r="AC689" s="1"/>
      <c r="AD689" s="1"/>
      <c r="AE689" s="1"/>
      <c r="AF689" s="1"/>
      <c r="AG689" s="1"/>
      <c r="AH689" s="1"/>
      <c r="AI689" s="1"/>
      <c r="AJ689" s="1"/>
      <c r="AK689" s="1"/>
    </row>
    <row r="690" spans="1:37" ht="12.75" customHeight="1">
      <c r="A690" s="1"/>
      <c r="B690" s="1"/>
      <c r="C690" s="1"/>
      <c r="D690" s="1"/>
      <c r="E690" s="1"/>
      <c r="F690" s="2"/>
      <c r="G690" s="2"/>
      <c r="H690" s="2"/>
      <c r="I690" s="2"/>
      <c r="J690" s="2"/>
      <c r="K690" s="2"/>
      <c r="L690" s="2"/>
      <c r="M690" s="2"/>
      <c r="N690" s="3"/>
      <c r="O690" s="3"/>
      <c r="P690" s="3"/>
      <c r="Q690" s="1"/>
      <c r="R690" s="1"/>
      <c r="S690" s="1"/>
      <c r="T690" s="1"/>
      <c r="U690" s="1"/>
      <c r="V690" s="1"/>
      <c r="W690" s="1"/>
      <c r="X690" s="1"/>
      <c r="Y690" s="1"/>
      <c r="Z690" s="1"/>
      <c r="AA690" s="1"/>
      <c r="AB690" s="1"/>
      <c r="AC690" s="1"/>
      <c r="AD690" s="1"/>
      <c r="AE690" s="1"/>
      <c r="AF690" s="1"/>
      <c r="AG690" s="1"/>
      <c r="AH690" s="1"/>
      <c r="AI690" s="1"/>
      <c r="AJ690" s="1"/>
      <c r="AK690" s="1"/>
    </row>
    <row r="691" spans="1:37" ht="12.75" customHeight="1">
      <c r="A691" s="1"/>
      <c r="B691" s="1"/>
      <c r="C691" s="1"/>
      <c r="D691" s="1"/>
      <c r="E691" s="1"/>
      <c r="F691" s="2"/>
      <c r="G691" s="2"/>
      <c r="H691" s="2"/>
      <c r="I691" s="2"/>
      <c r="J691" s="2"/>
      <c r="K691" s="2"/>
      <c r="L691" s="2"/>
      <c r="M691" s="2"/>
      <c r="N691" s="3"/>
      <c r="O691" s="3"/>
      <c r="P691" s="3"/>
      <c r="Q691" s="1"/>
      <c r="R691" s="1"/>
      <c r="S691" s="1"/>
      <c r="T691" s="1"/>
      <c r="U691" s="1"/>
      <c r="V691" s="1"/>
      <c r="W691" s="1"/>
      <c r="X691" s="1"/>
      <c r="Y691" s="1"/>
      <c r="Z691" s="1"/>
      <c r="AA691" s="1"/>
      <c r="AB691" s="1"/>
      <c r="AC691" s="1"/>
      <c r="AD691" s="1"/>
      <c r="AE691" s="1"/>
      <c r="AF691" s="1"/>
      <c r="AG691" s="1"/>
      <c r="AH691" s="1"/>
      <c r="AI691" s="1"/>
      <c r="AJ691" s="1"/>
      <c r="AK691" s="1"/>
    </row>
    <row r="692" spans="1:37" ht="12.75" customHeight="1">
      <c r="A692" s="1"/>
      <c r="B692" s="1"/>
      <c r="C692" s="1"/>
      <c r="D692" s="1"/>
      <c r="E692" s="1"/>
      <c r="F692" s="2"/>
      <c r="G692" s="2"/>
      <c r="H692" s="2"/>
      <c r="I692" s="2"/>
      <c r="J692" s="2"/>
      <c r="K692" s="2"/>
      <c r="L692" s="2"/>
      <c r="M692" s="2"/>
      <c r="N692" s="3"/>
      <c r="O692" s="3"/>
      <c r="P692" s="3"/>
      <c r="Q692" s="1"/>
      <c r="R692" s="1"/>
      <c r="S692" s="1"/>
      <c r="T692" s="1"/>
      <c r="U692" s="1"/>
      <c r="V692" s="1"/>
      <c r="W692" s="1"/>
      <c r="X692" s="1"/>
      <c r="Y692" s="1"/>
      <c r="Z692" s="1"/>
      <c r="AA692" s="1"/>
      <c r="AB692" s="1"/>
      <c r="AC692" s="1"/>
      <c r="AD692" s="1"/>
      <c r="AE692" s="1"/>
      <c r="AF692" s="1"/>
      <c r="AG692" s="1"/>
      <c r="AH692" s="1"/>
      <c r="AI692" s="1"/>
      <c r="AJ692" s="1"/>
      <c r="AK692" s="1"/>
    </row>
    <row r="693" spans="1:37" ht="12.75" customHeight="1">
      <c r="A693" s="1"/>
      <c r="B693" s="1"/>
      <c r="C693" s="1"/>
      <c r="D693" s="1"/>
      <c r="E693" s="1"/>
      <c r="F693" s="2"/>
      <c r="G693" s="2"/>
      <c r="H693" s="2"/>
      <c r="I693" s="2"/>
      <c r="J693" s="2"/>
      <c r="K693" s="2"/>
      <c r="L693" s="2"/>
      <c r="M693" s="2"/>
      <c r="N693" s="3"/>
      <c r="O693" s="3"/>
      <c r="P693" s="3"/>
      <c r="Q693" s="1"/>
      <c r="R693" s="1"/>
      <c r="S693" s="1"/>
      <c r="T693" s="1"/>
      <c r="U693" s="1"/>
      <c r="V693" s="1"/>
      <c r="W693" s="1"/>
      <c r="X693" s="1"/>
      <c r="Y693" s="1"/>
      <c r="Z693" s="1"/>
      <c r="AA693" s="1"/>
      <c r="AB693" s="1"/>
      <c r="AC693" s="1"/>
      <c r="AD693" s="1"/>
      <c r="AE693" s="1"/>
      <c r="AF693" s="1"/>
      <c r="AG693" s="1"/>
      <c r="AH693" s="1"/>
      <c r="AI693" s="1"/>
      <c r="AJ693" s="1"/>
      <c r="AK693" s="1"/>
    </row>
    <row r="694" spans="1:37" ht="12.75" customHeight="1">
      <c r="A694" s="1"/>
      <c r="B694" s="1"/>
      <c r="C694" s="1"/>
      <c r="D694" s="1"/>
      <c r="E694" s="1"/>
      <c r="F694" s="2"/>
      <c r="G694" s="2"/>
      <c r="H694" s="2"/>
      <c r="I694" s="2"/>
      <c r="J694" s="2"/>
      <c r="K694" s="2"/>
      <c r="L694" s="2"/>
      <c r="M694" s="2"/>
      <c r="N694" s="3"/>
      <c r="O694" s="3"/>
      <c r="P694" s="3"/>
      <c r="Q694" s="1"/>
      <c r="R694" s="1"/>
      <c r="S694" s="1"/>
      <c r="T694" s="1"/>
      <c r="U694" s="1"/>
      <c r="V694" s="1"/>
      <c r="W694" s="1"/>
      <c r="X694" s="1"/>
      <c r="Y694" s="1"/>
      <c r="Z694" s="1"/>
      <c r="AA694" s="1"/>
      <c r="AB694" s="1"/>
      <c r="AC694" s="1"/>
      <c r="AD694" s="1"/>
      <c r="AE694" s="1"/>
      <c r="AF694" s="1"/>
      <c r="AG694" s="1"/>
      <c r="AH694" s="1"/>
      <c r="AI694" s="1"/>
      <c r="AJ694" s="1"/>
      <c r="AK694" s="1"/>
    </row>
    <row r="695" spans="1:37" ht="12.75" customHeight="1">
      <c r="A695" s="1"/>
      <c r="B695" s="1"/>
      <c r="C695" s="1"/>
      <c r="D695" s="1"/>
      <c r="E695" s="1"/>
      <c r="F695" s="2"/>
      <c r="G695" s="2"/>
      <c r="H695" s="2"/>
      <c r="I695" s="2"/>
      <c r="J695" s="2"/>
      <c r="K695" s="2"/>
      <c r="L695" s="2"/>
      <c r="M695" s="2"/>
      <c r="N695" s="3"/>
      <c r="O695" s="3"/>
      <c r="P695" s="3"/>
      <c r="Q695" s="1"/>
      <c r="R695" s="1"/>
      <c r="S695" s="1"/>
      <c r="T695" s="1"/>
      <c r="U695" s="1"/>
      <c r="V695" s="1"/>
      <c r="W695" s="1"/>
      <c r="X695" s="1"/>
      <c r="Y695" s="1"/>
      <c r="Z695" s="1"/>
      <c r="AA695" s="1"/>
      <c r="AB695" s="1"/>
      <c r="AC695" s="1"/>
      <c r="AD695" s="1"/>
      <c r="AE695" s="1"/>
      <c r="AF695" s="1"/>
      <c r="AG695" s="1"/>
      <c r="AH695" s="1"/>
      <c r="AI695" s="1"/>
      <c r="AJ695" s="1"/>
      <c r="AK695" s="1"/>
    </row>
    <row r="696" spans="1:37" ht="12.75" customHeight="1">
      <c r="A696" s="1"/>
      <c r="B696" s="1"/>
      <c r="C696" s="1"/>
      <c r="D696" s="1"/>
      <c r="E696" s="1"/>
      <c r="F696" s="2"/>
      <c r="G696" s="2"/>
      <c r="H696" s="2"/>
      <c r="I696" s="2"/>
      <c r="J696" s="2"/>
      <c r="K696" s="2"/>
      <c r="L696" s="2"/>
      <c r="M696" s="2"/>
      <c r="N696" s="3"/>
      <c r="O696" s="3"/>
      <c r="P696" s="3"/>
      <c r="Q696" s="1"/>
      <c r="R696" s="1"/>
      <c r="S696" s="1"/>
      <c r="T696" s="1"/>
      <c r="U696" s="1"/>
      <c r="V696" s="1"/>
      <c r="W696" s="1"/>
      <c r="X696" s="1"/>
      <c r="Y696" s="1"/>
      <c r="Z696" s="1"/>
      <c r="AA696" s="1"/>
      <c r="AB696" s="1"/>
      <c r="AC696" s="1"/>
      <c r="AD696" s="1"/>
      <c r="AE696" s="1"/>
      <c r="AF696" s="1"/>
      <c r="AG696" s="1"/>
      <c r="AH696" s="1"/>
      <c r="AI696" s="1"/>
      <c r="AJ696" s="1"/>
      <c r="AK696" s="1"/>
    </row>
    <row r="697" spans="1:37" ht="12.75" customHeight="1">
      <c r="A697" s="1"/>
      <c r="B697" s="1"/>
      <c r="C697" s="1"/>
      <c r="D697" s="1"/>
      <c r="E697" s="1"/>
      <c r="F697" s="2"/>
      <c r="G697" s="2"/>
      <c r="H697" s="2"/>
      <c r="I697" s="2"/>
      <c r="J697" s="2"/>
      <c r="K697" s="2"/>
      <c r="L697" s="2"/>
      <c r="M697" s="2"/>
      <c r="N697" s="3"/>
      <c r="O697" s="3"/>
      <c r="P697" s="3"/>
      <c r="Q697" s="1"/>
      <c r="R697" s="1"/>
      <c r="S697" s="1"/>
      <c r="T697" s="1"/>
      <c r="U697" s="1"/>
      <c r="V697" s="1"/>
      <c r="W697" s="1"/>
      <c r="X697" s="1"/>
      <c r="Y697" s="1"/>
      <c r="Z697" s="1"/>
      <c r="AA697" s="1"/>
      <c r="AB697" s="1"/>
      <c r="AC697" s="1"/>
      <c r="AD697" s="1"/>
      <c r="AE697" s="1"/>
      <c r="AF697" s="1"/>
      <c r="AG697" s="1"/>
      <c r="AH697" s="1"/>
      <c r="AI697" s="1"/>
      <c r="AJ697" s="1"/>
      <c r="AK697" s="1"/>
    </row>
    <row r="698" spans="1:37" ht="12.75" customHeight="1">
      <c r="A698" s="1"/>
      <c r="B698" s="1"/>
      <c r="C698" s="1"/>
      <c r="D698" s="1"/>
      <c r="E698" s="1"/>
      <c r="F698" s="2"/>
      <c r="G698" s="2"/>
      <c r="H698" s="2"/>
      <c r="I698" s="2"/>
      <c r="J698" s="2"/>
      <c r="K698" s="2"/>
      <c r="L698" s="2"/>
      <c r="M698" s="2"/>
      <c r="N698" s="3"/>
      <c r="O698" s="3"/>
      <c r="P698" s="3"/>
      <c r="Q698" s="1"/>
      <c r="R698" s="1"/>
      <c r="S698" s="1"/>
      <c r="T698" s="1"/>
      <c r="U698" s="1"/>
      <c r="V698" s="1"/>
      <c r="W698" s="1"/>
      <c r="X698" s="1"/>
      <c r="Y698" s="1"/>
      <c r="Z698" s="1"/>
      <c r="AA698" s="1"/>
      <c r="AB698" s="1"/>
      <c r="AC698" s="1"/>
      <c r="AD698" s="1"/>
      <c r="AE698" s="1"/>
      <c r="AF698" s="1"/>
      <c r="AG698" s="1"/>
      <c r="AH698" s="1"/>
      <c r="AI698" s="1"/>
      <c r="AJ698" s="1"/>
      <c r="AK698" s="1"/>
    </row>
    <row r="699" spans="1:37" ht="12.75" customHeight="1">
      <c r="A699" s="1"/>
      <c r="B699" s="1"/>
      <c r="C699" s="1"/>
      <c r="D699" s="1"/>
      <c r="E699" s="1"/>
      <c r="F699" s="2"/>
      <c r="G699" s="2"/>
      <c r="H699" s="2"/>
      <c r="I699" s="2"/>
      <c r="J699" s="2"/>
      <c r="K699" s="2"/>
      <c r="L699" s="2"/>
      <c r="M699" s="2"/>
      <c r="N699" s="3"/>
      <c r="O699" s="3"/>
      <c r="P699" s="3"/>
      <c r="Q699" s="1"/>
      <c r="R699" s="1"/>
      <c r="S699" s="1"/>
      <c r="T699" s="1"/>
      <c r="U699" s="1"/>
      <c r="V699" s="1"/>
      <c r="W699" s="1"/>
      <c r="X699" s="1"/>
      <c r="Y699" s="1"/>
      <c r="Z699" s="1"/>
      <c r="AA699" s="1"/>
      <c r="AB699" s="1"/>
      <c r="AC699" s="1"/>
      <c r="AD699" s="1"/>
      <c r="AE699" s="1"/>
      <c r="AF699" s="1"/>
      <c r="AG699" s="1"/>
      <c r="AH699" s="1"/>
      <c r="AI699" s="1"/>
      <c r="AJ699" s="1"/>
      <c r="AK699" s="1"/>
    </row>
    <row r="700" spans="1:37" ht="12.75" customHeight="1">
      <c r="A700" s="1"/>
      <c r="B700" s="1"/>
      <c r="C700" s="1"/>
      <c r="D700" s="1"/>
      <c r="E700" s="1"/>
      <c r="F700" s="2"/>
      <c r="G700" s="2"/>
      <c r="H700" s="2"/>
      <c r="I700" s="2"/>
      <c r="J700" s="2"/>
      <c r="K700" s="2"/>
      <c r="L700" s="2"/>
      <c r="M700" s="2"/>
      <c r="N700" s="3"/>
      <c r="O700" s="3"/>
      <c r="P700" s="3"/>
      <c r="Q700" s="1"/>
      <c r="R700" s="1"/>
      <c r="S700" s="1"/>
      <c r="T700" s="1"/>
      <c r="U700" s="1"/>
      <c r="V700" s="1"/>
      <c r="W700" s="1"/>
      <c r="X700" s="1"/>
      <c r="Y700" s="1"/>
      <c r="Z700" s="1"/>
      <c r="AA700" s="1"/>
      <c r="AB700" s="1"/>
      <c r="AC700" s="1"/>
      <c r="AD700" s="1"/>
      <c r="AE700" s="1"/>
      <c r="AF700" s="1"/>
      <c r="AG700" s="1"/>
      <c r="AH700" s="1"/>
      <c r="AI700" s="1"/>
      <c r="AJ700" s="1"/>
      <c r="AK700" s="1"/>
    </row>
    <row r="701" spans="1:37" ht="12.75" customHeight="1">
      <c r="A701" s="1"/>
      <c r="B701" s="1"/>
      <c r="C701" s="1"/>
      <c r="D701" s="1"/>
      <c r="E701" s="1"/>
      <c r="F701" s="2"/>
      <c r="G701" s="2"/>
      <c r="H701" s="2"/>
      <c r="I701" s="2"/>
      <c r="J701" s="2"/>
      <c r="K701" s="2"/>
      <c r="L701" s="2"/>
      <c r="M701" s="2"/>
      <c r="N701" s="3"/>
      <c r="O701" s="3"/>
      <c r="P701" s="3"/>
      <c r="Q701" s="1"/>
      <c r="R701" s="1"/>
      <c r="S701" s="1"/>
      <c r="T701" s="1"/>
      <c r="U701" s="1"/>
      <c r="V701" s="1"/>
      <c r="W701" s="1"/>
      <c r="X701" s="1"/>
      <c r="Y701" s="1"/>
      <c r="Z701" s="1"/>
      <c r="AA701" s="1"/>
      <c r="AB701" s="1"/>
      <c r="AC701" s="1"/>
      <c r="AD701" s="1"/>
      <c r="AE701" s="1"/>
      <c r="AF701" s="1"/>
      <c r="AG701" s="1"/>
      <c r="AH701" s="1"/>
      <c r="AI701" s="1"/>
      <c r="AJ701" s="1"/>
      <c r="AK701" s="1"/>
    </row>
    <row r="702" spans="1:37" ht="12.75" customHeight="1">
      <c r="A702" s="1"/>
      <c r="B702" s="1"/>
      <c r="C702" s="1"/>
      <c r="D702" s="1"/>
      <c r="E702" s="1"/>
      <c r="F702" s="2"/>
      <c r="G702" s="2"/>
      <c r="H702" s="2"/>
      <c r="I702" s="2"/>
      <c r="J702" s="2"/>
      <c r="K702" s="2"/>
      <c r="L702" s="2"/>
      <c r="M702" s="2"/>
      <c r="N702" s="3"/>
      <c r="O702" s="3"/>
      <c r="P702" s="3"/>
      <c r="Q702" s="1"/>
      <c r="R702" s="1"/>
      <c r="S702" s="1"/>
      <c r="T702" s="1"/>
      <c r="U702" s="1"/>
      <c r="V702" s="1"/>
      <c r="W702" s="1"/>
      <c r="X702" s="1"/>
      <c r="Y702" s="1"/>
      <c r="Z702" s="1"/>
      <c r="AA702" s="1"/>
      <c r="AB702" s="1"/>
      <c r="AC702" s="1"/>
      <c r="AD702" s="1"/>
      <c r="AE702" s="1"/>
      <c r="AF702" s="1"/>
      <c r="AG702" s="1"/>
      <c r="AH702" s="1"/>
      <c r="AI702" s="1"/>
      <c r="AJ702" s="1"/>
      <c r="AK702" s="1"/>
    </row>
    <row r="703" spans="1:37" ht="12.75" customHeight="1">
      <c r="A703" s="1"/>
      <c r="B703" s="1"/>
      <c r="C703" s="1"/>
      <c r="D703" s="1"/>
      <c r="E703" s="1"/>
      <c r="F703" s="2"/>
      <c r="G703" s="2"/>
      <c r="H703" s="2"/>
      <c r="I703" s="2"/>
      <c r="J703" s="2"/>
      <c r="K703" s="2"/>
      <c r="L703" s="2"/>
      <c r="M703" s="2"/>
      <c r="N703" s="3"/>
      <c r="O703" s="3"/>
      <c r="P703" s="3"/>
      <c r="Q703" s="1"/>
      <c r="R703" s="1"/>
      <c r="S703" s="1"/>
      <c r="T703" s="1"/>
      <c r="U703" s="1"/>
      <c r="V703" s="1"/>
      <c r="W703" s="1"/>
      <c r="X703" s="1"/>
      <c r="Y703" s="1"/>
      <c r="Z703" s="1"/>
      <c r="AA703" s="1"/>
      <c r="AB703" s="1"/>
      <c r="AC703" s="1"/>
      <c r="AD703" s="1"/>
      <c r="AE703" s="1"/>
      <c r="AF703" s="1"/>
      <c r="AG703" s="1"/>
      <c r="AH703" s="1"/>
      <c r="AI703" s="1"/>
      <c r="AJ703" s="1"/>
      <c r="AK703" s="1"/>
    </row>
    <row r="704" spans="1:37" ht="12.75" customHeight="1">
      <c r="A704" s="1"/>
      <c r="B704" s="1"/>
      <c r="C704" s="1"/>
      <c r="D704" s="1"/>
      <c r="E704" s="1"/>
      <c r="F704" s="2"/>
      <c r="G704" s="2"/>
      <c r="H704" s="2"/>
      <c r="I704" s="2"/>
      <c r="J704" s="2"/>
      <c r="K704" s="2"/>
      <c r="L704" s="2"/>
      <c r="M704" s="2"/>
      <c r="N704" s="3"/>
      <c r="O704" s="3"/>
      <c r="P704" s="3"/>
      <c r="Q704" s="1"/>
      <c r="R704" s="1"/>
      <c r="S704" s="1"/>
      <c r="T704" s="1"/>
      <c r="U704" s="1"/>
      <c r="V704" s="1"/>
      <c r="W704" s="1"/>
      <c r="X704" s="1"/>
      <c r="Y704" s="1"/>
      <c r="Z704" s="1"/>
      <c r="AA704" s="1"/>
      <c r="AB704" s="1"/>
      <c r="AC704" s="1"/>
      <c r="AD704" s="1"/>
      <c r="AE704" s="1"/>
      <c r="AF704" s="1"/>
      <c r="AG704" s="1"/>
      <c r="AH704" s="1"/>
      <c r="AI704" s="1"/>
      <c r="AJ704" s="1"/>
      <c r="AK704" s="1"/>
    </row>
    <row r="705" spans="1:37" ht="12.75" customHeight="1">
      <c r="A705" s="1"/>
      <c r="B705" s="1"/>
      <c r="C705" s="1"/>
      <c r="D705" s="1"/>
      <c r="E705" s="1"/>
      <c r="F705" s="2"/>
      <c r="G705" s="2"/>
      <c r="H705" s="2"/>
      <c r="I705" s="2"/>
      <c r="J705" s="2"/>
      <c r="K705" s="2"/>
      <c r="L705" s="2"/>
      <c r="M705" s="2"/>
      <c r="N705" s="3"/>
      <c r="O705" s="3"/>
      <c r="P705" s="3"/>
      <c r="Q705" s="1"/>
      <c r="R705" s="1"/>
      <c r="S705" s="1"/>
      <c r="T705" s="1"/>
      <c r="U705" s="1"/>
      <c r="V705" s="1"/>
      <c r="W705" s="1"/>
      <c r="X705" s="1"/>
      <c r="Y705" s="1"/>
      <c r="Z705" s="1"/>
      <c r="AA705" s="1"/>
      <c r="AB705" s="1"/>
      <c r="AC705" s="1"/>
      <c r="AD705" s="1"/>
      <c r="AE705" s="1"/>
      <c r="AF705" s="1"/>
      <c r="AG705" s="1"/>
      <c r="AH705" s="1"/>
      <c r="AI705" s="1"/>
      <c r="AJ705" s="1"/>
      <c r="AK705" s="1"/>
    </row>
    <row r="706" spans="1:37" ht="12.75" customHeight="1">
      <c r="A706" s="1"/>
      <c r="B706" s="1"/>
      <c r="C706" s="1"/>
      <c r="D706" s="1"/>
      <c r="E706" s="1"/>
      <c r="F706" s="2"/>
      <c r="G706" s="2"/>
      <c r="H706" s="2"/>
      <c r="I706" s="2"/>
      <c r="J706" s="2"/>
      <c r="K706" s="2"/>
      <c r="L706" s="2"/>
      <c r="M706" s="2"/>
      <c r="N706" s="3"/>
      <c r="O706" s="3"/>
      <c r="P706" s="3"/>
      <c r="Q706" s="1"/>
      <c r="R706" s="1"/>
      <c r="S706" s="1"/>
      <c r="T706" s="1"/>
      <c r="U706" s="1"/>
      <c r="V706" s="1"/>
      <c r="W706" s="1"/>
      <c r="X706" s="1"/>
      <c r="Y706" s="1"/>
      <c r="Z706" s="1"/>
      <c r="AA706" s="1"/>
      <c r="AB706" s="1"/>
      <c r="AC706" s="1"/>
      <c r="AD706" s="1"/>
      <c r="AE706" s="1"/>
      <c r="AF706" s="1"/>
      <c r="AG706" s="1"/>
      <c r="AH706" s="1"/>
      <c r="AI706" s="1"/>
      <c r="AJ706" s="1"/>
      <c r="AK706" s="1"/>
    </row>
    <row r="707" spans="1:37" ht="12.75" customHeight="1">
      <c r="A707" s="1"/>
      <c r="B707" s="1"/>
      <c r="C707" s="1"/>
      <c r="D707" s="1"/>
      <c r="E707" s="1"/>
      <c r="F707" s="2"/>
      <c r="G707" s="2"/>
      <c r="H707" s="2"/>
      <c r="I707" s="2"/>
      <c r="J707" s="2"/>
      <c r="K707" s="2"/>
      <c r="L707" s="2"/>
      <c r="M707" s="2"/>
      <c r="N707" s="3"/>
      <c r="O707" s="3"/>
      <c r="P707" s="3"/>
      <c r="Q707" s="1"/>
      <c r="R707" s="1"/>
      <c r="S707" s="1"/>
      <c r="T707" s="1"/>
      <c r="U707" s="1"/>
      <c r="V707" s="1"/>
      <c r="W707" s="1"/>
      <c r="X707" s="1"/>
      <c r="Y707" s="1"/>
      <c r="Z707" s="1"/>
      <c r="AA707" s="1"/>
      <c r="AB707" s="1"/>
      <c r="AC707" s="1"/>
      <c r="AD707" s="1"/>
      <c r="AE707" s="1"/>
      <c r="AF707" s="1"/>
      <c r="AG707" s="1"/>
      <c r="AH707" s="1"/>
      <c r="AI707" s="1"/>
      <c r="AJ707" s="1"/>
      <c r="AK707" s="1"/>
    </row>
    <row r="708" spans="1:37" ht="12.75" customHeight="1">
      <c r="A708" s="1"/>
      <c r="B708" s="1"/>
      <c r="C708" s="1"/>
      <c r="D708" s="1"/>
      <c r="E708" s="1"/>
      <c r="F708" s="2"/>
      <c r="G708" s="2"/>
      <c r="H708" s="2"/>
      <c r="I708" s="2"/>
      <c r="J708" s="2"/>
      <c r="K708" s="2"/>
      <c r="L708" s="2"/>
      <c r="M708" s="2"/>
      <c r="N708" s="3"/>
      <c r="O708" s="3"/>
      <c r="P708" s="3"/>
      <c r="Q708" s="1"/>
      <c r="R708" s="1"/>
      <c r="S708" s="1"/>
      <c r="T708" s="1"/>
      <c r="U708" s="1"/>
      <c r="V708" s="1"/>
      <c r="W708" s="1"/>
      <c r="X708" s="1"/>
      <c r="Y708" s="1"/>
      <c r="Z708" s="1"/>
      <c r="AA708" s="1"/>
      <c r="AB708" s="1"/>
      <c r="AC708" s="1"/>
      <c r="AD708" s="1"/>
      <c r="AE708" s="1"/>
      <c r="AF708" s="1"/>
      <c r="AG708" s="1"/>
      <c r="AH708" s="1"/>
      <c r="AI708" s="1"/>
      <c r="AJ708" s="1"/>
      <c r="AK708" s="1"/>
    </row>
    <row r="709" spans="1:37" ht="12.75" customHeight="1">
      <c r="A709" s="1"/>
      <c r="B709" s="1"/>
      <c r="C709" s="1"/>
      <c r="D709" s="1"/>
      <c r="E709" s="1"/>
      <c r="F709" s="2"/>
      <c r="G709" s="2"/>
      <c r="H709" s="2"/>
      <c r="I709" s="2"/>
      <c r="J709" s="2"/>
      <c r="K709" s="2"/>
      <c r="L709" s="2"/>
      <c r="M709" s="2"/>
      <c r="N709" s="3"/>
      <c r="O709" s="3"/>
      <c r="P709" s="3"/>
      <c r="Q709" s="1"/>
      <c r="R709" s="1"/>
      <c r="S709" s="1"/>
      <c r="T709" s="1"/>
      <c r="U709" s="1"/>
      <c r="V709" s="1"/>
      <c r="W709" s="1"/>
      <c r="X709" s="1"/>
      <c r="Y709" s="1"/>
      <c r="Z709" s="1"/>
      <c r="AA709" s="1"/>
      <c r="AB709" s="1"/>
      <c r="AC709" s="1"/>
      <c r="AD709" s="1"/>
      <c r="AE709" s="1"/>
      <c r="AF709" s="1"/>
      <c r="AG709" s="1"/>
      <c r="AH709" s="1"/>
      <c r="AI709" s="1"/>
      <c r="AJ709" s="1"/>
      <c r="AK709" s="1"/>
    </row>
    <row r="710" spans="1:37" ht="12.75" customHeight="1">
      <c r="A710" s="1"/>
      <c r="B710" s="1"/>
      <c r="C710" s="1"/>
      <c r="D710" s="1"/>
      <c r="E710" s="1"/>
      <c r="F710" s="2"/>
      <c r="G710" s="2"/>
      <c r="H710" s="2"/>
      <c r="I710" s="2"/>
      <c r="J710" s="2"/>
      <c r="K710" s="2"/>
      <c r="L710" s="2"/>
      <c r="M710" s="2"/>
      <c r="N710" s="3"/>
      <c r="O710" s="3"/>
      <c r="P710" s="3"/>
      <c r="Q710" s="1"/>
      <c r="R710" s="1"/>
      <c r="S710" s="1"/>
      <c r="T710" s="1"/>
      <c r="U710" s="1"/>
      <c r="V710" s="1"/>
      <c r="W710" s="1"/>
      <c r="X710" s="1"/>
      <c r="Y710" s="1"/>
      <c r="Z710" s="1"/>
      <c r="AA710" s="1"/>
      <c r="AB710" s="1"/>
      <c r="AC710" s="1"/>
      <c r="AD710" s="1"/>
      <c r="AE710" s="1"/>
      <c r="AF710" s="1"/>
      <c r="AG710" s="1"/>
      <c r="AH710" s="1"/>
      <c r="AI710" s="1"/>
      <c r="AJ710" s="1"/>
      <c r="AK710" s="1"/>
    </row>
    <row r="711" spans="1:37" ht="12.75" customHeight="1">
      <c r="A711" s="1"/>
      <c r="B711" s="1"/>
      <c r="C711" s="1"/>
      <c r="D711" s="1"/>
      <c r="E711" s="1"/>
      <c r="F711" s="2"/>
      <c r="G711" s="2"/>
      <c r="H711" s="2"/>
      <c r="I711" s="2"/>
      <c r="J711" s="2"/>
      <c r="K711" s="2"/>
      <c r="L711" s="2"/>
      <c r="M711" s="2"/>
      <c r="N711" s="3"/>
      <c r="O711" s="3"/>
      <c r="P711" s="3"/>
      <c r="Q711" s="1"/>
      <c r="R711" s="1"/>
      <c r="S711" s="1"/>
      <c r="T711" s="1"/>
      <c r="U711" s="1"/>
      <c r="V711" s="1"/>
      <c r="W711" s="1"/>
      <c r="X711" s="1"/>
      <c r="Y711" s="1"/>
      <c r="Z711" s="1"/>
      <c r="AA711" s="1"/>
      <c r="AB711" s="1"/>
      <c r="AC711" s="1"/>
      <c r="AD711" s="1"/>
      <c r="AE711" s="1"/>
      <c r="AF711" s="1"/>
      <c r="AG711" s="1"/>
      <c r="AH711" s="1"/>
      <c r="AI711" s="1"/>
      <c r="AJ711" s="1"/>
      <c r="AK711" s="1"/>
    </row>
    <row r="712" spans="1:37" ht="12.75" customHeight="1">
      <c r="A712" s="1"/>
      <c r="B712" s="1"/>
      <c r="C712" s="1"/>
      <c r="D712" s="1"/>
      <c r="E712" s="1"/>
      <c r="F712" s="2"/>
      <c r="G712" s="2"/>
      <c r="H712" s="2"/>
      <c r="I712" s="2"/>
      <c r="J712" s="2"/>
      <c r="K712" s="2"/>
      <c r="L712" s="2"/>
      <c r="M712" s="2"/>
      <c r="N712" s="3"/>
      <c r="O712" s="3"/>
      <c r="P712" s="3"/>
      <c r="Q712" s="1"/>
      <c r="R712" s="1"/>
      <c r="S712" s="1"/>
      <c r="T712" s="1"/>
      <c r="U712" s="1"/>
      <c r="V712" s="1"/>
      <c r="W712" s="1"/>
      <c r="X712" s="1"/>
      <c r="Y712" s="1"/>
      <c r="Z712" s="1"/>
      <c r="AA712" s="1"/>
      <c r="AB712" s="1"/>
      <c r="AC712" s="1"/>
      <c r="AD712" s="1"/>
      <c r="AE712" s="1"/>
      <c r="AF712" s="1"/>
      <c r="AG712" s="1"/>
      <c r="AH712" s="1"/>
      <c r="AI712" s="1"/>
      <c r="AJ712" s="1"/>
      <c r="AK712" s="1"/>
    </row>
    <row r="713" spans="1:37" ht="12.75" customHeight="1">
      <c r="A713" s="1"/>
      <c r="B713" s="1"/>
      <c r="C713" s="1"/>
      <c r="D713" s="1"/>
      <c r="E713" s="1"/>
      <c r="F713" s="2"/>
      <c r="G713" s="2"/>
      <c r="H713" s="2"/>
      <c r="I713" s="2"/>
      <c r="J713" s="2"/>
      <c r="K713" s="2"/>
      <c r="L713" s="2"/>
      <c r="M713" s="2"/>
      <c r="N713" s="3"/>
      <c r="O713" s="3"/>
      <c r="P713" s="3"/>
      <c r="Q713" s="1"/>
      <c r="R713" s="1"/>
      <c r="S713" s="1"/>
      <c r="T713" s="1"/>
      <c r="U713" s="1"/>
      <c r="V713" s="1"/>
      <c r="W713" s="1"/>
      <c r="X713" s="1"/>
      <c r="Y713" s="1"/>
      <c r="Z713" s="1"/>
      <c r="AA713" s="1"/>
      <c r="AB713" s="1"/>
      <c r="AC713" s="1"/>
      <c r="AD713" s="1"/>
      <c r="AE713" s="1"/>
      <c r="AF713" s="1"/>
      <c r="AG713" s="1"/>
      <c r="AH713" s="1"/>
      <c r="AI713" s="1"/>
      <c r="AJ713" s="1"/>
      <c r="AK713" s="1"/>
    </row>
    <row r="714" spans="1:37" ht="12.75" customHeight="1">
      <c r="A714" s="1"/>
      <c r="B714" s="1"/>
      <c r="C714" s="1"/>
      <c r="D714" s="1"/>
      <c r="E714" s="1"/>
      <c r="F714" s="2"/>
      <c r="G714" s="2"/>
      <c r="H714" s="2"/>
      <c r="I714" s="2"/>
      <c r="J714" s="2"/>
      <c r="K714" s="2"/>
      <c r="L714" s="2"/>
      <c r="M714" s="2"/>
      <c r="N714" s="3"/>
      <c r="O714" s="3"/>
      <c r="P714" s="3"/>
      <c r="Q714" s="1"/>
      <c r="R714" s="1"/>
      <c r="S714" s="1"/>
      <c r="T714" s="1"/>
      <c r="U714" s="1"/>
      <c r="V714" s="1"/>
      <c r="W714" s="1"/>
      <c r="X714" s="1"/>
      <c r="Y714" s="1"/>
      <c r="Z714" s="1"/>
      <c r="AA714" s="1"/>
      <c r="AB714" s="1"/>
      <c r="AC714" s="1"/>
      <c r="AD714" s="1"/>
      <c r="AE714" s="1"/>
      <c r="AF714" s="1"/>
      <c r="AG714" s="1"/>
      <c r="AH714" s="1"/>
      <c r="AI714" s="1"/>
      <c r="AJ714" s="1"/>
      <c r="AK714" s="1"/>
    </row>
    <row r="715" spans="1:37" ht="12.75" customHeight="1">
      <c r="A715" s="1"/>
      <c r="B715" s="1"/>
      <c r="C715" s="1"/>
      <c r="D715" s="1"/>
      <c r="E715" s="1"/>
      <c r="F715" s="2"/>
      <c r="G715" s="2"/>
      <c r="H715" s="2"/>
      <c r="I715" s="2"/>
      <c r="J715" s="2"/>
      <c r="K715" s="2"/>
      <c r="L715" s="2"/>
      <c r="M715" s="2"/>
      <c r="N715" s="3"/>
      <c r="O715" s="3"/>
      <c r="P715" s="3"/>
      <c r="Q715" s="1"/>
      <c r="R715" s="1"/>
      <c r="S715" s="1"/>
      <c r="T715" s="1"/>
      <c r="U715" s="1"/>
      <c r="V715" s="1"/>
      <c r="W715" s="1"/>
      <c r="X715" s="1"/>
      <c r="Y715" s="1"/>
      <c r="Z715" s="1"/>
      <c r="AA715" s="1"/>
      <c r="AB715" s="1"/>
      <c r="AC715" s="1"/>
      <c r="AD715" s="1"/>
      <c r="AE715" s="1"/>
      <c r="AF715" s="1"/>
      <c r="AG715" s="1"/>
      <c r="AH715" s="1"/>
      <c r="AI715" s="1"/>
      <c r="AJ715" s="1"/>
      <c r="AK715" s="1"/>
    </row>
    <row r="716" spans="1:37" ht="12.75" customHeight="1">
      <c r="A716" s="1"/>
      <c r="B716" s="1"/>
      <c r="C716" s="1"/>
      <c r="D716" s="1"/>
      <c r="E716" s="1"/>
      <c r="F716" s="2"/>
      <c r="G716" s="2"/>
      <c r="H716" s="2"/>
      <c r="I716" s="2"/>
      <c r="J716" s="2"/>
      <c r="K716" s="2"/>
      <c r="L716" s="2"/>
      <c r="M716" s="2"/>
      <c r="N716" s="3"/>
      <c r="O716" s="3"/>
      <c r="P716" s="3"/>
      <c r="Q716" s="1"/>
      <c r="R716" s="1"/>
      <c r="S716" s="1"/>
      <c r="T716" s="1"/>
      <c r="U716" s="1"/>
      <c r="V716" s="1"/>
      <c r="W716" s="1"/>
      <c r="X716" s="1"/>
      <c r="Y716" s="1"/>
      <c r="Z716" s="1"/>
      <c r="AA716" s="1"/>
      <c r="AB716" s="1"/>
      <c r="AC716" s="1"/>
      <c r="AD716" s="1"/>
      <c r="AE716" s="1"/>
      <c r="AF716" s="1"/>
      <c r="AG716" s="1"/>
      <c r="AH716" s="1"/>
      <c r="AI716" s="1"/>
      <c r="AJ716" s="1"/>
      <c r="AK716" s="1"/>
    </row>
    <row r="717" spans="1:37" ht="12.75" customHeight="1">
      <c r="A717" s="1"/>
      <c r="B717" s="1"/>
      <c r="C717" s="1"/>
      <c r="D717" s="1"/>
      <c r="E717" s="1"/>
      <c r="F717" s="2"/>
      <c r="G717" s="2"/>
      <c r="H717" s="2"/>
      <c r="I717" s="2"/>
      <c r="J717" s="2"/>
      <c r="K717" s="2"/>
      <c r="L717" s="2"/>
      <c r="M717" s="2"/>
      <c r="N717" s="3"/>
      <c r="O717" s="3"/>
      <c r="P717" s="3"/>
      <c r="Q717" s="1"/>
      <c r="R717" s="1"/>
      <c r="S717" s="1"/>
      <c r="T717" s="1"/>
      <c r="U717" s="1"/>
      <c r="V717" s="1"/>
      <c r="W717" s="1"/>
      <c r="X717" s="1"/>
      <c r="Y717" s="1"/>
      <c r="Z717" s="1"/>
      <c r="AA717" s="1"/>
      <c r="AB717" s="1"/>
      <c r="AC717" s="1"/>
      <c r="AD717" s="1"/>
      <c r="AE717" s="1"/>
      <c r="AF717" s="1"/>
      <c r="AG717" s="1"/>
      <c r="AH717" s="1"/>
      <c r="AI717" s="1"/>
      <c r="AJ717" s="1"/>
      <c r="AK717" s="1"/>
    </row>
    <row r="718" spans="1:37" ht="12.75" customHeight="1">
      <c r="A718" s="1"/>
      <c r="B718" s="1"/>
      <c r="C718" s="1"/>
      <c r="D718" s="1"/>
      <c r="E718" s="1"/>
      <c r="F718" s="2"/>
      <c r="G718" s="2"/>
      <c r="H718" s="2"/>
      <c r="I718" s="2"/>
      <c r="J718" s="2"/>
      <c r="K718" s="2"/>
      <c r="L718" s="2"/>
      <c r="M718" s="2"/>
      <c r="N718" s="3"/>
      <c r="O718" s="3"/>
      <c r="P718" s="3"/>
      <c r="Q718" s="1"/>
      <c r="R718" s="1"/>
      <c r="S718" s="1"/>
      <c r="T718" s="1"/>
      <c r="U718" s="1"/>
      <c r="V718" s="1"/>
      <c r="W718" s="1"/>
      <c r="X718" s="1"/>
      <c r="Y718" s="1"/>
      <c r="Z718" s="1"/>
      <c r="AA718" s="1"/>
      <c r="AB718" s="1"/>
      <c r="AC718" s="1"/>
      <c r="AD718" s="1"/>
      <c r="AE718" s="1"/>
      <c r="AF718" s="1"/>
      <c r="AG718" s="1"/>
      <c r="AH718" s="1"/>
      <c r="AI718" s="1"/>
      <c r="AJ718" s="1"/>
      <c r="AK718" s="1"/>
    </row>
    <row r="719" spans="1:37" ht="12.75" customHeight="1">
      <c r="A719" s="1"/>
      <c r="B719" s="1"/>
      <c r="C719" s="1"/>
      <c r="D719" s="1"/>
      <c r="E719" s="1"/>
      <c r="F719" s="2"/>
      <c r="G719" s="2"/>
      <c r="H719" s="2"/>
      <c r="I719" s="2"/>
      <c r="J719" s="2"/>
      <c r="K719" s="2"/>
      <c r="L719" s="2"/>
      <c r="M719" s="2"/>
      <c r="N719" s="3"/>
      <c r="O719" s="3"/>
      <c r="P719" s="3"/>
      <c r="Q719" s="1"/>
      <c r="R719" s="1"/>
      <c r="S719" s="1"/>
      <c r="T719" s="1"/>
      <c r="U719" s="1"/>
      <c r="V719" s="1"/>
      <c r="W719" s="1"/>
      <c r="X719" s="1"/>
      <c r="Y719" s="1"/>
      <c r="Z719" s="1"/>
      <c r="AA719" s="1"/>
      <c r="AB719" s="1"/>
      <c r="AC719" s="1"/>
      <c r="AD719" s="1"/>
      <c r="AE719" s="1"/>
      <c r="AF719" s="1"/>
      <c r="AG719" s="1"/>
      <c r="AH719" s="1"/>
      <c r="AI719" s="1"/>
      <c r="AJ719" s="1"/>
      <c r="AK719" s="1"/>
    </row>
    <row r="720" spans="1:37" ht="12.75" customHeight="1">
      <c r="A720" s="1"/>
      <c r="B720" s="1"/>
      <c r="C720" s="1"/>
      <c r="D720" s="1"/>
      <c r="E720" s="1"/>
      <c r="F720" s="2"/>
      <c r="G720" s="2"/>
      <c r="H720" s="2"/>
      <c r="I720" s="2"/>
      <c r="J720" s="2"/>
      <c r="K720" s="2"/>
      <c r="L720" s="2"/>
      <c r="M720" s="2"/>
      <c r="N720" s="3"/>
      <c r="O720" s="3"/>
      <c r="P720" s="3"/>
      <c r="Q720" s="1"/>
      <c r="R720" s="1"/>
      <c r="S720" s="1"/>
      <c r="T720" s="1"/>
      <c r="U720" s="1"/>
      <c r="V720" s="1"/>
      <c r="W720" s="1"/>
      <c r="X720" s="1"/>
      <c r="Y720" s="1"/>
      <c r="Z720" s="1"/>
      <c r="AA720" s="1"/>
      <c r="AB720" s="1"/>
      <c r="AC720" s="1"/>
      <c r="AD720" s="1"/>
      <c r="AE720" s="1"/>
      <c r="AF720" s="1"/>
      <c r="AG720" s="1"/>
      <c r="AH720" s="1"/>
      <c r="AI720" s="1"/>
      <c r="AJ720" s="1"/>
      <c r="AK720" s="1"/>
    </row>
    <row r="721" spans="1:37" ht="12.75" customHeight="1">
      <c r="A721" s="1"/>
      <c r="B721" s="1"/>
      <c r="C721" s="1"/>
      <c r="D721" s="1"/>
      <c r="E721" s="1"/>
      <c r="F721" s="2"/>
      <c r="G721" s="2"/>
      <c r="H721" s="2"/>
      <c r="I721" s="2"/>
      <c r="J721" s="2"/>
      <c r="K721" s="2"/>
      <c r="L721" s="2"/>
      <c r="M721" s="2"/>
      <c r="N721" s="3"/>
      <c r="O721" s="3"/>
      <c r="P721" s="3"/>
      <c r="Q721" s="1"/>
      <c r="R721" s="1"/>
      <c r="S721" s="1"/>
      <c r="T721" s="1"/>
      <c r="U721" s="1"/>
      <c r="V721" s="1"/>
      <c r="W721" s="1"/>
      <c r="X721" s="1"/>
      <c r="Y721" s="1"/>
      <c r="Z721" s="1"/>
      <c r="AA721" s="1"/>
      <c r="AB721" s="1"/>
      <c r="AC721" s="1"/>
      <c r="AD721" s="1"/>
      <c r="AE721" s="1"/>
      <c r="AF721" s="1"/>
      <c r="AG721" s="1"/>
      <c r="AH721" s="1"/>
      <c r="AI721" s="1"/>
      <c r="AJ721" s="1"/>
      <c r="AK721" s="1"/>
    </row>
    <row r="722" spans="1:37" ht="12.75" customHeight="1">
      <c r="A722" s="1"/>
      <c r="B722" s="1"/>
      <c r="C722" s="1"/>
      <c r="D722" s="1"/>
      <c r="E722" s="1"/>
      <c r="F722" s="2"/>
      <c r="G722" s="2"/>
      <c r="H722" s="2"/>
      <c r="I722" s="2"/>
      <c r="J722" s="2"/>
      <c r="K722" s="2"/>
      <c r="L722" s="2"/>
      <c r="M722" s="2"/>
      <c r="N722" s="3"/>
      <c r="O722" s="3"/>
      <c r="P722" s="3"/>
      <c r="Q722" s="1"/>
      <c r="R722" s="1"/>
      <c r="S722" s="1"/>
      <c r="T722" s="1"/>
      <c r="U722" s="1"/>
      <c r="V722" s="1"/>
      <c r="W722" s="1"/>
      <c r="X722" s="1"/>
      <c r="Y722" s="1"/>
      <c r="Z722" s="1"/>
      <c r="AA722" s="1"/>
      <c r="AB722" s="1"/>
      <c r="AC722" s="1"/>
      <c r="AD722" s="1"/>
      <c r="AE722" s="1"/>
      <c r="AF722" s="1"/>
      <c r="AG722" s="1"/>
      <c r="AH722" s="1"/>
      <c r="AI722" s="1"/>
      <c r="AJ722" s="1"/>
      <c r="AK722" s="1"/>
    </row>
    <row r="723" spans="1:37" ht="12.75" customHeight="1">
      <c r="A723" s="1"/>
      <c r="B723" s="1"/>
      <c r="C723" s="1"/>
      <c r="D723" s="1"/>
      <c r="E723" s="1"/>
      <c r="F723" s="2"/>
      <c r="G723" s="2"/>
      <c r="H723" s="2"/>
      <c r="I723" s="2"/>
      <c r="J723" s="2"/>
      <c r="K723" s="2"/>
      <c r="L723" s="2"/>
      <c r="M723" s="2"/>
      <c r="N723" s="3"/>
      <c r="O723" s="3"/>
      <c r="P723" s="3"/>
      <c r="Q723" s="1"/>
      <c r="R723" s="1"/>
      <c r="S723" s="1"/>
      <c r="T723" s="1"/>
      <c r="U723" s="1"/>
      <c r="V723" s="1"/>
      <c r="W723" s="1"/>
      <c r="X723" s="1"/>
      <c r="Y723" s="1"/>
      <c r="Z723" s="1"/>
      <c r="AA723" s="1"/>
      <c r="AB723" s="1"/>
      <c r="AC723" s="1"/>
      <c r="AD723" s="1"/>
      <c r="AE723" s="1"/>
      <c r="AF723" s="1"/>
      <c r="AG723" s="1"/>
      <c r="AH723" s="1"/>
      <c r="AI723" s="1"/>
      <c r="AJ723" s="1"/>
      <c r="AK723" s="1"/>
    </row>
    <row r="724" spans="1:37" ht="12.75" customHeight="1">
      <c r="A724" s="1"/>
      <c r="B724" s="1"/>
      <c r="C724" s="1"/>
      <c r="D724" s="1"/>
      <c r="E724" s="1"/>
      <c r="F724" s="2"/>
      <c r="G724" s="2"/>
      <c r="H724" s="2"/>
      <c r="I724" s="2"/>
      <c r="J724" s="2"/>
      <c r="K724" s="2"/>
      <c r="L724" s="2"/>
      <c r="M724" s="2"/>
      <c r="N724" s="3"/>
      <c r="O724" s="3"/>
      <c r="P724" s="3"/>
      <c r="Q724" s="1"/>
      <c r="R724" s="1"/>
      <c r="S724" s="1"/>
      <c r="T724" s="1"/>
      <c r="U724" s="1"/>
      <c r="V724" s="1"/>
      <c r="W724" s="1"/>
      <c r="X724" s="1"/>
      <c r="Y724" s="1"/>
      <c r="Z724" s="1"/>
      <c r="AA724" s="1"/>
      <c r="AB724" s="1"/>
      <c r="AC724" s="1"/>
      <c r="AD724" s="1"/>
      <c r="AE724" s="1"/>
      <c r="AF724" s="1"/>
      <c r="AG724" s="1"/>
      <c r="AH724" s="1"/>
      <c r="AI724" s="1"/>
      <c r="AJ724" s="1"/>
      <c r="AK724" s="1"/>
    </row>
    <row r="725" spans="1:37" ht="12.75" customHeight="1">
      <c r="A725" s="1"/>
      <c r="B725" s="1"/>
      <c r="C725" s="1"/>
      <c r="D725" s="1"/>
      <c r="E725" s="1"/>
      <c r="F725" s="2"/>
      <c r="G725" s="2"/>
      <c r="H725" s="2"/>
      <c r="I725" s="2"/>
      <c r="J725" s="2"/>
      <c r="K725" s="2"/>
      <c r="L725" s="2"/>
      <c r="M725" s="2"/>
      <c r="N725" s="3"/>
      <c r="O725" s="3"/>
      <c r="P725" s="3"/>
      <c r="Q725" s="1"/>
      <c r="R725" s="1"/>
      <c r="S725" s="1"/>
      <c r="T725" s="1"/>
      <c r="U725" s="1"/>
      <c r="V725" s="1"/>
      <c r="W725" s="1"/>
      <c r="X725" s="1"/>
      <c r="Y725" s="1"/>
      <c r="Z725" s="1"/>
      <c r="AA725" s="1"/>
      <c r="AB725" s="1"/>
      <c r="AC725" s="1"/>
      <c r="AD725" s="1"/>
      <c r="AE725" s="1"/>
      <c r="AF725" s="1"/>
      <c r="AG725" s="1"/>
      <c r="AH725" s="1"/>
      <c r="AI725" s="1"/>
      <c r="AJ725" s="1"/>
      <c r="AK725" s="1"/>
    </row>
    <row r="726" spans="1:37" ht="12.75" customHeight="1">
      <c r="A726" s="1"/>
      <c r="B726" s="1"/>
      <c r="C726" s="1"/>
      <c r="D726" s="1"/>
      <c r="E726" s="1"/>
      <c r="F726" s="2"/>
      <c r="G726" s="2"/>
      <c r="H726" s="2"/>
      <c r="I726" s="2"/>
      <c r="J726" s="2"/>
      <c r="K726" s="2"/>
      <c r="L726" s="2"/>
      <c r="M726" s="2"/>
      <c r="N726" s="3"/>
      <c r="O726" s="3"/>
      <c r="P726" s="3"/>
      <c r="Q726" s="1"/>
      <c r="R726" s="1"/>
      <c r="S726" s="1"/>
      <c r="T726" s="1"/>
      <c r="U726" s="1"/>
      <c r="V726" s="1"/>
      <c r="W726" s="1"/>
      <c r="X726" s="1"/>
      <c r="Y726" s="1"/>
      <c r="Z726" s="1"/>
      <c r="AA726" s="1"/>
      <c r="AB726" s="1"/>
      <c r="AC726" s="1"/>
      <c r="AD726" s="1"/>
      <c r="AE726" s="1"/>
      <c r="AF726" s="1"/>
      <c r="AG726" s="1"/>
      <c r="AH726" s="1"/>
      <c r="AI726" s="1"/>
      <c r="AJ726" s="1"/>
      <c r="AK726" s="1"/>
    </row>
    <row r="727" spans="1:37" ht="12.75" customHeight="1">
      <c r="A727" s="1"/>
      <c r="B727" s="1"/>
      <c r="C727" s="1"/>
      <c r="D727" s="1"/>
      <c r="E727" s="1"/>
      <c r="F727" s="2"/>
      <c r="G727" s="2"/>
      <c r="H727" s="2"/>
      <c r="I727" s="2"/>
      <c r="J727" s="2"/>
      <c r="K727" s="2"/>
      <c r="L727" s="2"/>
      <c r="M727" s="2"/>
      <c r="N727" s="3"/>
      <c r="O727" s="3"/>
      <c r="P727" s="3"/>
      <c r="Q727" s="1"/>
      <c r="R727" s="1"/>
      <c r="S727" s="1"/>
      <c r="T727" s="1"/>
      <c r="U727" s="1"/>
      <c r="V727" s="1"/>
      <c r="W727" s="1"/>
      <c r="X727" s="1"/>
      <c r="Y727" s="1"/>
      <c r="Z727" s="1"/>
      <c r="AA727" s="1"/>
      <c r="AB727" s="1"/>
      <c r="AC727" s="1"/>
      <c r="AD727" s="1"/>
      <c r="AE727" s="1"/>
      <c r="AF727" s="1"/>
      <c r="AG727" s="1"/>
      <c r="AH727" s="1"/>
      <c r="AI727" s="1"/>
      <c r="AJ727" s="1"/>
      <c r="AK727" s="1"/>
    </row>
    <row r="728" spans="1:37" ht="12.75" customHeight="1">
      <c r="A728" s="1"/>
      <c r="B728" s="1"/>
      <c r="C728" s="1"/>
      <c r="D728" s="1"/>
      <c r="E728" s="1"/>
      <c r="F728" s="2"/>
      <c r="G728" s="2"/>
      <c r="H728" s="2"/>
      <c r="I728" s="2"/>
      <c r="J728" s="2"/>
      <c r="K728" s="2"/>
      <c r="L728" s="2"/>
      <c r="M728" s="2"/>
      <c r="N728" s="3"/>
      <c r="O728" s="3"/>
      <c r="P728" s="3"/>
      <c r="Q728" s="1"/>
      <c r="R728" s="1"/>
      <c r="S728" s="1"/>
      <c r="T728" s="1"/>
      <c r="U728" s="1"/>
      <c r="V728" s="1"/>
      <c r="W728" s="1"/>
      <c r="X728" s="1"/>
      <c r="Y728" s="1"/>
      <c r="Z728" s="1"/>
      <c r="AA728" s="1"/>
      <c r="AB728" s="1"/>
      <c r="AC728" s="1"/>
      <c r="AD728" s="1"/>
      <c r="AE728" s="1"/>
      <c r="AF728" s="1"/>
      <c r="AG728" s="1"/>
      <c r="AH728" s="1"/>
      <c r="AI728" s="1"/>
      <c r="AJ728" s="1"/>
      <c r="AK728" s="1"/>
    </row>
    <row r="729" spans="1:37" ht="12.75" customHeight="1">
      <c r="A729" s="1"/>
      <c r="B729" s="1"/>
      <c r="C729" s="1"/>
      <c r="D729" s="1"/>
      <c r="E729" s="1"/>
      <c r="F729" s="2"/>
      <c r="G729" s="2"/>
      <c r="H729" s="2"/>
      <c r="I729" s="2"/>
      <c r="J729" s="2"/>
      <c r="K729" s="2"/>
      <c r="L729" s="2"/>
      <c r="M729" s="2"/>
      <c r="N729" s="3"/>
      <c r="O729" s="3"/>
      <c r="P729" s="3"/>
      <c r="Q729" s="1"/>
      <c r="R729" s="1"/>
      <c r="S729" s="1"/>
      <c r="T729" s="1"/>
      <c r="U729" s="1"/>
      <c r="V729" s="1"/>
      <c r="W729" s="1"/>
      <c r="X729" s="1"/>
      <c r="Y729" s="1"/>
      <c r="Z729" s="1"/>
      <c r="AA729" s="1"/>
      <c r="AB729" s="1"/>
      <c r="AC729" s="1"/>
      <c r="AD729" s="1"/>
      <c r="AE729" s="1"/>
      <c r="AF729" s="1"/>
      <c r="AG729" s="1"/>
      <c r="AH729" s="1"/>
      <c r="AI729" s="1"/>
      <c r="AJ729" s="1"/>
      <c r="AK729" s="1"/>
    </row>
    <row r="730" spans="1:37" ht="12.75" customHeight="1">
      <c r="A730" s="1"/>
      <c r="B730" s="1"/>
      <c r="C730" s="1"/>
      <c r="D730" s="1"/>
      <c r="E730" s="1"/>
      <c r="F730" s="2"/>
      <c r="G730" s="2"/>
      <c r="H730" s="2"/>
      <c r="I730" s="2"/>
      <c r="J730" s="2"/>
      <c r="K730" s="2"/>
      <c r="L730" s="2"/>
      <c r="M730" s="2"/>
      <c r="N730" s="3"/>
      <c r="O730" s="3"/>
      <c r="P730" s="3"/>
      <c r="Q730" s="1"/>
      <c r="R730" s="1"/>
      <c r="S730" s="1"/>
      <c r="T730" s="1"/>
      <c r="U730" s="1"/>
      <c r="V730" s="1"/>
      <c r="W730" s="1"/>
      <c r="X730" s="1"/>
      <c r="Y730" s="1"/>
      <c r="Z730" s="1"/>
      <c r="AA730" s="1"/>
      <c r="AB730" s="1"/>
      <c r="AC730" s="1"/>
      <c r="AD730" s="1"/>
      <c r="AE730" s="1"/>
      <c r="AF730" s="1"/>
      <c r="AG730" s="1"/>
      <c r="AH730" s="1"/>
      <c r="AI730" s="1"/>
      <c r="AJ730" s="1"/>
      <c r="AK730" s="1"/>
    </row>
    <row r="731" spans="1:37" ht="12.75" customHeight="1">
      <c r="A731" s="1"/>
      <c r="B731" s="1"/>
      <c r="C731" s="1"/>
      <c r="D731" s="1"/>
      <c r="E731" s="1"/>
      <c r="F731" s="2"/>
      <c r="G731" s="2"/>
      <c r="H731" s="2"/>
      <c r="I731" s="2"/>
      <c r="J731" s="2"/>
      <c r="K731" s="2"/>
      <c r="L731" s="2"/>
      <c r="M731" s="2"/>
      <c r="N731" s="3"/>
      <c r="O731" s="3"/>
      <c r="P731" s="3"/>
      <c r="Q731" s="1"/>
      <c r="R731" s="1"/>
      <c r="S731" s="1"/>
      <c r="T731" s="1"/>
      <c r="U731" s="1"/>
      <c r="V731" s="1"/>
      <c r="W731" s="1"/>
      <c r="X731" s="1"/>
      <c r="Y731" s="1"/>
      <c r="Z731" s="1"/>
      <c r="AA731" s="1"/>
      <c r="AB731" s="1"/>
      <c r="AC731" s="1"/>
      <c r="AD731" s="1"/>
      <c r="AE731" s="1"/>
      <c r="AF731" s="1"/>
      <c r="AG731" s="1"/>
      <c r="AH731" s="1"/>
      <c r="AI731" s="1"/>
      <c r="AJ731" s="1"/>
      <c r="AK731" s="1"/>
    </row>
    <row r="732" spans="1:37" ht="12.75" customHeight="1">
      <c r="A732" s="1"/>
      <c r="B732" s="1"/>
      <c r="C732" s="1"/>
      <c r="D732" s="1"/>
      <c r="E732" s="1"/>
      <c r="F732" s="2"/>
      <c r="G732" s="2"/>
      <c r="H732" s="2"/>
      <c r="I732" s="2"/>
      <c r="J732" s="2"/>
      <c r="K732" s="2"/>
      <c r="L732" s="2"/>
      <c r="M732" s="2"/>
      <c r="N732" s="3"/>
      <c r="O732" s="3"/>
      <c r="P732" s="3"/>
      <c r="Q732" s="1"/>
      <c r="R732" s="1"/>
      <c r="S732" s="1"/>
      <c r="T732" s="1"/>
      <c r="U732" s="1"/>
      <c r="V732" s="1"/>
      <c r="W732" s="1"/>
      <c r="X732" s="1"/>
      <c r="Y732" s="1"/>
      <c r="Z732" s="1"/>
      <c r="AA732" s="1"/>
      <c r="AB732" s="1"/>
      <c r="AC732" s="1"/>
      <c r="AD732" s="1"/>
      <c r="AE732" s="1"/>
      <c r="AF732" s="1"/>
      <c r="AG732" s="1"/>
      <c r="AH732" s="1"/>
      <c r="AI732" s="1"/>
      <c r="AJ732" s="1"/>
      <c r="AK732" s="1"/>
    </row>
    <row r="733" spans="1:37" ht="12.75" customHeight="1">
      <c r="A733" s="1"/>
      <c r="B733" s="1"/>
      <c r="C733" s="1"/>
      <c r="D733" s="1"/>
      <c r="E733" s="1"/>
      <c r="F733" s="2"/>
      <c r="G733" s="2"/>
      <c r="H733" s="2"/>
      <c r="I733" s="2"/>
      <c r="J733" s="2"/>
      <c r="K733" s="2"/>
      <c r="L733" s="2"/>
      <c r="M733" s="2"/>
      <c r="N733" s="3"/>
      <c r="O733" s="3"/>
      <c r="P733" s="3"/>
      <c r="Q733" s="1"/>
      <c r="R733" s="1"/>
      <c r="S733" s="1"/>
      <c r="T733" s="1"/>
      <c r="U733" s="1"/>
      <c r="V733" s="1"/>
      <c r="W733" s="1"/>
      <c r="X733" s="1"/>
      <c r="Y733" s="1"/>
      <c r="Z733" s="1"/>
      <c r="AA733" s="1"/>
      <c r="AB733" s="1"/>
      <c r="AC733" s="1"/>
      <c r="AD733" s="1"/>
      <c r="AE733" s="1"/>
      <c r="AF733" s="1"/>
      <c r="AG733" s="1"/>
      <c r="AH733" s="1"/>
      <c r="AI733" s="1"/>
      <c r="AJ733" s="1"/>
      <c r="AK733" s="1"/>
    </row>
    <row r="734" spans="1:37" ht="12.75" customHeight="1">
      <c r="A734" s="1"/>
      <c r="B734" s="1"/>
      <c r="C734" s="1"/>
      <c r="D734" s="1"/>
      <c r="E734" s="1"/>
      <c r="F734" s="2"/>
      <c r="G734" s="2"/>
      <c r="H734" s="2"/>
      <c r="I734" s="2"/>
      <c r="J734" s="2"/>
      <c r="K734" s="2"/>
      <c r="L734" s="2"/>
      <c r="M734" s="2"/>
      <c r="N734" s="3"/>
      <c r="O734" s="3"/>
      <c r="P734" s="3"/>
      <c r="Q734" s="1"/>
      <c r="R734" s="1"/>
      <c r="S734" s="1"/>
      <c r="T734" s="1"/>
      <c r="U734" s="1"/>
      <c r="V734" s="1"/>
      <c r="W734" s="1"/>
      <c r="X734" s="1"/>
      <c r="Y734" s="1"/>
      <c r="Z734" s="1"/>
      <c r="AA734" s="1"/>
      <c r="AB734" s="1"/>
      <c r="AC734" s="1"/>
      <c r="AD734" s="1"/>
      <c r="AE734" s="1"/>
      <c r="AF734" s="1"/>
      <c r="AG734" s="1"/>
      <c r="AH734" s="1"/>
      <c r="AI734" s="1"/>
      <c r="AJ734" s="1"/>
      <c r="AK734" s="1"/>
    </row>
    <row r="735" spans="1:37" ht="12.75" customHeight="1">
      <c r="A735" s="1"/>
      <c r="B735" s="1"/>
      <c r="C735" s="1"/>
      <c r="D735" s="1"/>
      <c r="E735" s="1"/>
      <c r="F735" s="2"/>
      <c r="G735" s="2"/>
      <c r="H735" s="2"/>
      <c r="I735" s="2"/>
      <c r="J735" s="2"/>
      <c r="K735" s="2"/>
      <c r="L735" s="2"/>
      <c r="M735" s="2"/>
      <c r="N735" s="3"/>
      <c r="O735" s="3"/>
      <c r="P735" s="3"/>
      <c r="Q735" s="1"/>
      <c r="R735" s="1"/>
      <c r="S735" s="1"/>
      <c r="T735" s="1"/>
      <c r="U735" s="1"/>
      <c r="V735" s="1"/>
      <c r="W735" s="1"/>
      <c r="X735" s="1"/>
      <c r="Y735" s="1"/>
      <c r="Z735" s="1"/>
      <c r="AA735" s="1"/>
      <c r="AB735" s="1"/>
      <c r="AC735" s="1"/>
      <c r="AD735" s="1"/>
      <c r="AE735" s="1"/>
      <c r="AF735" s="1"/>
      <c r="AG735" s="1"/>
      <c r="AH735" s="1"/>
      <c r="AI735" s="1"/>
      <c r="AJ735" s="1"/>
      <c r="AK735" s="1"/>
    </row>
    <row r="736" spans="1:37" ht="12.75" customHeight="1">
      <c r="A736" s="1"/>
      <c r="B736" s="1"/>
      <c r="C736" s="1"/>
      <c r="D736" s="1"/>
      <c r="E736" s="1"/>
      <c r="F736" s="2"/>
      <c r="G736" s="2"/>
      <c r="H736" s="2"/>
      <c r="I736" s="2"/>
      <c r="J736" s="2"/>
      <c r="K736" s="2"/>
      <c r="L736" s="2"/>
      <c r="M736" s="2"/>
      <c r="N736" s="3"/>
      <c r="O736" s="3"/>
      <c r="P736" s="3"/>
      <c r="Q736" s="1"/>
      <c r="R736" s="1"/>
      <c r="S736" s="1"/>
      <c r="T736" s="1"/>
      <c r="U736" s="1"/>
      <c r="V736" s="1"/>
      <c r="W736" s="1"/>
      <c r="X736" s="1"/>
      <c r="Y736" s="1"/>
      <c r="Z736" s="1"/>
      <c r="AA736" s="1"/>
      <c r="AB736" s="1"/>
      <c r="AC736" s="1"/>
      <c r="AD736" s="1"/>
      <c r="AE736" s="1"/>
      <c r="AF736" s="1"/>
      <c r="AG736" s="1"/>
      <c r="AH736" s="1"/>
      <c r="AI736" s="1"/>
      <c r="AJ736" s="1"/>
      <c r="AK736" s="1"/>
    </row>
    <row r="737" spans="1:37" ht="12.75" customHeight="1">
      <c r="A737" s="1"/>
      <c r="B737" s="1"/>
      <c r="C737" s="1"/>
      <c r="D737" s="1"/>
      <c r="E737" s="1"/>
      <c r="F737" s="2"/>
      <c r="G737" s="2"/>
      <c r="H737" s="2"/>
      <c r="I737" s="2"/>
      <c r="J737" s="2"/>
      <c r="K737" s="2"/>
      <c r="L737" s="2"/>
      <c r="M737" s="2"/>
      <c r="N737" s="3"/>
      <c r="O737" s="3"/>
      <c r="P737" s="3"/>
      <c r="Q737" s="1"/>
      <c r="R737" s="1"/>
      <c r="S737" s="1"/>
      <c r="T737" s="1"/>
      <c r="U737" s="1"/>
      <c r="V737" s="1"/>
      <c r="W737" s="1"/>
      <c r="X737" s="1"/>
      <c r="Y737" s="1"/>
      <c r="Z737" s="1"/>
      <c r="AA737" s="1"/>
      <c r="AB737" s="1"/>
      <c r="AC737" s="1"/>
      <c r="AD737" s="1"/>
      <c r="AE737" s="1"/>
      <c r="AF737" s="1"/>
      <c r="AG737" s="1"/>
      <c r="AH737" s="1"/>
      <c r="AI737" s="1"/>
      <c r="AJ737" s="1"/>
      <c r="AK737" s="1"/>
    </row>
    <row r="738" spans="1:37" ht="12.75" customHeight="1">
      <c r="A738" s="1"/>
      <c r="B738" s="1"/>
      <c r="C738" s="1"/>
      <c r="D738" s="1"/>
      <c r="E738" s="1"/>
      <c r="F738" s="2"/>
      <c r="G738" s="2"/>
      <c r="H738" s="2"/>
      <c r="I738" s="2"/>
      <c r="J738" s="2"/>
      <c r="K738" s="2"/>
      <c r="L738" s="2"/>
      <c r="M738" s="2"/>
      <c r="N738" s="3"/>
      <c r="O738" s="3"/>
      <c r="P738" s="3"/>
      <c r="Q738" s="1"/>
      <c r="R738" s="1"/>
      <c r="S738" s="1"/>
      <c r="T738" s="1"/>
      <c r="U738" s="1"/>
      <c r="V738" s="1"/>
      <c r="W738" s="1"/>
      <c r="X738" s="1"/>
      <c r="Y738" s="1"/>
      <c r="Z738" s="1"/>
      <c r="AA738" s="1"/>
      <c r="AB738" s="1"/>
      <c r="AC738" s="1"/>
      <c r="AD738" s="1"/>
      <c r="AE738" s="1"/>
      <c r="AF738" s="1"/>
      <c r="AG738" s="1"/>
      <c r="AH738" s="1"/>
      <c r="AI738" s="1"/>
      <c r="AJ738" s="1"/>
      <c r="AK738" s="1"/>
    </row>
    <row r="739" spans="1:37" ht="12.75" customHeight="1">
      <c r="A739" s="1"/>
      <c r="B739" s="1"/>
      <c r="C739" s="1"/>
      <c r="D739" s="1"/>
      <c r="E739" s="1"/>
      <c r="F739" s="2"/>
      <c r="G739" s="2"/>
      <c r="H739" s="2"/>
      <c r="I739" s="2"/>
      <c r="J739" s="2"/>
      <c r="K739" s="2"/>
      <c r="L739" s="2"/>
      <c r="M739" s="2"/>
      <c r="N739" s="3"/>
      <c r="O739" s="3"/>
      <c r="P739" s="3"/>
      <c r="Q739" s="1"/>
      <c r="R739" s="1"/>
      <c r="S739" s="1"/>
      <c r="T739" s="1"/>
      <c r="U739" s="1"/>
      <c r="V739" s="1"/>
      <c r="W739" s="1"/>
      <c r="X739" s="1"/>
      <c r="Y739" s="1"/>
      <c r="Z739" s="1"/>
      <c r="AA739" s="1"/>
      <c r="AB739" s="1"/>
      <c r="AC739" s="1"/>
      <c r="AD739" s="1"/>
      <c r="AE739" s="1"/>
      <c r="AF739" s="1"/>
      <c r="AG739" s="1"/>
      <c r="AH739" s="1"/>
      <c r="AI739" s="1"/>
      <c r="AJ739" s="1"/>
      <c r="AK739" s="1"/>
    </row>
    <row r="740" spans="1:37" ht="12.75" customHeight="1">
      <c r="A740" s="1"/>
      <c r="B740" s="1"/>
      <c r="C740" s="1"/>
      <c r="D740" s="1"/>
      <c r="E740" s="1"/>
      <c r="F740" s="2"/>
      <c r="G740" s="2"/>
      <c r="H740" s="2"/>
      <c r="I740" s="2"/>
      <c r="J740" s="2"/>
      <c r="K740" s="2"/>
      <c r="L740" s="2"/>
      <c r="M740" s="2"/>
      <c r="N740" s="3"/>
      <c r="O740" s="3"/>
      <c r="P740" s="3"/>
      <c r="Q740" s="1"/>
      <c r="R740" s="1"/>
      <c r="S740" s="1"/>
      <c r="T740" s="1"/>
      <c r="U740" s="1"/>
      <c r="V740" s="1"/>
      <c r="W740" s="1"/>
      <c r="X740" s="1"/>
      <c r="Y740" s="1"/>
      <c r="Z740" s="1"/>
      <c r="AA740" s="1"/>
      <c r="AB740" s="1"/>
      <c r="AC740" s="1"/>
      <c r="AD740" s="1"/>
      <c r="AE740" s="1"/>
      <c r="AF740" s="1"/>
      <c r="AG740" s="1"/>
      <c r="AH740" s="1"/>
      <c r="AI740" s="1"/>
      <c r="AJ740" s="1"/>
      <c r="AK740" s="1"/>
    </row>
    <row r="741" spans="1:37" ht="12.75" customHeight="1">
      <c r="A741" s="1"/>
      <c r="B741" s="1"/>
      <c r="C741" s="1"/>
      <c r="D741" s="1"/>
      <c r="E741" s="1"/>
      <c r="F741" s="2"/>
      <c r="G741" s="2"/>
      <c r="H741" s="2"/>
      <c r="I741" s="2"/>
      <c r="J741" s="2"/>
      <c r="K741" s="2"/>
      <c r="L741" s="2"/>
      <c r="M741" s="2"/>
      <c r="N741" s="3"/>
      <c r="O741" s="3"/>
      <c r="P741" s="3"/>
      <c r="Q741" s="1"/>
      <c r="R741" s="1"/>
      <c r="S741" s="1"/>
      <c r="T741" s="1"/>
      <c r="U741" s="1"/>
      <c r="V741" s="1"/>
      <c r="W741" s="1"/>
      <c r="X741" s="1"/>
      <c r="Y741" s="1"/>
      <c r="Z741" s="1"/>
      <c r="AA741" s="1"/>
      <c r="AB741" s="1"/>
      <c r="AC741" s="1"/>
      <c r="AD741" s="1"/>
      <c r="AE741" s="1"/>
      <c r="AF741" s="1"/>
      <c r="AG741" s="1"/>
      <c r="AH741" s="1"/>
      <c r="AI741" s="1"/>
      <c r="AJ741" s="1"/>
      <c r="AK741" s="1"/>
    </row>
    <row r="742" spans="1:37" ht="12.75" customHeight="1">
      <c r="A742" s="1"/>
      <c r="B742" s="1"/>
      <c r="C742" s="1"/>
      <c r="D742" s="1"/>
      <c r="E742" s="1"/>
      <c r="F742" s="2"/>
      <c r="G742" s="2"/>
      <c r="H742" s="2"/>
      <c r="I742" s="2"/>
      <c r="J742" s="2"/>
      <c r="K742" s="2"/>
      <c r="L742" s="2"/>
      <c r="M742" s="2"/>
      <c r="N742" s="3"/>
      <c r="O742" s="3"/>
      <c r="P742" s="3"/>
      <c r="Q742" s="1"/>
      <c r="R742" s="1"/>
      <c r="S742" s="1"/>
      <c r="T742" s="1"/>
      <c r="U742" s="1"/>
      <c r="V742" s="1"/>
      <c r="W742" s="1"/>
      <c r="X742" s="1"/>
      <c r="Y742" s="1"/>
      <c r="Z742" s="1"/>
      <c r="AA742" s="1"/>
      <c r="AB742" s="1"/>
      <c r="AC742" s="1"/>
      <c r="AD742" s="1"/>
      <c r="AE742" s="1"/>
      <c r="AF742" s="1"/>
      <c r="AG742" s="1"/>
      <c r="AH742" s="1"/>
      <c r="AI742" s="1"/>
      <c r="AJ742" s="1"/>
      <c r="AK742" s="1"/>
    </row>
    <row r="743" spans="1:37" ht="12.75" customHeight="1">
      <c r="A743" s="1"/>
      <c r="B743" s="1"/>
      <c r="C743" s="1"/>
      <c r="D743" s="1"/>
      <c r="E743" s="1"/>
      <c r="F743" s="2"/>
      <c r="G743" s="2"/>
      <c r="H743" s="2"/>
      <c r="I743" s="2"/>
      <c r="J743" s="2"/>
      <c r="K743" s="2"/>
      <c r="L743" s="2"/>
      <c r="M743" s="2"/>
      <c r="N743" s="3"/>
      <c r="O743" s="3"/>
      <c r="P743" s="3"/>
      <c r="Q743" s="1"/>
      <c r="R743" s="1"/>
      <c r="S743" s="1"/>
      <c r="T743" s="1"/>
      <c r="U743" s="1"/>
      <c r="V743" s="1"/>
      <c r="W743" s="1"/>
      <c r="X743" s="1"/>
      <c r="Y743" s="1"/>
      <c r="Z743" s="1"/>
      <c r="AA743" s="1"/>
      <c r="AB743" s="1"/>
      <c r="AC743" s="1"/>
      <c r="AD743" s="1"/>
      <c r="AE743" s="1"/>
      <c r="AF743" s="1"/>
      <c r="AG743" s="1"/>
      <c r="AH743" s="1"/>
      <c r="AI743" s="1"/>
      <c r="AJ743" s="1"/>
      <c r="AK743" s="1"/>
    </row>
    <row r="744" spans="1:37" ht="12.75" customHeight="1">
      <c r="A744" s="1"/>
      <c r="B744" s="1"/>
      <c r="C744" s="1"/>
      <c r="D744" s="1"/>
      <c r="E744" s="1"/>
      <c r="F744" s="2"/>
      <c r="G744" s="2"/>
      <c r="H744" s="2"/>
      <c r="I744" s="2"/>
      <c r="J744" s="2"/>
      <c r="K744" s="2"/>
      <c r="L744" s="2"/>
      <c r="M744" s="2"/>
      <c r="N744" s="3"/>
      <c r="O744" s="3"/>
      <c r="P744" s="3"/>
      <c r="Q744" s="1"/>
      <c r="R744" s="1"/>
      <c r="S744" s="1"/>
      <c r="T744" s="1"/>
      <c r="U744" s="1"/>
      <c r="V744" s="1"/>
      <c r="W744" s="1"/>
      <c r="X744" s="1"/>
      <c r="Y744" s="1"/>
      <c r="Z744" s="1"/>
      <c r="AA744" s="1"/>
      <c r="AB744" s="1"/>
      <c r="AC744" s="1"/>
      <c r="AD744" s="1"/>
      <c r="AE744" s="1"/>
      <c r="AF744" s="1"/>
      <c r="AG744" s="1"/>
      <c r="AH744" s="1"/>
      <c r="AI744" s="1"/>
      <c r="AJ744" s="1"/>
      <c r="AK744" s="1"/>
    </row>
    <row r="745" spans="1:37" ht="12.75" customHeight="1">
      <c r="A745" s="1"/>
      <c r="B745" s="1"/>
      <c r="C745" s="1"/>
      <c r="D745" s="1"/>
      <c r="E745" s="1"/>
      <c r="F745" s="2"/>
      <c r="G745" s="2"/>
      <c r="H745" s="2"/>
      <c r="I745" s="2"/>
      <c r="J745" s="2"/>
      <c r="K745" s="2"/>
      <c r="L745" s="2"/>
      <c r="M745" s="2"/>
      <c r="N745" s="3"/>
      <c r="O745" s="3"/>
      <c r="P745" s="3"/>
      <c r="Q745" s="1"/>
      <c r="R745" s="1"/>
      <c r="S745" s="1"/>
      <c r="T745" s="1"/>
      <c r="U745" s="1"/>
      <c r="V745" s="1"/>
      <c r="W745" s="1"/>
      <c r="X745" s="1"/>
      <c r="Y745" s="1"/>
      <c r="Z745" s="1"/>
      <c r="AA745" s="1"/>
      <c r="AB745" s="1"/>
      <c r="AC745" s="1"/>
      <c r="AD745" s="1"/>
      <c r="AE745" s="1"/>
      <c r="AF745" s="1"/>
      <c r="AG745" s="1"/>
      <c r="AH745" s="1"/>
      <c r="AI745" s="1"/>
      <c r="AJ745" s="1"/>
      <c r="AK745" s="1"/>
    </row>
    <row r="746" spans="1:37" ht="12.75" customHeight="1">
      <c r="A746" s="1"/>
      <c r="B746" s="1"/>
      <c r="C746" s="1"/>
      <c r="D746" s="1"/>
      <c r="E746" s="1"/>
      <c r="F746" s="2"/>
      <c r="G746" s="2"/>
      <c r="H746" s="2"/>
      <c r="I746" s="2"/>
      <c r="J746" s="2"/>
      <c r="K746" s="2"/>
      <c r="L746" s="2"/>
      <c r="M746" s="2"/>
      <c r="N746" s="3"/>
      <c r="O746" s="3"/>
      <c r="P746" s="3"/>
      <c r="Q746" s="1"/>
      <c r="R746" s="1"/>
      <c r="S746" s="1"/>
      <c r="T746" s="1"/>
      <c r="U746" s="1"/>
      <c r="V746" s="1"/>
      <c r="W746" s="1"/>
      <c r="X746" s="1"/>
      <c r="Y746" s="1"/>
      <c r="Z746" s="1"/>
      <c r="AA746" s="1"/>
      <c r="AB746" s="1"/>
      <c r="AC746" s="1"/>
      <c r="AD746" s="1"/>
      <c r="AE746" s="1"/>
      <c r="AF746" s="1"/>
      <c r="AG746" s="1"/>
      <c r="AH746" s="1"/>
      <c r="AI746" s="1"/>
      <c r="AJ746" s="1"/>
      <c r="AK746" s="1"/>
    </row>
    <row r="747" spans="1:37" ht="12.75" customHeight="1">
      <c r="A747" s="1"/>
      <c r="B747" s="1"/>
      <c r="C747" s="1"/>
      <c r="D747" s="1"/>
      <c r="E747" s="1"/>
      <c r="F747" s="2"/>
      <c r="G747" s="2"/>
      <c r="H747" s="2"/>
      <c r="I747" s="2"/>
      <c r="J747" s="2"/>
      <c r="K747" s="2"/>
      <c r="L747" s="2"/>
      <c r="M747" s="2"/>
      <c r="N747" s="3"/>
      <c r="O747" s="3"/>
      <c r="P747" s="3"/>
      <c r="Q747" s="1"/>
      <c r="R747" s="1"/>
      <c r="S747" s="1"/>
      <c r="T747" s="1"/>
      <c r="U747" s="1"/>
      <c r="V747" s="1"/>
      <c r="W747" s="1"/>
      <c r="X747" s="1"/>
      <c r="Y747" s="1"/>
      <c r="Z747" s="1"/>
      <c r="AA747" s="1"/>
      <c r="AB747" s="1"/>
      <c r="AC747" s="1"/>
      <c r="AD747" s="1"/>
      <c r="AE747" s="1"/>
      <c r="AF747" s="1"/>
      <c r="AG747" s="1"/>
      <c r="AH747" s="1"/>
      <c r="AI747" s="1"/>
      <c r="AJ747" s="1"/>
      <c r="AK747" s="1"/>
    </row>
    <row r="748" spans="1:37" ht="12.75" customHeight="1">
      <c r="A748" s="1"/>
      <c r="B748" s="1"/>
      <c r="C748" s="1"/>
      <c r="D748" s="1"/>
      <c r="E748" s="1"/>
      <c r="F748" s="2"/>
      <c r="G748" s="2"/>
      <c r="H748" s="2"/>
      <c r="I748" s="2"/>
      <c r="J748" s="2"/>
      <c r="K748" s="2"/>
      <c r="L748" s="2"/>
      <c r="M748" s="2"/>
      <c r="N748" s="3"/>
      <c r="O748" s="3"/>
      <c r="P748" s="3"/>
      <c r="Q748" s="1"/>
      <c r="R748" s="1"/>
      <c r="S748" s="1"/>
      <c r="T748" s="1"/>
      <c r="U748" s="1"/>
      <c r="V748" s="1"/>
      <c r="W748" s="1"/>
      <c r="X748" s="1"/>
      <c r="Y748" s="1"/>
      <c r="Z748" s="1"/>
      <c r="AA748" s="1"/>
      <c r="AB748" s="1"/>
      <c r="AC748" s="1"/>
      <c r="AD748" s="1"/>
      <c r="AE748" s="1"/>
      <c r="AF748" s="1"/>
      <c r="AG748" s="1"/>
      <c r="AH748" s="1"/>
      <c r="AI748" s="1"/>
      <c r="AJ748" s="1"/>
      <c r="AK748" s="1"/>
    </row>
    <row r="749" spans="1:37" ht="12.75" customHeight="1">
      <c r="A749" s="1"/>
      <c r="B749" s="1"/>
      <c r="C749" s="1"/>
      <c r="D749" s="1"/>
      <c r="E749" s="1"/>
      <c r="F749" s="2"/>
      <c r="G749" s="2"/>
      <c r="H749" s="2"/>
      <c r="I749" s="2"/>
      <c r="J749" s="2"/>
      <c r="K749" s="2"/>
      <c r="L749" s="2"/>
      <c r="M749" s="2"/>
      <c r="N749" s="3"/>
      <c r="O749" s="3"/>
      <c r="P749" s="3"/>
      <c r="Q749" s="1"/>
      <c r="R749" s="1"/>
      <c r="S749" s="1"/>
      <c r="T749" s="1"/>
      <c r="U749" s="1"/>
      <c r="V749" s="1"/>
      <c r="W749" s="1"/>
      <c r="X749" s="1"/>
      <c r="Y749" s="1"/>
      <c r="Z749" s="1"/>
      <c r="AA749" s="1"/>
      <c r="AB749" s="1"/>
      <c r="AC749" s="1"/>
      <c r="AD749" s="1"/>
      <c r="AE749" s="1"/>
      <c r="AF749" s="1"/>
      <c r="AG749" s="1"/>
      <c r="AH749" s="1"/>
      <c r="AI749" s="1"/>
      <c r="AJ749" s="1"/>
      <c r="AK749" s="1"/>
    </row>
    <row r="750" spans="1:37" ht="12.75" customHeight="1">
      <c r="A750" s="1"/>
      <c r="B750" s="1"/>
      <c r="C750" s="1"/>
      <c r="D750" s="1"/>
      <c r="E750" s="1"/>
      <c r="F750" s="2"/>
      <c r="G750" s="2"/>
      <c r="H750" s="2"/>
      <c r="I750" s="2"/>
      <c r="J750" s="2"/>
      <c r="K750" s="2"/>
      <c r="L750" s="2"/>
      <c r="M750" s="2"/>
      <c r="N750" s="3"/>
      <c r="O750" s="3"/>
      <c r="P750" s="3"/>
      <c r="Q750" s="1"/>
      <c r="R750" s="1"/>
      <c r="S750" s="1"/>
      <c r="T750" s="1"/>
      <c r="U750" s="1"/>
      <c r="V750" s="1"/>
      <c r="W750" s="1"/>
      <c r="X750" s="1"/>
      <c r="Y750" s="1"/>
      <c r="Z750" s="1"/>
      <c r="AA750" s="1"/>
      <c r="AB750" s="1"/>
      <c r="AC750" s="1"/>
      <c r="AD750" s="1"/>
      <c r="AE750" s="1"/>
      <c r="AF750" s="1"/>
      <c r="AG750" s="1"/>
      <c r="AH750" s="1"/>
      <c r="AI750" s="1"/>
      <c r="AJ750" s="1"/>
      <c r="AK750" s="1"/>
    </row>
    <row r="751" spans="1:37" ht="12.75" customHeight="1">
      <c r="A751" s="1"/>
      <c r="B751" s="1"/>
      <c r="C751" s="1"/>
      <c r="D751" s="1"/>
      <c r="E751" s="1"/>
      <c r="F751" s="2"/>
      <c r="G751" s="2"/>
      <c r="H751" s="2"/>
      <c r="I751" s="2"/>
      <c r="J751" s="2"/>
      <c r="K751" s="2"/>
      <c r="L751" s="2"/>
      <c r="M751" s="2"/>
      <c r="N751" s="3"/>
      <c r="O751" s="3"/>
      <c r="P751" s="3"/>
      <c r="Q751" s="1"/>
      <c r="R751" s="1"/>
      <c r="S751" s="1"/>
      <c r="T751" s="1"/>
      <c r="U751" s="1"/>
      <c r="V751" s="1"/>
      <c r="W751" s="1"/>
      <c r="X751" s="1"/>
      <c r="Y751" s="1"/>
      <c r="Z751" s="1"/>
      <c r="AA751" s="1"/>
      <c r="AB751" s="1"/>
      <c r="AC751" s="1"/>
      <c r="AD751" s="1"/>
      <c r="AE751" s="1"/>
      <c r="AF751" s="1"/>
      <c r="AG751" s="1"/>
      <c r="AH751" s="1"/>
      <c r="AI751" s="1"/>
      <c r="AJ751" s="1"/>
      <c r="AK751" s="1"/>
    </row>
    <row r="752" spans="1:37" ht="12.75" customHeight="1">
      <c r="A752" s="1"/>
      <c r="B752" s="1"/>
      <c r="C752" s="1"/>
      <c r="D752" s="1"/>
      <c r="E752" s="1"/>
      <c r="F752" s="2"/>
      <c r="G752" s="2"/>
      <c r="H752" s="2"/>
      <c r="I752" s="2"/>
      <c r="J752" s="2"/>
      <c r="K752" s="2"/>
      <c r="L752" s="2"/>
      <c r="M752" s="2"/>
      <c r="N752" s="3"/>
      <c r="O752" s="3"/>
      <c r="P752" s="3"/>
      <c r="Q752" s="1"/>
      <c r="R752" s="1"/>
      <c r="S752" s="1"/>
      <c r="T752" s="1"/>
      <c r="U752" s="1"/>
      <c r="V752" s="1"/>
      <c r="W752" s="1"/>
      <c r="X752" s="1"/>
      <c r="Y752" s="1"/>
      <c r="Z752" s="1"/>
      <c r="AA752" s="1"/>
      <c r="AB752" s="1"/>
      <c r="AC752" s="1"/>
      <c r="AD752" s="1"/>
      <c r="AE752" s="1"/>
      <c r="AF752" s="1"/>
      <c r="AG752" s="1"/>
      <c r="AH752" s="1"/>
      <c r="AI752" s="1"/>
      <c r="AJ752" s="1"/>
      <c r="AK752" s="1"/>
    </row>
    <row r="753" spans="1:37" ht="12.75" customHeight="1">
      <c r="A753" s="1"/>
      <c r="B753" s="1"/>
      <c r="C753" s="1"/>
      <c r="D753" s="1"/>
      <c r="E753" s="1"/>
      <c r="F753" s="2"/>
      <c r="G753" s="2"/>
      <c r="H753" s="2"/>
      <c r="I753" s="2"/>
      <c r="J753" s="2"/>
      <c r="K753" s="2"/>
      <c r="L753" s="2"/>
      <c r="M753" s="2"/>
      <c r="N753" s="3"/>
      <c r="O753" s="3"/>
      <c r="P753" s="3"/>
      <c r="Q753" s="1"/>
      <c r="R753" s="1"/>
      <c r="S753" s="1"/>
      <c r="T753" s="1"/>
      <c r="U753" s="1"/>
      <c r="V753" s="1"/>
      <c r="W753" s="1"/>
      <c r="X753" s="1"/>
      <c r="Y753" s="1"/>
      <c r="Z753" s="1"/>
      <c r="AA753" s="1"/>
      <c r="AB753" s="1"/>
      <c r="AC753" s="1"/>
      <c r="AD753" s="1"/>
      <c r="AE753" s="1"/>
      <c r="AF753" s="1"/>
      <c r="AG753" s="1"/>
      <c r="AH753" s="1"/>
      <c r="AI753" s="1"/>
      <c r="AJ753" s="1"/>
      <c r="AK753" s="1"/>
    </row>
    <row r="754" spans="1:37" ht="12.75" customHeight="1">
      <c r="A754" s="1"/>
      <c r="B754" s="1"/>
      <c r="C754" s="1"/>
      <c r="D754" s="1"/>
      <c r="E754" s="1"/>
      <c r="F754" s="2"/>
      <c r="G754" s="2"/>
      <c r="H754" s="2"/>
      <c r="I754" s="2"/>
      <c r="J754" s="2"/>
      <c r="K754" s="2"/>
      <c r="L754" s="2"/>
      <c r="M754" s="2"/>
      <c r="N754" s="3"/>
      <c r="O754" s="3"/>
      <c r="P754" s="3"/>
      <c r="Q754" s="1"/>
      <c r="R754" s="1"/>
      <c r="S754" s="1"/>
      <c r="T754" s="1"/>
      <c r="U754" s="1"/>
      <c r="V754" s="1"/>
      <c r="W754" s="1"/>
      <c r="X754" s="1"/>
      <c r="Y754" s="1"/>
      <c r="Z754" s="1"/>
      <c r="AA754" s="1"/>
      <c r="AB754" s="1"/>
      <c r="AC754" s="1"/>
      <c r="AD754" s="1"/>
      <c r="AE754" s="1"/>
      <c r="AF754" s="1"/>
      <c r="AG754" s="1"/>
      <c r="AH754" s="1"/>
      <c r="AI754" s="1"/>
      <c r="AJ754" s="1"/>
      <c r="AK754" s="1"/>
    </row>
    <row r="755" spans="1:37" ht="12.75" customHeight="1">
      <c r="A755" s="1"/>
      <c r="B755" s="1"/>
      <c r="C755" s="1"/>
      <c r="D755" s="1"/>
      <c r="E755" s="1"/>
      <c r="F755" s="2"/>
      <c r="G755" s="2"/>
      <c r="H755" s="2"/>
      <c r="I755" s="2"/>
      <c r="J755" s="2"/>
      <c r="K755" s="2"/>
      <c r="L755" s="2"/>
      <c r="M755" s="2"/>
      <c r="N755" s="3"/>
      <c r="O755" s="3"/>
      <c r="P755" s="3"/>
      <c r="Q755" s="1"/>
      <c r="R755" s="1"/>
      <c r="S755" s="1"/>
      <c r="T755" s="1"/>
      <c r="U755" s="1"/>
      <c r="V755" s="1"/>
      <c r="W755" s="1"/>
      <c r="X755" s="1"/>
      <c r="Y755" s="1"/>
      <c r="Z755" s="1"/>
      <c r="AA755" s="1"/>
      <c r="AB755" s="1"/>
      <c r="AC755" s="1"/>
      <c r="AD755" s="1"/>
      <c r="AE755" s="1"/>
      <c r="AF755" s="1"/>
      <c r="AG755" s="1"/>
      <c r="AH755" s="1"/>
      <c r="AI755" s="1"/>
      <c r="AJ755" s="1"/>
      <c r="AK755" s="1"/>
    </row>
    <row r="756" spans="1:37" ht="12.75" customHeight="1">
      <c r="A756" s="1"/>
      <c r="B756" s="1"/>
      <c r="C756" s="1"/>
      <c r="D756" s="1"/>
      <c r="E756" s="1"/>
      <c r="F756" s="2"/>
      <c r="G756" s="2"/>
      <c r="H756" s="2"/>
      <c r="I756" s="2"/>
      <c r="J756" s="2"/>
      <c r="K756" s="2"/>
      <c r="L756" s="2"/>
      <c r="M756" s="2"/>
      <c r="N756" s="3"/>
      <c r="O756" s="3"/>
      <c r="P756" s="3"/>
      <c r="Q756" s="1"/>
      <c r="R756" s="1"/>
      <c r="S756" s="1"/>
      <c r="T756" s="1"/>
      <c r="U756" s="1"/>
      <c r="V756" s="1"/>
      <c r="W756" s="1"/>
      <c r="X756" s="1"/>
      <c r="Y756" s="1"/>
      <c r="Z756" s="1"/>
      <c r="AA756" s="1"/>
      <c r="AB756" s="1"/>
      <c r="AC756" s="1"/>
      <c r="AD756" s="1"/>
      <c r="AE756" s="1"/>
      <c r="AF756" s="1"/>
      <c r="AG756" s="1"/>
      <c r="AH756" s="1"/>
      <c r="AI756" s="1"/>
      <c r="AJ756" s="1"/>
      <c r="AK756" s="1"/>
    </row>
    <row r="757" spans="1:37" ht="12.75" customHeight="1">
      <c r="A757" s="1"/>
      <c r="B757" s="1"/>
      <c r="C757" s="1"/>
      <c r="D757" s="1"/>
      <c r="E757" s="1"/>
      <c r="F757" s="2"/>
      <c r="G757" s="2"/>
      <c r="H757" s="2"/>
      <c r="I757" s="2"/>
      <c r="J757" s="2"/>
      <c r="K757" s="2"/>
      <c r="L757" s="2"/>
      <c r="M757" s="2"/>
      <c r="N757" s="3"/>
      <c r="O757" s="3"/>
      <c r="P757" s="3"/>
      <c r="Q757" s="1"/>
      <c r="R757" s="1"/>
      <c r="S757" s="1"/>
      <c r="T757" s="1"/>
      <c r="U757" s="1"/>
      <c r="V757" s="1"/>
      <c r="W757" s="1"/>
      <c r="X757" s="1"/>
      <c r="Y757" s="1"/>
      <c r="Z757" s="1"/>
      <c r="AA757" s="1"/>
      <c r="AB757" s="1"/>
      <c r="AC757" s="1"/>
      <c r="AD757" s="1"/>
      <c r="AE757" s="1"/>
      <c r="AF757" s="1"/>
      <c r="AG757" s="1"/>
      <c r="AH757" s="1"/>
      <c r="AI757" s="1"/>
      <c r="AJ757" s="1"/>
      <c r="AK757" s="1"/>
    </row>
    <row r="758" spans="1:37" ht="12.75" customHeight="1">
      <c r="A758" s="1"/>
      <c r="B758" s="1"/>
      <c r="C758" s="1"/>
      <c r="D758" s="1"/>
      <c r="E758" s="1"/>
      <c r="F758" s="2"/>
      <c r="G758" s="2"/>
      <c r="H758" s="2"/>
      <c r="I758" s="2"/>
      <c r="J758" s="2"/>
      <c r="K758" s="2"/>
      <c r="L758" s="2"/>
      <c r="M758" s="2"/>
      <c r="N758" s="3"/>
      <c r="O758" s="3"/>
      <c r="P758" s="3"/>
      <c r="Q758" s="1"/>
      <c r="R758" s="1"/>
      <c r="S758" s="1"/>
      <c r="T758" s="1"/>
      <c r="U758" s="1"/>
      <c r="V758" s="1"/>
      <c r="W758" s="1"/>
      <c r="X758" s="1"/>
      <c r="Y758" s="1"/>
      <c r="Z758" s="1"/>
      <c r="AA758" s="1"/>
      <c r="AB758" s="1"/>
      <c r="AC758" s="1"/>
      <c r="AD758" s="1"/>
      <c r="AE758" s="1"/>
      <c r="AF758" s="1"/>
      <c r="AG758" s="1"/>
      <c r="AH758" s="1"/>
      <c r="AI758" s="1"/>
      <c r="AJ758" s="1"/>
      <c r="AK758" s="1"/>
    </row>
    <row r="759" spans="1:37" ht="12.75" customHeight="1">
      <c r="A759" s="1"/>
      <c r="B759" s="1"/>
      <c r="C759" s="1"/>
      <c r="D759" s="1"/>
      <c r="E759" s="1"/>
      <c r="F759" s="2"/>
      <c r="G759" s="2"/>
      <c r="H759" s="2"/>
      <c r="I759" s="2"/>
      <c r="J759" s="2"/>
      <c r="K759" s="2"/>
      <c r="L759" s="2"/>
      <c r="M759" s="2"/>
      <c r="N759" s="3"/>
      <c r="O759" s="3"/>
      <c r="P759" s="3"/>
      <c r="Q759" s="1"/>
      <c r="R759" s="1"/>
      <c r="S759" s="1"/>
      <c r="T759" s="1"/>
      <c r="U759" s="1"/>
      <c r="V759" s="1"/>
      <c r="W759" s="1"/>
      <c r="X759" s="1"/>
      <c r="Y759" s="1"/>
      <c r="Z759" s="1"/>
      <c r="AA759" s="1"/>
      <c r="AB759" s="1"/>
      <c r="AC759" s="1"/>
      <c r="AD759" s="1"/>
      <c r="AE759" s="1"/>
      <c r="AF759" s="1"/>
      <c r="AG759" s="1"/>
      <c r="AH759" s="1"/>
      <c r="AI759" s="1"/>
      <c r="AJ759" s="1"/>
      <c r="AK759" s="1"/>
    </row>
    <row r="760" spans="1:37" ht="12.75" customHeight="1">
      <c r="A760" s="1"/>
      <c r="B760" s="1"/>
      <c r="C760" s="1"/>
      <c r="D760" s="1"/>
      <c r="E760" s="1"/>
      <c r="F760" s="2"/>
      <c r="G760" s="2"/>
      <c r="H760" s="2"/>
      <c r="I760" s="2"/>
      <c r="J760" s="2"/>
      <c r="K760" s="2"/>
      <c r="L760" s="2"/>
      <c r="M760" s="2"/>
      <c r="N760" s="3"/>
      <c r="O760" s="3"/>
      <c r="P760" s="3"/>
      <c r="Q760" s="1"/>
      <c r="R760" s="1"/>
      <c r="S760" s="1"/>
      <c r="T760" s="1"/>
      <c r="U760" s="1"/>
      <c r="V760" s="1"/>
      <c r="W760" s="1"/>
      <c r="X760" s="1"/>
      <c r="Y760" s="1"/>
      <c r="Z760" s="1"/>
      <c r="AA760" s="1"/>
      <c r="AB760" s="1"/>
      <c r="AC760" s="1"/>
      <c r="AD760" s="1"/>
      <c r="AE760" s="1"/>
      <c r="AF760" s="1"/>
      <c r="AG760" s="1"/>
      <c r="AH760" s="1"/>
      <c r="AI760" s="1"/>
      <c r="AJ760" s="1"/>
      <c r="AK760" s="1"/>
    </row>
    <row r="761" spans="1:37" ht="12.75" customHeight="1">
      <c r="A761" s="1"/>
      <c r="B761" s="1"/>
      <c r="C761" s="1"/>
      <c r="D761" s="1"/>
      <c r="E761" s="1"/>
      <c r="F761" s="2"/>
      <c r="G761" s="2"/>
      <c r="H761" s="2"/>
      <c r="I761" s="2"/>
      <c r="J761" s="2"/>
      <c r="K761" s="2"/>
      <c r="L761" s="2"/>
      <c r="M761" s="2"/>
      <c r="N761" s="3"/>
      <c r="O761" s="3"/>
      <c r="P761" s="3"/>
      <c r="Q761" s="1"/>
      <c r="R761" s="1"/>
      <c r="S761" s="1"/>
      <c r="T761" s="1"/>
      <c r="U761" s="1"/>
      <c r="V761" s="1"/>
      <c r="W761" s="1"/>
      <c r="X761" s="1"/>
      <c r="Y761" s="1"/>
      <c r="Z761" s="1"/>
      <c r="AA761" s="1"/>
      <c r="AB761" s="1"/>
      <c r="AC761" s="1"/>
      <c r="AD761" s="1"/>
      <c r="AE761" s="1"/>
      <c r="AF761" s="1"/>
      <c r="AG761" s="1"/>
      <c r="AH761" s="1"/>
      <c r="AI761" s="1"/>
      <c r="AJ761" s="1"/>
      <c r="AK761" s="1"/>
    </row>
    <row r="762" spans="1:37" ht="12.75" customHeight="1">
      <c r="A762" s="1"/>
      <c r="B762" s="1"/>
      <c r="C762" s="1"/>
      <c r="D762" s="1"/>
      <c r="E762" s="1"/>
      <c r="F762" s="2"/>
      <c r="G762" s="2"/>
      <c r="H762" s="2"/>
      <c r="I762" s="2"/>
      <c r="J762" s="2"/>
      <c r="K762" s="2"/>
      <c r="L762" s="2"/>
      <c r="M762" s="2"/>
      <c r="N762" s="3"/>
      <c r="O762" s="3"/>
      <c r="P762" s="3"/>
      <c r="Q762" s="1"/>
      <c r="R762" s="1"/>
      <c r="S762" s="1"/>
      <c r="T762" s="1"/>
      <c r="U762" s="1"/>
      <c r="V762" s="1"/>
      <c r="W762" s="1"/>
      <c r="X762" s="1"/>
      <c r="Y762" s="1"/>
      <c r="Z762" s="1"/>
      <c r="AA762" s="1"/>
      <c r="AB762" s="1"/>
      <c r="AC762" s="1"/>
      <c r="AD762" s="1"/>
      <c r="AE762" s="1"/>
      <c r="AF762" s="1"/>
      <c r="AG762" s="1"/>
      <c r="AH762" s="1"/>
      <c r="AI762" s="1"/>
      <c r="AJ762" s="1"/>
      <c r="AK762" s="1"/>
    </row>
    <row r="763" spans="1:37" ht="12.75" customHeight="1">
      <c r="A763" s="1"/>
      <c r="B763" s="1"/>
      <c r="C763" s="1"/>
      <c r="D763" s="1"/>
      <c r="E763" s="1"/>
      <c r="F763" s="2"/>
      <c r="G763" s="2"/>
      <c r="H763" s="2"/>
      <c r="I763" s="2"/>
      <c r="J763" s="2"/>
      <c r="K763" s="2"/>
      <c r="L763" s="2"/>
      <c r="M763" s="2"/>
      <c r="N763" s="3"/>
      <c r="O763" s="3"/>
      <c r="P763" s="3"/>
      <c r="Q763" s="1"/>
      <c r="R763" s="1"/>
      <c r="S763" s="1"/>
      <c r="T763" s="1"/>
      <c r="U763" s="1"/>
      <c r="V763" s="1"/>
      <c r="W763" s="1"/>
      <c r="X763" s="1"/>
      <c r="Y763" s="1"/>
      <c r="Z763" s="1"/>
      <c r="AA763" s="1"/>
      <c r="AB763" s="1"/>
      <c r="AC763" s="1"/>
      <c r="AD763" s="1"/>
      <c r="AE763" s="1"/>
      <c r="AF763" s="1"/>
      <c r="AG763" s="1"/>
      <c r="AH763" s="1"/>
      <c r="AI763" s="1"/>
      <c r="AJ763" s="1"/>
      <c r="AK763" s="1"/>
    </row>
    <row r="764" spans="1:37" ht="12.75" customHeight="1">
      <c r="A764" s="1"/>
      <c r="B764" s="1"/>
      <c r="C764" s="1"/>
      <c r="D764" s="1"/>
      <c r="E764" s="1"/>
      <c r="F764" s="2"/>
      <c r="G764" s="2"/>
      <c r="H764" s="2"/>
      <c r="I764" s="2"/>
      <c r="J764" s="2"/>
      <c r="K764" s="2"/>
      <c r="L764" s="2"/>
      <c r="M764" s="2"/>
      <c r="N764" s="3"/>
      <c r="O764" s="3"/>
      <c r="P764" s="3"/>
      <c r="Q764" s="1"/>
      <c r="R764" s="1"/>
      <c r="S764" s="1"/>
      <c r="T764" s="1"/>
      <c r="U764" s="1"/>
      <c r="V764" s="1"/>
      <c r="W764" s="1"/>
      <c r="X764" s="1"/>
      <c r="Y764" s="1"/>
      <c r="Z764" s="1"/>
      <c r="AA764" s="1"/>
      <c r="AB764" s="1"/>
      <c r="AC764" s="1"/>
      <c r="AD764" s="1"/>
      <c r="AE764" s="1"/>
      <c r="AF764" s="1"/>
      <c r="AG764" s="1"/>
      <c r="AH764" s="1"/>
      <c r="AI764" s="1"/>
      <c r="AJ764" s="1"/>
      <c r="AK764" s="1"/>
    </row>
    <row r="765" spans="1:37" ht="12.75" customHeight="1">
      <c r="A765" s="1"/>
      <c r="B765" s="1"/>
      <c r="C765" s="1"/>
      <c r="D765" s="1"/>
      <c r="E765" s="1"/>
      <c r="F765" s="2"/>
      <c r="G765" s="2"/>
      <c r="H765" s="2"/>
      <c r="I765" s="2"/>
      <c r="J765" s="2"/>
      <c r="K765" s="2"/>
      <c r="L765" s="2"/>
      <c r="M765" s="2"/>
      <c r="N765" s="3"/>
      <c r="O765" s="3"/>
      <c r="P765" s="3"/>
      <c r="Q765" s="1"/>
      <c r="R765" s="1"/>
      <c r="S765" s="1"/>
      <c r="T765" s="1"/>
      <c r="U765" s="1"/>
      <c r="V765" s="1"/>
      <c r="W765" s="1"/>
      <c r="X765" s="1"/>
      <c r="Y765" s="1"/>
      <c r="Z765" s="1"/>
      <c r="AA765" s="1"/>
      <c r="AB765" s="1"/>
      <c r="AC765" s="1"/>
      <c r="AD765" s="1"/>
      <c r="AE765" s="1"/>
      <c r="AF765" s="1"/>
      <c r="AG765" s="1"/>
      <c r="AH765" s="1"/>
      <c r="AI765" s="1"/>
      <c r="AJ765" s="1"/>
      <c r="AK765" s="1"/>
    </row>
    <row r="766" spans="1:37" ht="12.75" customHeight="1">
      <c r="A766" s="1"/>
      <c r="B766" s="1"/>
      <c r="C766" s="1"/>
      <c r="D766" s="1"/>
      <c r="E766" s="1"/>
      <c r="F766" s="2"/>
      <c r="G766" s="2"/>
      <c r="H766" s="2"/>
      <c r="I766" s="2"/>
      <c r="J766" s="2"/>
      <c r="K766" s="2"/>
      <c r="L766" s="2"/>
      <c r="M766" s="2"/>
      <c r="N766" s="3"/>
      <c r="O766" s="3"/>
      <c r="P766" s="3"/>
      <c r="Q766" s="1"/>
      <c r="R766" s="1"/>
      <c r="S766" s="1"/>
      <c r="T766" s="1"/>
      <c r="U766" s="1"/>
      <c r="V766" s="1"/>
      <c r="W766" s="1"/>
      <c r="X766" s="1"/>
      <c r="Y766" s="1"/>
      <c r="Z766" s="1"/>
      <c r="AA766" s="1"/>
      <c r="AB766" s="1"/>
      <c r="AC766" s="1"/>
      <c r="AD766" s="1"/>
      <c r="AE766" s="1"/>
      <c r="AF766" s="1"/>
      <c r="AG766" s="1"/>
      <c r="AH766" s="1"/>
      <c r="AI766" s="1"/>
      <c r="AJ766" s="1"/>
      <c r="AK766" s="1"/>
    </row>
    <row r="767" spans="1:37" ht="12.75" customHeight="1">
      <c r="A767" s="1"/>
      <c r="B767" s="1"/>
      <c r="C767" s="1"/>
      <c r="D767" s="1"/>
      <c r="E767" s="1"/>
      <c r="F767" s="2"/>
      <c r="G767" s="2"/>
      <c r="H767" s="2"/>
      <c r="I767" s="2"/>
      <c r="J767" s="2"/>
      <c r="K767" s="2"/>
      <c r="L767" s="2"/>
      <c r="M767" s="2"/>
      <c r="N767" s="3"/>
      <c r="O767" s="3"/>
      <c r="P767" s="3"/>
      <c r="Q767" s="1"/>
      <c r="R767" s="1"/>
      <c r="S767" s="1"/>
      <c r="T767" s="1"/>
      <c r="U767" s="1"/>
      <c r="V767" s="1"/>
      <c r="W767" s="1"/>
      <c r="X767" s="1"/>
      <c r="Y767" s="1"/>
      <c r="Z767" s="1"/>
      <c r="AA767" s="1"/>
      <c r="AB767" s="1"/>
      <c r="AC767" s="1"/>
      <c r="AD767" s="1"/>
      <c r="AE767" s="1"/>
      <c r="AF767" s="1"/>
      <c r="AG767" s="1"/>
      <c r="AH767" s="1"/>
      <c r="AI767" s="1"/>
      <c r="AJ767" s="1"/>
      <c r="AK767" s="1"/>
    </row>
    <row r="768" spans="1:37" ht="12.75" customHeight="1">
      <c r="A768" s="1"/>
      <c r="B768" s="1"/>
      <c r="C768" s="1"/>
      <c r="D768" s="1"/>
      <c r="E768" s="1"/>
      <c r="F768" s="2"/>
      <c r="G768" s="2"/>
      <c r="H768" s="2"/>
      <c r="I768" s="2"/>
      <c r="J768" s="2"/>
      <c r="K768" s="2"/>
      <c r="L768" s="2"/>
      <c r="M768" s="2"/>
      <c r="N768" s="3"/>
      <c r="O768" s="3"/>
      <c r="P768" s="3"/>
      <c r="Q768" s="1"/>
      <c r="R768" s="1"/>
      <c r="S768" s="1"/>
      <c r="T768" s="1"/>
      <c r="U768" s="1"/>
      <c r="V768" s="1"/>
      <c r="W768" s="1"/>
      <c r="X768" s="1"/>
      <c r="Y768" s="1"/>
      <c r="Z768" s="1"/>
      <c r="AA768" s="1"/>
      <c r="AB768" s="1"/>
      <c r="AC768" s="1"/>
      <c r="AD768" s="1"/>
      <c r="AE768" s="1"/>
      <c r="AF768" s="1"/>
      <c r="AG768" s="1"/>
      <c r="AH768" s="1"/>
      <c r="AI768" s="1"/>
      <c r="AJ768" s="1"/>
      <c r="AK768" s="1"/>
    </row>
    <row r="769" spans="1:37" ht="12.75" customHeight="1">
      <c r="A769" s="1"/>
      <c r="B769" s="1"/>
      <c r="C769" s="1"/>
      <c r="D769" s="1"/>
      <c r="E769" s="1"/>
      <c r="F769" s="2"/>
      <c r="G769" s="2"/>
      <c r="H769" s="2"/>
      <c r="I769" s="2"/>
      <c r="J769" s="2"/>
      <c r="K769" s="2"/>
      <c r="L769" s="2"/>
      <c r="M769" s="2"/>
      <c r="N769" s="3"/>
      <c r="O769" s="3"/>
      <c r="P769" s="3"/>
      <c r="Q769" s="1"/>
      <c r="R769" s="1"/>
      <c r="S769" s="1"/>
      <c r="T769" s="1"/>
      <c r="U769" s="1"/>
      <c r="V769" s="1"/>
      <c r="W769" s="1"/>
      <c r="X769" s="1"/>
      <c r="Y769" s="1"/>
      <c r="Z769" s="1"/>
      <c r="AA769" s="1"/>
      <c r="AB769" s="1"/>
      <c r="AC769" s="1"/>
      <c r="AD769" s="1"/>
      <c r="AE769" s="1"/>
      <c r="AF769" s="1"/>
      <c r="AG769" s="1"/>
      <c r="AH769" s="1"/>
      <c r="AI769" s="1"/>
      <c r="AJ769" s="1"/>
      <c r="AK769" s="1"/>
    </row>
    <row r="770" spans="1:37" ht="12.75" customHeight="1">
      <c r="A770" s="1"/>
      <c r="B770" s="1"/>
      <c r="C770" s="1"/>
      <c r="D770" s="1"/>
      <c r="E770" s="1"/>
      <c r="F770" s="2"/>
      <c r="G770" s="2"/>
      <c r="H770" s="2"/>
      <c r="I770" s="2"/>
      <c r="J770" s="2"/>
      <c r="K770" s="2"/>
      <c r="L770" s="2"/>
      <c r="M770" s="2"/>
      <c r="N770" s="3"/>
      <c r="O770" s="3"/>
      <c r="P770" s="3"/>
      <c r="Q770" s="1"/>
      <c r="R770" s="1"/>
      <c r="S770" s="1"/>
      <c r="T770" s="1"/>
      <c r="U770" s="1"/>
      <c r="V770" s="1"/>
      <c r="W770" s="1"/>
      <c r="X770" s="1"/>
      <c r="Y770" s="1"/>
      <c r="Z770" s="1"/>
      <c r="AA770" s="1"/>
      <c r="AB770" s="1"/>
      <c r="AC770" s="1"/>
      <c r="AD770" s="1"/>
      <c r="AE770" s="1"/>
      <c r="AF770" s="1"/>
      <c r="AG770" s="1"/>
      <c r="AH770" s="1"/>
      <c r="AI770" s="1"/>
      <c r="AJ770" s="1"/>
      <c r="AK770" s="1"/>
    </row>
    <row r="771" spans="1:37" ht="12.75" customHeight="1">
      <c r="A771" s="1"/>
      <c r="B771" s="1"/>
      <c r="C771" s="1"/>
      <c r="D771" s="1"/>
      <c r="E771" s="1"/>
      <c r="F771" s="2"/>
      <c r="G771" s="2"/>
      <c r="H771" s="2"/>
      <c r="I771" s="2"/>
      <c r="J771" s="2"/>
      <c r="K771" s="2"/>
      <c r="L771" s="2"/>
      <c r="M771" s="2"/>
      <c r="N771" s="3"/>
      <c r="O771" s="3"/>
      <c r="P771" s="3"/>
      <c r="Q771" s="1"/>
      <c r="R771" s="1"/>
      <c r="S771" s="1"/>
      <c r="T771" s="1"/>
      <c r="U771" s="1"/>
      <c r="V771" s="1"/>
      <c r="W771" s="1"/>
      <c r="X771" s="1"/>
      <c r="Y771" s="1"/>
      <c r="Z771" s="1"/>
      <c r="AA771" s="1"/>
      <c r="AB771" s="1"/>
      <c r="AC771" s="1"/>
      <c r="AD771" s="1"/>
      <c r="AE771" s="1"/>
      <c r="AF771" s="1"/>
      <c r="AG771" s="1"/>
      <c r="AH771" s="1"/>
      <c r="AI771" s="1"/>
      <c r="AJ771" s="1"/>
      <c r="AK771" s="1"/>
    </row>
    <row r="772" spans="1:37" ht="12.75" customHeight="1">
      <c r="A772" s="1"/>
      <c r="B772" s="1"/>
      <c r="C772" s="1"/>
      <c r="D772" s="1"/>
      <c r="E772" s="1"/>
      <c r="F772" s="2"/>
      <c r="G772" s="2"/>
      <c r="H772" s="2"/>
      <c r="I772" s="2"/>
      <c r="J772" s="2"/>
      <c r="K772" s="2"/>
      <c r="L772" s="2"/>
      <c r="M772" s="2"/>
      <c r="N772" s="3"/>
      <c r="O772" s="3"/>
      <c r="P772" s="3"/>
      <c r="Q772" s="1"/>
      <c r="R772" s="1"/>
      <c r="S772" s="1"/>
      <c r="T772" s="1"/>
      <c r="U772" s="1"/>
      <c r="V772" s="1"/>
      <c r="W772" s="1"/>
      <c r="X772" s="1"/>
      <c r="Y772" s="1"/>
      <c r="Z772" s="1"/>
      <c r="AA772" s="1"/>
      <c r="AB772" s="1"/>
      <c r="AC772" s="1"/>
      <c r="AD772" s="1"/>
      <c r="AE772" s="1"/>
      <c r="AF772" s="1"/>
      <c r="AG772" s="1"/>
      <c r="AH772" s="1"/>
      <c r="AI772" s="1"/>
      <c r="AJ772" s="1"/>
      <c r="AK772" s="1"/>
    </row>
    <row r="773" spans="1:37" ht="12.75" customHeight="1">
      <c r="A773" s="1"/>
      <c r="B773" s="1"/>
      <c r="C773" s="1"/>
      <c r="D773" s="1"/>
      <c r="E773" s="1"/>
      <c r="F773" s="2"/>
      <c r="G773" s="2"/>
      <c r="H773" s="2"/>
      <c r="I773" s="2"/>
      <c r="J773" s="2"/>
      <c r="K773" s="2"/>
      <c r="L773" s="2"/>
      <c r="M773" s="2"/>
      <c r="N773" s="3"/>
      <c r="O773" s="3"/>
      <c r="P773" s="3"/>
      <c r="Q773" s="1"/>
      <c r="R773" s="1"/>
      <c r="S773" s="1"/>
      <c r="T773" s="1"/>
      <c r="U773" s="1"/>
      <c r="V773" s="1"/>
      <c r="W773" s="1"/>
      <c r="X773" s="1"/>
      <c r="Y773" s="1"/>
      <c r="Z773" s="1"/>
      <c r="AA773" s="1"/>
      <c r="AB773" s="1"/>
      <c r="AC773" s="1"/>
      <c r="AD773" s="1"/>
      <c r="AE773" s="1"/>
      <c r="AF773" s="1"/>
      <c r="AG773" s="1"/>
      <c r="AH773" s="1"/>
      <c r="AI773" s="1"/>
      <c r="AJ773" s="1"/>
      <c r="AK773" s="1"/>
    </row>
    <row r="774" spans="1:37" ht="12.75" customHeight="1">
      <c r="A774" s="1"/>
      <c r="B774" s="1"/>
      <c r="C774" s="1"/>
      <c r="D774" s="1"/>
      <c r="E774" s="1"/>
      <c r="F774" s="2"/>
      <c r="G774" s="2"/>
      <c r="H774" s="2"/>
      <c r="I774" s="2"/>
      <c r="J774" s="2"/>
      <c r="K774" s="2"/>
      <c r="L774" s="2"/>
      <c r="M774" s="2"/>
      <c r="N774" s="3"/>
      <c r="O774" s="3"/>
      <c r="P774" s="3"/>
      <c r="Q774" s="1"/>
      <c r="R774" s="1"/>
      <c r="S774" s="1"/>
      <c r="T774" s="1"/>
      <c r="U774" s="1"/>
      <c r="V774" s="1"/>
      <c r="W774" s="1"/>
      <c r="X774" s="1"/>
      <c r="Y774" s="1"/>
      <c r="Z774" s="1"/>
      <c r="AA774" s="1"/>
      <c r="AB774" s="1"/>
      <c r="AC774" s="1"/>
      <c r="AD774" s="1"/>
      <c r="AE774" s="1"/>
      <c r="AF774" s="1"/>
      <c r="AG774" s="1"/>
      <c r="AH774" s="1"/>
      <c r="AI774" s="1"/>
      <c r="AJ774" s="1"/>
      <c r="AK774" s="1"/>
    </row>
    <row r="775" spans="1:37" ht="12.75" customHeight="1">
      <c r="A775" s="1"/>
      <c r="B775" s="1"/>
      <c r="C775" s="1"/>
      <c r="D775" s="1"/>
      <c r="E775" s="1"/>
      <c r="F775" s="2"/>
      <c r="G775" s="2"/>
      <c r="H775" s="2"/>
      <c r="I775" s="2"/>
      <c r="J775" s="2"/>
      <c r="K775" s="2"/>
      <c r="L775" s="2"/>
      <c r="M775" s="2"/>
      <c r="N775" s="3"/>
      <c r="O775" s="3"/>
      <c r="P775" s="3"/>
      <c r="Q775" s="1"/>
      <c r="R775" s="1"/>
      <c r="S775" s="1"/>
      <c r="T775" s="1"/>
      <c r="U775" s="1"/>
      <c r="V775" s="1"/>
      <c r="W775" s="1"/>
      <c r="X775" s="1"/>
      <c r="Y775" s="1"/>
      <c r="Z775" s="1"/>
      <c r="AA775" s="1"/>
      <c r="AB775" s="1"/>
      <c r="AC775" s="1"/>
      <c r="AD775" s="1"/>
      <c r="AE775" s="1"/>
      <c r="AF775" s="1"/>
      <c r="AG775" s="1"/>
      <c r="AH775" s="1"/>
      <c r="AI775" s="1"/>
      <c r="AJ775" s="1"/>
      <c r="AK775" s="1"/>
    </row>
    <row r="776" spans="1:37" ht="12.75" customHeight="1">
      <c r="A776" s="1"/>
      <c r="B776" s="1"/>
      <c r="C776" s="1"/>
      <c r="D776" s="1"/>
      <c r="E776" s="1"/>
      <c r="F776" s="2"/>
      <c r="G776" s="2"/>
      <c r="H776" s="2"/>
      <c r="I776" s="2"/>
      <c r="J776" s="2"/>
      <c r="K776" s="2"/>
      <c r="L776" s="2"/>
      <c r="M776" s="2"/>
      <c r="N776" s="3"/>
      <c r="O776" s="3"/>
      <c r="P776" s="3"/>
      <c r="Q776" s="1"/>
      <c r="R776" s="1"/>
      <c r="S776" s="1"/>
      <c r="T776" s="1"/>
      <c r="U776" s="1"/>
      <c r="V776" s="1"/>
      <c r="W776" s="1"/>
      <c r="X776" s="1"/>
      <c r="Y776" s="1"/>
      <c r="Z776" s="1"/>
      <c r="AA776" s="1"/>
      <c r="AB776" s="1"/>
      <c r="AC776" s="1"/>
      <c r="AD776" s="1"/>
      <c r="AE776" s="1"/>
      <c r="AF776" s="1"/>
      <c r="AG776" s="1"/>
      <c r="AH776" s="1"/>
      <c r="AI776" s="1"/>
      <c r="AJ776" s="1"/>
      <c r="AK776" s="1"/>
    </row>
    <row r="777" spans="1:37" ht="12.75" customHeight="1">
      <c r="A777" s="1"/>
      <c r="B777" s="1"/>
      <c r="C777" s="1"/>
      <c r="D777" s="1"/>
      <c r="E777" s="1"/>
      <c r="F777" s="2"/>
      <c r="G777" s="2"/>
      <c r="H777" s="2"/>
      <c r="I777" s="2"/>
      <c r="J777" s="2"/>
      <c r="K777" s="2"/>
      <c r="L777" s="2"/>
      <c r="M777" s="2"/>
      <c r="N777" s="3"/>
      <c r="O777" s="3"/>
      <c r="P777" s="3"/>
      <c r="Q777" s="1"/>
      <c r="R777" s="1"/>
      <c r="S777" s="1"/>
      <c r="T777" s="1"/>
      <c r="U777" s="1"/>
      <c r="V777" s="1"/>
      <c r="W777" s="1"/>
      <c r="X777" s="1"/>
      <c r="Y777" s="1"/>
      <c r="Z777" s="1"/>
      <c r="AA777" s="1"/>
      <c r="AB777" s="1"/>
      <c r="AC777" s="1"/>
      <c r="AD777" s="1"/>
      <c r="AE777" s="1"/>
      <c r="AF777" s="1"/>
      <c r="AG777" s="1"/>
      <c r="AH777" s="1"/>
      <c r="AI777" s="1"/>
      <c r="AJ777" s="1"/>
      <c r="AK777" s="1"/>
    </row>
    <row r="778" spans="1:37" ht="12.75" customHeight="1">
      <c r="A778" s="1"/>
      <c r="B778" s="1"/>
      <c r="C778" s="1"/>
      <c r="D778" s="1"/>
      <c r="E778" s="1"/>
      <c r="F778" s="2"/>
      <c r="G778" s="2"/>
      <c r="H778" s="2"/>
      <c r="I778" s="2"/>
      <c r="J778" s="2"/>
      <c r="K778" s="2"/>
      <c r="L778" s="2"/>
      <c r="M778" s="2"/>
      <c r="N778" s="3"/>
      <c r="O778" s="3"/>
      <c r="P778" s="3"/>
      <c r="Q778" s="1"/>
      <c r="R778" s="1"/>
      <c r="S778" s="1"/>
      <c r="T778" s="1"/>
      <c r="U778" s="1"/>
      <c r="V778" s="1"/>
      <c r="W778" s="1"/>
      <c r="X778" s="1"/>
      <c r="Y778" s="1"/>
      <c r="Z778" s="1"/>
      <c r="AA778" s="1"/>
      <c r="AB778" s="1"/>
      <c r="AC778" s="1"/>
      <c r="AD778" s="1"/>
      <c r="AE778" s="1"/>
      <c r="AF778" s="1"/>
      <c r="AG778" s="1"/>
      <c r="AH778" s="1"/>
      <c r="AI778" s="1"/>
      <c r="AJ778" s="1"/>
      <c r="AK778" s="1"/>
    </row>
    <row r="779" spans="1:37" ht="12.75" customHeight="1">
      <c r="A779" s="1"/>
      <c r="B779" s="1"/>
      <c r="C779" s="1"/>
      <c r="D779" s="1"/>
      <c r="E779" s="1"/>
      <c r="F779" s="2"/>
      <c r="G779" s="2"/>
      <c r="H779" s="2"/>
      <c r="I779" s="2"/>
      <c r="J779" s="2"/>
      <c r="K779" s="2"/>
      <c r="L779" s="2"/>
      <c r="M779" s="2"/>
      <c r="N779" s="3"/>
      <c r="O779" s="3"/>
      <c r="P779" s="3"/>
      <c r="Q779" s="1"/>
      <c r="R779" s="1"/>
      <c r="S779" s="1"/>
      <c r="T779" s="1"/>
      <c r="U779" s="1"/>
      <c r="V779" s="1"/>
      <c r="W779" s="1"/>
      <c r="X779" s="1"/>
      <c r="Y779" s="1"/>
      <c r="Z779" s="1"/>
      <c r="AA779" s="1"/>
      <c r="AB779" s="1"/>
      <c r="AC779" s="1"/>
      <c r="AD779" s="1"/>
      <c r="AE779" s="1"/>
      <c r="AF779" s="1"/>
      <c r="AG779" s="1"/>
      <c r="AH779" s="1"/>
      <c r="AI779" s="1"/>
      <c r="AJ779" s="1"/>
      <c r="AK779" s="1"/>
    </row>
    <row r="780" spans="1:37" ht="12.75" customHeight="1">
      <c r="A780" s="1"/>
      <c r="B780" s="1"/>
      <c r="C780" s="1"/>
      <c r="D780" s="1"/>
      <c r="E780" s="1"/>
      <c r="F780" s="2"/>
      <c r="G780" s="2"/>
      <c r="H780" s="2"/>
      <c r="I780" s="2"/>
      <c r="J780" s="2"/>
      <c r="K780" s="2"/>
      <c r="L780" s="2"/>
      <c r="M780" s="2"/>
      <c r="N780" s="3"/>
      <c r="O780" s="3"/>
      <c r="P780" s="3"/>
      <c r="Q780" s="1"/>
      <c r="R780" s="1"/>
      <c r="S780" s="1"/>
      <c r="T780" s="1"/>
      <c r="U780" s="1"/>
      <c r="V780" s="1"/>
      <c r="W780" s="1"/>
      <c r="X780" s="1"/>
      <c r="Y780" s="1"/>
      <c r="Z780" s="1"/>
      <c r="AA780" s="1"/>
      <c r="AB780" s="1"/>
      <c r="AC780" s="1"/>
      <c r="AD780" s="1"/>
      <c r="AE780" s="1"/>
      <c r="AF780" s="1"/>
      <c r="AG780" s="1"/>
      <c r="AH780" s="1"/>
      <c r="AI780" s="1"/>
      <c r="AJ780" s="1"/>
      <c r="AK780" s="1"/>
    </row>
    <row r="781" spans="1:37" ht="12.75" customHeight="1">
      <c r="A781" s="1"/>
      <c r="B781" s="1"/>
      <c r="C781" s="1"/>
      <c r="D781" s="1"/>
      <c r="E781" s="1"/>
      <c r="F781" s="2"/>
      <c r="G781" s="2"/>
      <c r="H781" s="2"/>
      <c r="I781" s="2"/>
      <c r="J781" s="2"/>
      <c r="K781" s="2"/>
      <c r="L781" s="2"/>
      <c r="M781" s="2"/>
      <c r="N781" s="3"/>
      <c r="O781" s="3"/>
      <c r="P781" s="3"/>
      <c r="Q781" s="1"/>
      <c r="R781" s="1"/>
      <c r="S781" s="1"/>
      <c r="T781" s="1"/>
      <c r="U781" s="1"/>
      <c r="V781" s="1"/>
      <c r="W781" s="1"/>
      <c r="X781" s="1"/>
      <c r="Y781" s="1"/>
      <c r="Z781" s="1"/>
      <c r="AA781" s="1"/>
      <c r="AB781" s="1"/>
      <c r="AC781" s="1"/>
      <c r="AD781" s="1"/>
      <c r="AE781" s="1"/>
      <c r="AF781" s="1"/>
      <c r="AG781" s="1"/>
      <c r="AH781" s="1"/>
      <c r="AI781" s="1"/>
      <c r="AJ781" s="1"/>
      <c r="AK781" s="1"/>
    </row>
    <row r="782" spans="1:37" ht="12.75" customHeight="1">
      <c r="A782" s="1"/>
      <c r="B782" s="1"/>
      <c r="C782" s="1"/>
      <c r="D782" s="1"/>
      <c r="E782" s="1"/>
      <c r="F782" s="2"/>
      <c r="G782" s="2"/>
      <c r="H782" s="2"/>
      <c r="I782" s="2"/>
      <c r="J782" s="2"/>
      <c r="K782" s="2"/>
      <c r="L782" s="2"/>
      <c r="M782" s="2"/>
      <c r="N782" s="3"/>
      <c r="O782" s="3"/>
      <c r="P782" s="3"/>
      <c r="Q782" s="1"/>
      <c r="R782" s="1"/>
      <c r="S782" s="1"/>
      <c r="T782" s="1"/>
      <c r="U782" s="1"/>
      <c r="V782" s="1"/>
      <c r="W782" s="1"/>
      <c r="X782" s="1"/>
      <c r="Y782" s="1"/>
      <c r="Z782" s="1"/>
      <c r="AA782" s="1"/>
      <c r="AB782" s="1"/>
      <c r="AC782" s="1"/>
      <c r="AD782" s="1"/>
      <c r="AE782" s="1"/>
      <c r="AF782" s="1"/>
      <c r="AG782" s="1"/>
      <c r="AH782" s="1"/>
      <c r="AI782" s="1"/>
      <c r="AJ782" s="1"/>
      <c r="AK782" s="1"/>
    </row>
    <row r="783" spans="1:37" ht="12.75" customHeight="1">
      <c r="A783" s="1"/>
      <c r="B783" s="1"/>
      <c r="C783" s="1"/>
      <c r="D783" s="1"/>
      <c r="E783" s="1"/>
      <c r="F783" s="2"/>
      <c r="G783" s="2"/>
      <c r="H783" s="2"/>
      <c r="I783" s="2"/>
      <c r="J783" s="2"/>
      <c r="K783" s="2"/>
      <c r="L783" s="2"/>
      <c r="M783" s="2"/>
      <c r="N783" s="3"/>
      <c r="O783" s="3"/>
      <c r="P783" s="3"/>
      <c r="Q783" s="1"/>
      <c r="R783" s="1"/>
      <c r="S783" s="1"/>
      <c r="T783" s="1"/>
      <c r="U783" s="1"/>
      <c r="V783" s="1"/>
      <c r="W783" s="1"/>
      <c r="X783" s="1"/>
      <c r="Y783" s="1"/>
      <c r="Z783" s="1"/>
      <c r="AA783" s="1"/>
      <c r="AB783" s="1"/>
      <c r="AC783" s="1"/>
      <c r="AD783" s="1"/>
      <c r="AE783" s="1"/>
      <c r="AF783" s="1"/>
      <c r="AG783" s="1"/>
      <c r="AH783" s="1"/>
      <c r="AI783" s="1"/>
      <c r="AJ783" s="1"/>
      <c r="AK783" s="1"/>
    </row>
    <row r="784" spans="1:37" ht="12.75" customHeight="1">
      <c r="A784" s="1"/>
      <c r="B784" s="1"/>
      <c r="C784" s="1"/>
      <c r="D784" s="1"/>
      <c r="E784" s="1"/>
      <c r="F784" s="2"/>
      <c r="G784" s="2"/>
      <c r="H784" s="2"/>
      <c r="I784" s="2"/>
      <c r="J784" s="2"/>
      <c r="K784" s="2"/>
      <c r="L784" s="2"/>
      <c r="M784" s="2"/>
      <c r="N784" s="3"/>
      <c r="O784" s="3"/>
      <c r="P784" s="3"/>
      <c r="Q784" s="1"/>
      <c r="R784" s="1"/>
      <c r="S784" s="1"/>
      <c r="T784" s="1"/>
      <c r="U784" s="1"/>
      <c r="V784" s="1"/>
      <c r="W784" s="1"/>
      <c r="X784" s="1"/>
      <c r="Y784" s="1"/>
      <c r="Z784" s="1"/>
      <c r="AA784" s="1"/>
      <c r="AB784" s="1"/>
      <c r="AC784" s="1"/>
      <c r="AD784" s="1"/>
      <c r="AE784" s="1"/>
      <c r="AF784" s="1"/>
      <c r="AG784" s="1"/>
      <c r="AH784" s="1"/>
      <c r="AI784" s="1"/>
      <c r="AJ784" s="1"/>
      <c r="AK784" s="1"/>
    </row>
    <row r="785" spans="1:37" ht="12.75" customHeight="1">
      <c r="A785" s="1"/>
      <c r="B785" s="1"/>
      <c r="C785" s="1"/>
      <c r="D785" s="1"/>
      <c r="E785" s="1"/>
      <c r="F785" s="2"/>
      <c r="G785" s="2"/>
      <c r="H785" s="2"/>
      <c r="I785" s="2"/>
      <c r="J785" s="2"/>
      <c r="K785" s="2"/>
      <c r="L785" s="2"/>
      <c r="M785" s="2"/>
      <c r="N785" s="3"/>
      <c r="O785" s="3"/>
      <c r="P785" s="3"/>
      <c r="Q785" s="1"/>
      <c r="R785" s="1"/>
      <c r="S785" s="1"/>
      <c r="T785" s="1"/>
      <c r="U785" s="1"/>
      <c r="V785" s="1"/>
      <c r="W785" s="1"/>
      <c r="X785" s="1"/>
      <c r="Y785" s="1"/>
      <c r="Z785" s="1"/>
      <c r="AA785" s="1"/>
      <c r="AB785" s="1"/>
      <c r="AC785" s="1"/>
      <c r="AD785" s="1"/>
      <c r="AE785" s="1"/>
      <c r="AF785" s="1"/>
      <c r="AG785" s="1"/>
      <c r="AH785" s="1"/>
      <c r="AI785" s="1"/>
      <c r="AJ785" s="1"/>
      <c r="AK785" s="1"/>
    </row>
    <row r="786" spans="1:37" ht="12.75" customHeight="1">
      <c r="A786" s="1"/>
      <c r="B786" s="1"/>
      <c r="C786" s="1"/>
      <c r="D786" s="1"/>
      <c r="E786" s="1"/>
      <c r="F786" s="2"/>
      <c r="G786" s="2"/>
      <c r="H786" s="2"/>
      <c r="I786" s="2"/>
      <c r="J786" s="2"/>
      <c r="K786" s="2"/>
      <c r="L786" s="2"/>
      <c r="M786" s="2"/>
      <c r="N786" s="3"/>
      <c r="O786" s="3"/>
      <c r="P786" s="3"/>
      <c r="Q786" s="1"/>
      <c r="R786" s="1"/>
      <c r="S786" s="1"/>
      <c r="T786" s="1"/>
      <c r="U786" s="1"/>
      <c r="V786" s="1"/>
      <c r="W786" s="1"/>
      <c r="X786" s="1"/>
      <c r="Y786" s="1"/>
      <c r="Z786" s="1"/>
      <c r="AA786" s="1"/>
      <c r="AB786" s="1"/>
      <c r="AC786" s="1"/>
      <c r="AD786" s="1"/>
      <c r="AE786" s="1"/>
      <c r="AF786" s="1"/>
      <c r="AG786" s="1"/>
      <c r="AH786" s="1"/>
      <c r="AI786" s="1"/>
      <c r="AJ786" s="1"/>
      <c r="AK786" s="1"/>
    </row>
    <row r="787" spans="1:37" ht="12.75" customHeight="1">
      <c r="A787" s="1"/>
      <c r="B787" s="1"/>
      <c r="C787" s="1"/>
      <c r="D787" s="1"/>
      <c r="E787" s="1"/>
      <c r="F787" s="2"/>
      <c r="G787" s="2"/>
      <c r="H787" s="2"/>
      <c r="I787" s="2"/>
      <c r="J787" s="2"/>
      <c r="K787" s="2"/>
      <c r="L787" s="2"/>
      <c r="M787" s="2"/>
      <c r="N787" s="3"/>
      <c r="O787" s="3"/>
      <c r="P787" s="3"/>
      <c r="Q787" s="1"/>
      <c r="R787" s="1"/>
      <c r="S787" s="1"/>
      <c r="T787" s="1"/>
      <c r="U787" s="1"/>
      <c r="V787" s="1"/>
      <c r="W787" s="1"/>
      <c r="X787" s="1"/>
      <c r="Y787" s="1"/>
      <c r="Z787" s="1"/>
      <c r="AA787" s="1"/>
      <c r="AB787" s="1"/>
      <c r="AC787" s="1"/>
      <c r="AD787" s="1"/>
      <c r="AE787" s="1"/>
      <c r="AF787" s="1"/>
      <c r="AG787" s="1"/>
      <c r="AH787" s="1"/>
      <c r="AI787" s="1"/>
      <c r="AJ787" s="1"/>
      <c r="AK787" s="1"/>
    </row>
    <row r="788" spans="1:37" ht="12.75" customHeight="1">
      <c r="A788" s="1"/>
      <c r="B788" s="1"/>
      <c r="C788" s="1"/>
      <c r="D788" s="1"/>
      <c r="E788" s="1"/>
      <c r="F788" s="2"/>
      <c r="G788" s="2"/>
      <c r="H788" s="2"/>
      <c r="I788" s="2"/>
      <c r="J788" s="2"/>
      <c r="K788" s="2"/>
      <c r="L788" s="2"/>
      <c r="M788" s="2"/>
      <c r="N788" s="3"/>
      <c r="O788" s="3"/>
      <c r="P788" s="3"/>
      <c r="Q788" s="1"/>
      <c r="R788" s="1"/>
      <c r="S788" s="1"/>
      <c r="T788" s="1"/>
      <c r="U788" s="1"/>
      <c r="V788" s="1"/>
      <c r="W788" s="1"/>
      <c r="X788" s="1"/>
      <c r="Y788" s="1"/>
      <c r="Z788" s="1"/>
      <c r="AA788" s="1"/>
      <c r="AB788" s="1"/>
      <c r="AC788" s="1"/>
      <c r="AD788" s="1"/>
      <c r="AE788" s="1"/>
      <c r="AF788" s="1"/>
      <c r="AG788" s="1"/>
      <c r="AH788" s="1"/>
      <c r="AI788" s="1"/>
      <c r="AJ788" s="1"/>
      <c r="AK788" s="1"/>
    </row>
    <row r="789" spans="1:37" ht="12.75" customHeight="1">
      <c r="A789" s="1"/>
      <c r="B789" s="1"/>
      <c r="C789" s="1"/>
      <c r="D789" s="1"/>
      <c r="E789" s="1"/>
      <c r="F789" s="2"/>
      <c r="G789" s="2"/>
      <c r="H789" s="2"/>
      <c r="I789" s="2"/>
      <c r="J789" s="2"/>
      <c r="K789" s="2"/>
      <c r="L789" s="2"/>
      <c r="M789" s="2"/>
      <c r="N789" s="3"/>
      <c r="O789" s="3"/>
      <c r="P789" s="3"/>
      <c r="Q789" s="1"/>
      <c r="R789" s="1"/>
      <c r="S789" s="1"/>
      <c r="T789" s="1"/>
      <c r="U789" s="1"/>
      <c r="V789" s="1"/>
      <c r="W789" s="1"/>
      <c r="X789" s="1"/>
      <c r="Y789" s="1"/>
      <c r="Z789" s="1"/>
      <c r="AA789" s="1"/>
      <c r="AB789" s="1"/>
      <c r="AC789" s="1"/>
      <c r="AD789" s="1"/>
      <c r="AE789" s="1"/>
      <c r="AF789" s="1"/>
      <c r="AG789" s="1"/>
      <c r="AH789" s="1"/>
      <c r="AI789" s="1"/>
      <c r="AJ789" s="1"/>
      <c r="AK789" s="1"/>
    </row>
    <row r="790" spans="1:37" ht="12.75" customHeight="1">
      <c r="A790" s="1"/>
      <c r="B790" s="1"/>
      <c r="C790" s="1"/>
      <c r="D790" s="1"/>
      <c r="E790" s="1"/>
      <c r="F790" s="2"/>
      <c r="G790" s="2"/>
      <c r="H790" s="2"/>
      <c r="I790" s="2"/>
      <c r="J790" s="2"/>
      <c r="K790" s="2"/>
      <c r="L790" s="2"/>
      <c r="M790" s="2"/>
      <c r="N790" s="3"/>
      <c r="O790" s="3"/>
      <c r="P790" s="3"/>
      <c r="Q790" s="1"/>
      <c r="R790" s="1"/>
      <c r="S790" s="1"/>
      <c r="T790" s="1"/>
      <c r="U790" s="1"/>
      <c r="V790" s="1"/>
      <c r="W790" s="1"/>
      <c r="X790" s="1"/>
      <c r="Y790" s="1"/>
      <c r="Z790" s="1"/>
      <c r="AA790" s="1"/>
      <c r="AB790" s="1"/>
      <c r="AC790" s="1"/>
      <c r="AD790" s="1"/>
      <c r="AE790" s="1"/>
      <c r="AF790" s="1"/>
      <c r="AG790" s="1"/>
      <c r="AH790" s="1"/>
      <c r="AI790" s="1"/>
      <c r="AJ790" s="1"/>
      <c r="AK790" s="1"/>
    </row>
    <row r="791" spans="1:37" ht="12.75" customHeight="1">
      <c r="A791" s="1"/>
      <c r="B791" s="1"/>
      <c r="C791" s="1"/>
      <c r="D791" s="1"/>
      <c r="E791" s="1"/>
      <c r="F791" s="2"/>
      <c r="G791" s="2"/>
      <c r="H791" s="2"/>
      <c r="I791" s="2"/>
      <c r="J791" s="2"/>
      <c r="K791" s="2"/>
      <c r="L791" s="2"/>
      <c r="M791" s="2"/>
      <c r="N791" s="3"/>
      <c r="O791" s="3"/>
      <c r="P791" s="3"/>
      <c r="Q791" s="1"/>
      <c r="R791" s="1"/>
      <c r="S791" s="1"/>
      <c r="T791" s="1"/>
      <c r="U791" s="1"/>
      <c r="V791" s="1"/>
      <c r="W791" s="1"/>
      <c r="X791" s="1"/>
      <c r="Y791" s="1"/>
      <c r="Z791" s="1"/>
      <c r="AA791" s="1"/>
      <c r="AB791" s="1"/>
      <c r="AC791" s="1"/>
      <c r="AD791" s="1"/>
      <c r="AE791" s="1"/>
      <c r="AF791" s="1"/>
      <c r="AG791" s="1"/>
      <c r="AH791" s="1"/>
      <c r="AI791" s="1"/>
      <c r="AJ791" s="1"/>
      <c r="AK791" s="1"/>
    </row>
    <row r="792" spans="1:37" ht="12.75" customHeight="1">
      <c r="A792" s="1"/>
      <c r="B792" s="1"/>
      <c r="C792" s="1"/>
      <c r="D792" s="1"/>
      <c r="E792" s="1"/>
      <c r="F792" s="2"/>
      <c r="G792" s="2"/>
      <c r="H792" s="2"/>
      <c r="I792" s="2"/>
      <c r="J792" s="2"/>
      <c r="K792" s="2"/>
      <c r="L792" s="2"/>
      <c r="M792" s="2"/>
      <c r="N792" s="3"/>
      <c r="O792" s="3"/>
      <c r="P792" s="3"/>
      <c r="Q792" s="1"/>
      <c r="R792" s="1"/>
      <c r="S792" s="1"/>
      <c r="T792" s="1"/>
      <c r="U792" s="1"/>
      <c r="V792" s="1"/>
      <c r="W792" s="1"/>
      <c r="X792" s="1"/>
      <c r="Y792" s="1"/>
      <c r="Z792" s="1"/>
      <c r="AA792" s="1"/>
      <c r="AB792" s="1"/>
      <c r="AC792" s="1"/>
      <c r="AD792" s="1"/>
      <c r="AE792" s="1"/>
      <c r="AF792" s="1"/>
      <c r="AG792" s="1"/>
      <c r="AH792" s="1"/>
      <c r="AI792" s="1"/>
      <c r="AJ792" s="1"/>
      <c r="AK792" s="1"/>
    </row>
    <row r="793" spans="1:37" ht="12.75" customHeight="1">
      <c r="A793" s="1"/>
      <c r="B793" s="1"/>
      <c r="C793" s="1"/>
      <c r="D793" s="1"/>
      <c r="E793" s="1"/>
      <c r="F793" s="2"/>
      <c r="G793" s="2"/>
      <c r="H793" s="2"/>
      <c r="I793" s="2"/>
      <c r="J793" s="2"/>
      <c r="K793" s="2"/>
      <c r="L793" s="2"/>
      <c r="M793" s="2"/>
      <c r="N793" s="3"/>
      <c r="O793" s="3"/>
      <c r="P793" s="3"/>
      <c r="Q793" s="1"/>
      <c r="R793" s="1"/>
      <c r="S793" s="1"/>
      <c r="T793" s="1"/>
      <c r="U793" s="1"/>
      <c r="V793" s="1"/>
      <c r="W793" s="1"/>
      <c r="X793" s="1"/>
      <c r="Y793" s="1"/>
      <c r="Z793" s="1"/>
      <c r="AA793" s="1"/>
      <c r="AB793" s="1"/>
      <c r="AC793" s="1"/>
      <c r="AD793" s="1"/>
      <c r="AE793" s="1"/>
      <c r="AF793" s="1"/>
      <c r="AG793" s="1"/>
      <c r="AH793" s="1"/>
      <c r="AI793" s="1"/>
      <c r="AJ793" s="1"/>
      <c r="AK793" s="1"/>
    </row>
    <row r="794" spans="1:37" ht="12.75" customHeight="1">
      <c r="A794" s="1"/>
      <c r="B794" s="1"/>
      <c r="C794" s="1"/>
      <c r="D794" s="1"/>
      <c r="E794" s="1"/>
      <c r="F794" s="2"/>
      <c r="G794" s="2"/>
      <c r="H794" s="2"/>
      <c r="I794" s="2"/>
      <c r="J794" s="2"/>
      <c r="K794" s="2"/>
      <c r="L794" s="2"/>
      <c r="M794" s="2"/>
      <c r="N794" s="3"/>
      <c r="O794" s="3"/>
      <c r="P794" s="3"/>
      <c r="Q794" s="1"/>
      <c r="R794" s="1"/>
      <c r="S794" s="1"/>
      <c r="T794" s="1"/>
      <c r="U794" s="1"/>
      <c r="V794" s="1"/>
      <c r="W794" s="1"/>
      <c r="X794" s="1"/>
      <c r="Y794" s="1"/>
      <c r="Z794" s="1"/>
      <c r="AA794" s="1"/>
      <c r="AB794" s="1"/>
      <c r="AC794" s="1"/>
      <c r="AD794" s="1"/>
      <c r="AE794" s="1"/>
      <c r="AF794" s="1"/>
      <c r="AG794" s="1"/>
      <c r="AH794" s="1"/>
      <c r="AI794" s="1"/>
      <c r="AJ794" s="1"/>
      <c r="AK794" s="1"/>
    </row>
    <row r="795" spans="1:37" ht="12.75" customHeight="1">
      <c r="A795" s="1"/>
      <c r="B795" s="1"/>
      <c r="C795" s="1"/>
      <c r="D795" s="1"/>
      <c r="E795" s="1"/>
      <c r="F795" s="2"/>
      <c r="G795" s="2"/>
      <c r="H795" s="2"/>
      <c r="I795" s="2"/>
      <c r="J795" s="2"/>
      <c r="K795" s="2"/>
      <c r="L795" s="2"/>
      <c r="M795" s="2"/>
      <c r="N795" s="3"/>
      <c r="O795" s="3"/>
      <c r="P795" s="3"/>
      <c r="Q795" s="1"/>
      <c r="R795" s="1"/>
      <c r="S795" s="1"/>
      <c r="T795" s="1"/>
      <c r="U795" s="1"/>
      <c r="V795" s="1"/>
      <c r="W795" s="1"/>
      <c r="X795" s="1"/>
      <c r="Y795" s="1"/>
      <c r="Z795" s="1"/>
      <c r="AA795" s="1"/>
      <c r="AB795" s="1"/>
      <c r="AC795" s="1"/>
      <c r="AD795" s="1"/>
      <c r="AE795" s="1"/>
      <c r="AF795" s="1"/>
      <c r="AG795" s="1"/>
      <c r="AH795" s="1"/>
      <c r="AI795" s="1"/>
      <c r="AJ795" s="1"/>
      <c r="AK795" s="1"/>
    </row>
    <row r="796" spans="1:37" ht="12.75" customHeight="1">
      <c r="A796" s="1"/>
      <c r="B796" s="1"/>
      <c r="C796" s="1"/>
      <c r="D796" s="1"/>
      <c r="E796" s="1"/>
      <c r="F796" s="2"/>
      <c r="G796" s="2"/>
      <c r="H796" s="2"/>
      <c r="I796" s="2"/>
      <c r="J796" s="2"/>
      <c r="K796" s="2"/>
      <c r="L796" s="2"/>
      <c r="M796" s="2"/>
      <c r="N796" s="3"/>
      <c r="O796" s="3"/>
      <c r="P796" s="3"/>
      <c r="Q796" s="1"/>
      <c r="R796" s="1"/>
      <c r="S796" s="1"/>
      <c r="T796" s="1"/>
      <c r="U796" s="1"/>
      <c r="V796" s="1"/>
      <c r="W796" s="1"/>
      <c r="X796" s="1"/>
      <c r="Y796" s="1"/>
      <c r="Z796" s="1"/>
      <c r="AA796" s="1"/>
      <c r="AB796" s="1"/>
      <c r="AC796" s="1"/>
      <c r="AD796" s="1"/>
      <c r="AE796" s="1"/>
      <c r="AF796" s="1"/>
      <c r="AG796" s="1"/>
      <c r="AH796" s="1"/>
      <c r="AI796" s="1"/>
      <c r="AJ796" s="1"/>
      <c r="AK796" s="1"/>
    </row>
    <row r="797" spans="1:37" ht="12.75" customHeight="1">
      <c r="A797" s="1"/>
      <c r="B797" s="1"/>
      <c r="C797" s="1"/>
      <c r="D797" s="1"/>
      <c r="E797" s="1"/>
      <c r="F797" s="2"/>
      <c r="G797" s="2"/>
      <c r="H797" s="2"/>
      <c r="I797" s="2"/>
      <c r="J797" s="2"/>
      <c r="K797" s="2"/>
      <c r="L797" s="2"/>
      <c r="M797" s="2"/>
      <c r="N797" s="3"/>
      <c r="O797" s="3"/>
      <c r="P797" s="3"/>
      <c r="Q797" s="1"/>
      <c r="R797" s="1"/>
      <c r="S797" s="1"/>
      <c r="T797" s="1"/>
      <c r="U797" s="1"/>
      <c r="V797" s="1"/>
      <c r="W797" s="1"/>
      <c r="X797" s="1"/>
      <c r="Y797" s="1"/>
      <c r="Z797" s="1"/>
      <c r="AA797" s="1"/>
      <c r="AB797" s="1"/>
      <c r="AC797" s="1"/>
      <c r="AD797" s="1"/>
      <c r="AE797" s="1"/>
      <c r="AF797" s="1"/>
      <c r="AG797" s="1"/>
      <c r="AH797" s="1"/>
      <c r="AI797" s="1"/>
      <c r="AJ797" s="1"/>
      <c r="AK797" s="1"/>
    </row>
    <row r="798" spans="1:37" ht="12.75" customHeight="1">
      <c r="A798" s="1"/>
      <c r="B798" s="1"/>
      <c r="C798" s="1"/>
      <c r="D798" s="1"/>
      <c r="E798" s="1"/>
      <c r="F798" s="2"/>
      <c r="G798" s="2"/>
      <c r="H798" s="2"/>
      <c r="I798" s="2"/>
      <c r="J798" s="2"/>
      <c r="K798" s="2"/>
      <c r="L798" s="2"/>
      <c r="M798" s="2"/>
      <c r="N798" s="3"/>
      <c r="O798" s="3"/>
      <c r="P798" s="3"/>
      <c r="Q798" s="1"/>
      <c r="R798" s="1"/>
      <c r="S798" s="1"/>
      <c r="T798" s="1"/>
      <c r="U798" s="1"/>
      <c r="V798" s="1"/>
      <c r="W798" s="1"/>
      <c r="X798" s="1"/>
      <c r="Y798" s="1"/>
      <c r="Z798" s="1"/>
      <c r="AA798" s="1"/>
      <c r="AB798" s="1"/>
      <c r="AC798" s="1"/>
      <c r="AD798" s="1"/>
      <c r="AE798" s="1"/>
      <c r="AF798" s="1"/>
      <c r="AG798" s="1"/>
      <c r="AH798" s="1"/>
      <c r="AI798" s="1"/>
      <c r="AJ798" s="1"/>
      <c r="AK798" s="1"/>
    </row>
    <row r="799" spans="1:37" ht="12.75" customHeight="1">
      <c r="A799" s="1"/>
      <c r="B799" s="1"/>
      <c r="C799" s="1"/>
      <c r="D799" s="1"/>
      <c r="E799" s="1"/>
      <c r="F799" s="2"/>
      <c r="G799" s="2"/>
      <c r="H799" s="2"/>
      <c r="I799" s="2"/>
      <c r="J799" s="2"/>
      <c r="K799" s="2"/>
      <c r="L799" s="2"/>
      <c r="M799" s="2"/>
      <c r="N799" s="3"/>
      <c r="O799" s="3"/>
      <c r="P799" s="3"/>
      <c r="Q799" s="1"/>
      <c r="R799" s="1"/>
      <c r="S799" s="1"/>
      <c r="T799" s="1"/>
      <c r="U799" s="1"/>
      <c r="V799" s="1"/>
      <c r="W799" s="1"/>
      <c r="X799" s="1"/>
      <c r="Y799" s="1"/>
      <c r="Z799" s="1"/>
      <c r="AA799" s="1"/>
      <c r="AB799" s="1"/>
      <c r="AC799" s="1"/>
      <c r="AD799" s="1"/>
      <c r="AE799" s="1"/>
      <c r="AF799" s="1"/>
      <c r="AG799" s="1"/>
      <c r="AH799" s="1"/>
      <c r="AI799" s="1"/>
      <c r="AJ799" s="1"/>
      <c r="AK799" s="1"/>
    </row>
    <row r="800" spans="1:37" ht="12.75" customHeight="1">
      <c r="A800" s="1"/>
      <c r="B800" s="1"/>
      <c r="C800" s="1"/>
      <c r="D800" s="1"/>
      <c r="E800" s="1"/>
      <c r="F800" s="2"/>
      <c r="G800" s="2"/>
      <c r="H800" s="2"/>
      <c r="I800" s="2"/>
      <c r="J800" s="2"/>
      <c r="K800" s="2"/>
      <c r="L800" s="2"/>
      <c r="M800" s="2"/>
      <c r="N800" s="3"/>
      <c r="O800" s="3"/>
      <c r="P800" s="3"/>
      <c r="Q800" s="1"/>
      <c r="R800" s="1"/>
      <c r="S800" s="1"/>
      <c r="T800" s="1"/>
      <c r="U800" s="1"/>
      <c r="V800" s="1"/>
      <c r="W800" s="1"/>
      <c r="X800" s="1"/>
      <c r="Y800" s="1"/>
      <c r="Z800" s="1"/>
      <c r="AA800" s="1"/>
      <c r="AB800" s="1"/>
      <c r="AC800" s="1"/>
      <c r="AD800" s="1"/>
      <c r="AE800" s="1"/>
      <c r="AF800" s="1"/>
      <c r="AG800" s="1"/>
      <c r="AH800" s="1"/>
      <c r="AI800" s="1"/>
      <c r="AJ800" s="1"/>
      <c r="AK800" s="1"/>
    </row>
    <row r="801" spans="1:37" ht="12.75" customHeight="1">
      <c r="A801" s="1"/>
      <c r="B801" s="1"/>
      <c r="C801" s="1"/>
      <c r="D801" s="1"/>
      <c r="E801" s="1"/>
      <c r="F801" s="2"/>
      <c r="G801" s="2"/>
      <c r="H801" s="2"/>
      <c r="I801" s="2"/>
      <c r="J801" s="2"/>
      <c r="K801" s="2"/>
      <c r="L801" s="2"/>
      <c r="M801" s="2"/>
      <c r="N801" s="3"/>
      <c r="O801" s="3"/>
      <c r="P801" s="3"/>
      <c r="Q801" s="1"/>
      <c r="R801" s="1"/>
      <c r="S801" s="1"/>
      <c r="T801" s="1"/>
      <c r="U801" s="1"/>
      <c r="V801" s="1"/>
      <c r="W801" s="1"/>
      <c r="X801" s="1"/>
      <c r="Y801" s="1"/>
      <c r="Z801" s="1"/>
      <c r="AA801" s="1"/>
      <c r="AB801" s="1"/>
      <c r="AC801" s="1"/>
      <c r="AD801" s="1"/>
      <c r="AE801" s="1"/>
      <c r="AF801" s="1"/>
      <c r="AG801" s="1"/>
      <c r="AH801" s="1"/>
      <c r="AI801" s="1"/>
      <c r="AJ801" s="1"/>
      <c r="AK801" s="1"/>
    </row>
    <row r="802" spans="1:37" ht="12.75" customHeight="1">
      <c r="A802" s="1"/>
      <c r="B802" s="1"/>
      <c r="C802" s="1"/>
      <c r="D802" s="1"/>
      <c r="E802" s="1"/>
      <c r="F802" s="2"/>
      <c r="G802" s="2"/>
      <c r="H802" s="2"/>
      <c r="I802" s="2"/>
      <c r="J802" s="2"/>
      <c r="K802" s="2"/>
      <c r="L802" s="2"/>
      <c r="M802" s="2"/>
      <c r="N802" s="3"/>
      <c r="O802" s="3"/>
      <c r="P802" s="3"/>
      <c r="Q802" s="1"/>
      <c r="R802" s="1"/>
      <c r="S802" s="1"/>
      <c r="T802" s="1"/>
      <c r="U802" s="1"/>
      <c r="V802" s="1"/>
      <c r="W802" s="1"/>
      <c r="X802" s="1"/>
      <c r="Y802" s="1"/>
      <c r="Z802" s="1"/>
      <c r="AA802" s="1"/>
      <c r="AB802" s="1"/>
      <c r="AC802" s="1"/>
      <c r="AD802" s="1"/>
      <c r="AE802" s="1"/>
      <c r="AF802" s="1"/>
      <c r="AG802" s="1"/>
      <c r="AH802" s="1"/>
      <c r="AI802" s="1"/>
      <c r="AJ802" s="1"/>
      <c r="AK802" s="1"/>
    </row>
    <row r="803" spans="1:37" ht="12.75" customHeight="1">
      <c r="A803" s="1"/>
      <c r="B803" s="1"/>
      <c r="C803" s="1"/>
      <c r="D803" s="1"/>
      <c r="E803" s="1"/>
      <c r="F803" s="2"/>
      <c r="G803" s="2"/>
      <c r="H803" s="2"/>
      <c r="I803" s="2"/>
      <c r="J803" s="2"/>
      <c r="K803" s="2"/>
      <c r="L803" s="2"/>
      <c r="M803" s="2"/>
      <c r="N803" s="3"/>
      <c r="O803" s="3"/>
      <c r="P803" s="3"/>
      <c r="Q803" s="1"/>
      <c r="R803" s="1"/>
      <c r="S803" s="1"/>
      <c r="T803" s="1"/>
      <c r="U803" s="1"/>
      <c r="V803" s="1"/>
      <c r="W803" s="1"/>
      <c r="X803" s="1"/>
      <c r="Y803" s="1"/>
      <c r="Z803" s="1"/>
      <c r="AA803" s="1"/>
      <c r="AB803" s="1"/>
      <c r="AC803" s="1"/>
      <c r="AD803" s="1"/>
      <c r="AE803" s="1"/>
      <c r="AF803" s="1"/>
      <c r="AG803" s="1"/>
      <c r="AH803" s="1"/>
      <c r="AI803" s="1"/>
      <c r="AJ803" s="1"/>
      <c r="AK803" s="1"/>
    </row>
    <row r="804" spans="1:37" ht="12.75" customHeight="1">
      <c r="A804" s="1"/>
      <c r="B804" s="1"/>
      <c r="C804" s="1"/>
      <c r="D804" s="1"/>
      <c r="E804" s="1"/>
      <c r="F804" s="2"/>
      <c r="G804" s="2"/>
      <c r="H804" s="2"/>
      <c r="I804" s="2"/>
      <c r="J804" s="2"/>
      <c r="K804" s="2"/>
      <c r="L804" s="2"/>
      <c r="M804" s="2"/>
      <c r="N804" s="3"/>
      <c r="O804" s="3"/>
      <c r="P804" s="3"/>
      <c r="Q804" s="1"/>
      <c r="R804" s="1"/>
      <c r="S804" s="1"/>
      <c r="T804" s="1"/>
      <c r="U804" s="1"/>
      <c r="V804" s="1"/>
      <c r="W804" s="1"/>
      <c r="X804" s="1"/>
      <c r="Y804" s="1"/>
      <c r="Z804" s="1"/>
      <c r="AA804" s="1"/>
      <c r="AB804" s="1"/>
      <c r="AC804" s="1"/>
      <c r="AD804" s="1"/>
      <c r="AE804" s="1"/>
      <c r="AF804" s="1"/>
      <c r="AG804" s="1"/>
      <c r="AH804" s="1"/>
      <c r="AI804" s="1"/>
      <c r="AJ804" s="1"/>
      <c r="AK804" s="1"/>
    </row>
    <row r="805" spans="1:37" ht="12.75" customHeight="1">
      <c r="A805" s="1"/>
      <c r="B805" s="1"/>
      <c r="C805" s="1"/>
      <c r="D805" s="1"/>
      <c r="E805" s="1"/>
      <c r="F805" s="2"/>
      <c r="G805" s="2"/>
      <c r="H805" s="2"/>
      <c r="I805" s="2"/>
      <c r="J805" s="2"/>
      <c r="K805" s="2"/>
      <c r="L805" s="2"/>
      <c r="M805" s="2"/>
      <c r="N805" s="3"/>
      <c r="O805" s="3"/>
      <c r="P805" s="3"/>
      <c r="Q805" s="1"/>
      <c r="R805" s="1"/>
      <c r="S805" s="1"/>
      <c r="T805" s="1"/>
      <c r="U805" s="1"/>
      <c r="V805" s="1"/>
      <c r="W805" s="1"/>
      <c r="X805" s="1"/>
      <c r="Y805" s="1"/>
      <c r="Z805" s="1"/>
      <c r="AA805" s="1"/>
      <c r="AB805" s="1"/>
      <c r="AC805" s="1"/>
      <c r="AD805" s="1"/>
      <c r="AE805" s="1"/>
      <c r="AF805" s="1"/>
      <c r="AG805" s="1"/>
      <c r="AH805" s="1"/>
      <c r="AI805" s="1"/>
      <c r="AJ805" s="1"/>
      <c r="AK805" s="1"/>
    </row>
    <row r="806" spans="1:37" ht="12.75" customHeight="1">
      <c r="A806" s="1"/>
      <c r="B806" s="1"/>
      <c r="C806" s="1"/>
      <c r="D806" s="1"/>
      <c r="E806" s="1"/>
      <c r="F806" s="2"/>
      <c r="G806" s="2"/>
      <c r="H806" s="2"/>
      <c r="I806" s="2"/>
      <c r="J806" s="2"/>
      <c r="K806" s="2"/>
      <c r="L806" s="2"/>
      <c r="M806" s="2"/>
      <c r="N806" s="3"/>
      <c r="O806" s="3"/>
      <c r="P806" s="3"/>
      <c r="Q806" s="1"/>
      <c r="R806" s="1"/>
      <c r="S806" s="1"/>
      <c r="T806" s="1"/>
      <c r="U806" s="1"/>
      <c r="V806" s="1"/>
      <c r="W806" s="1"/>
      <c r="X806" s="1"/>
      <c r="Y806" s="1"/>
      <c r="Z806" s="1"/>
      <c r="AA806" s="1"/>
      <c r="AB806" s="1"/>
      <c r="AC806" s="1"/>
      <c r="AD806" s="1"/>
      <c r="AE806" s="1"/>
      <c r="AF806" s="1"/>
      <c r="AG806" s="1"/>
      <c r="AH806" s="1"/>
      <c r="AI806" s="1"/>
      <c r="AJ806" s="1"/>
      <c r="AK806" s="1"/>
    </row>
    <row r="807" spans="1:37" ht="12.75" customHeight="1">
      <c r="A807" s="1"/>
      <c r="B807" s="1"/>
      <c r="C807" s="1"/>
      <c r="D807" s="1"/>
      <c r="E807" s="1"/>
      <c r="F807" s="2"/>
      <c r="G807" s="2"/>
      <c r="H807" s="2"/>
      <c r="I807" s="2"/>
      <c r="J807" s="2"/>
      <c r="K807" s="2"/>
      <c r="L807" s="2"/>
      <c r="M807" s="2"/>
      <c r="N807" s="3"/>
      <c r="O807" s="3"/>
      <c r="P807" s="3"/>
      <c r="Q807" s="1"/>
      <c r="R807" s="1"/>
      <c r="S807" s="1"/>
      <c r="T807" s="1"/>
      <c r="U807" s="1"/>
      <c r="V807" s="1"/>
      <c r="W807" s="1"/>
      <c r="X807" s="1"/>
      <c r="Y807" s="1"/>
      <c r="Z807" s="1"/>
      <c r="AA807" s="1"/>
      <c r="AB807" s="1"/>
      <c r="AC807" s="1"/>
      <c r="AD807" s="1"/>
      <c r="AE807" s="1"/>
      <c r="AF807" s="1"/>
      <c r="AG807" s="1"/>
      <c r="AH807" s="1"/>
      <c r="AI807" s="1"/>
      <c r="AJ807" s="1"/>
      <c r="AK807" s="1"/>
    </row>
    <row r="808" spans="1:37" ht="12.75" customHeight="1">
      <c r="A808" s="1"/>
      <c r="B808" s="1"/>
      <c r="C808" s="1"/>
      <c r="D808" s="1"/>
      <c r="E808" s="1"/>
      <c r="F808" s="2"/>
      <c r="G808" s="2"/>
      <c r="H808" s="2"/>
      <c r="I808" s="2"/>
      <c r="J808" s="2"/>
      <c r="K808" s="2"/>
      <c r="L808" s="2"/>
      <c r="M808" s="2"/>
      <c r="N808" s="3"/>
      <c r="O808" s="3"/>
      <c r="P808" s="3"/>
      <c r="Q808" s="1"/>
      <c r="R808" s="1"/>
      <c r="S808" s="1"/>
      <c r="T808" s="1"/>
      <c r="U808" s="1"/>
      <c r="V808" s="1"/>
      <c r="W808" s="1"/>
      <c r="X808" s="1"/>
      <c r="Y808" s="1"/>
      <c r="Z808" s="1"/>
      <c r="AA808" s="1"/>
      <c r="AB808" s="1"/>
      <c r="AC808" s="1"/>
      <c r="AD808" s="1"/>
      <c r="AE808" s="1"/>
      <c r="AF808" s="1"/>
      <c r="AG808" s="1"/>
      <c r="AH808" s="1"/>
      <c r="AI808" s="1"/>
      <c r="AJ808" s="1"/>
      <c r="AK808" s="1"/>
    </row>
    <row r="809" spans="1:37" ht="12.75" customHeight="1">
      <c r="A809" s="1"/>
      <c r="B809" s="1"/>
      <c r="C809" s="1"/>
      <c r="D809" s="1"/>
      <c r="E809" s="1"/>
      <c r="F809" s="2"/>
      <c r="G809" s="2"/>
      <c r="H809" s="2"/>
      <c r="I809" s="2"/>
      <c r="J809" s="2"/>
      <c r="K809" s="2"/>
      <c r="L809" s="2"/>
      <c r="M809" s="2"/>
      <c r="N809" s="3"/>
      <c r="O809" s="3"/>
      <c r="P809" s="3"/>
      <c r="Q809" s="1"/>
      <c r="R809" s="1"/>
      <c r="S809" s="1"/>
      <c r="T809" s="1"/>
      <c r="U809" s="1"/>
      <c r="V809" s="1"/>
      <c r="W809" s="1"/>
      <c r="X809" s="1"/>
      <c r="Y809" s="1"/>
      <c r="Z809" s="1"/>
      <c r="AA809" s="1"/>
      <c r="AB809" s="1"/>
      <c r="AC809" s="1"/>
      <c r="AD809" s="1"/>
      <c r="AE809" s="1"/>
      <c r="AF809" s="1"/>
      <c r="AG809" s="1"/>
      <c r="AH809" s="1"/>
      <c r="AI809" s="1"/>
      <c r="AJ809" s="1"/>
      <c r="AK809" s="1"/>
    </row>
    <row r="810" spans="1:37" ht="12.75" customHeight="1">
      <c r="A810" s="1"/>
      <c r="B810" s="1"/>
      <c r="C810" s="1"/>
      <c r="D810" s="1"/>
      <c r="E810" s="1"/>
      <c r="F810" s="2"/>
      <c r="G810" s="2"/>
      <c r="H810" s="2"/>
      <c r="I810" s="2"/>
      <c r="J810" s="2"/>
      <c r="K810" s="2"/>
      <c r="L810" s="2"/>
      <c r="M810" s="2"/>
      <c r="N810" s="3"/>
      <c r="O810" s="3"/>
      <c r="P810" s="3"/>
      <c r="Q810" s="1"/>
      <c r="R810" s="1"/>
      <c r="S810" s="1"/>
      <c r="T810" s="1"/>
      <c r="U810" s="1"/>
      <c r="V810" s="1"/>
      <c r="W810" s="1"/>
      <c r="X810" s="1"/>
      <c r="Y810" s="1"/>
      <c r="Z810" s="1"/>
      <c r="AA810" s="1"/>
      <c r="AB810" s="1"/>
      <c r="AC810" s="1"/>
      <c r="AD810" s="1"/>
      <c r="AE810" s="1"/>
      <c r="AF810" s="1"/>
      <c r="AG810" s="1"/>
      <c r="AH810" s="1"/>
      <c r="AI810" s="1"/>
      <c r="AJ810" s="1"/>
      <c r="AK810" s="1"/>
    </row>
    <row r="811" spans="1:37" ht="12.75" customHeight="1">
      <c r="A811" s="1"/>
      <c r="B811" s="1"/>
      <c r="C811" s="1"/>
      <c r="D811" s="1"/>
      <c r="E811" s="1"/>
      <c r="F811" s="2"/>
      <c r="G811" s="2"/>
      <c r="H811" s="2"/>
      <c r="I811" s="2"/>
      <c r="J811" s="2"/>
      <c r="K811" s="2"/>
      <c r="L811" s="2"/>
      <c r="M811" s="2"/>
      <c r="N811" s="3"/>
      <c r="O811" s="3"/>
      <c r="P811" s="3"/>
      <c r="Q811" s="1"/>
      <c r="R811" s="1"/>
      <c r="S811" s="1"/>
      <c r="T811" s="1"/>
      <c r="U811" s="1"/>
      <c r="V811" s="1"/>
      <c r="W811" s="1"/>
      <c r="X811" s="1"/>
      <c r="Y811" s="1"/>
      <c r="Z811" s="1"/>
      <c r="AA811" s="1"/>
      <c r="AB811" s="1"/>
      <c r="AC811" s="1"/>
      <c r="AD811" s="1"/>
      <c r="AE811" s="1"/>
      <c r="AF811" s="1"/>
      <c r="AG811" s="1"/>
      <c r="AH811" s="1"/>
      <c r="AI811" s="1"/>
      <c r="AJ811" s="1"/>
      <c r="AK811" s="1"/>
    </row>
    <row r="812" spans="1:37" ht="12.75" customHeight="1">
      <c r="A812" s="1"/>
      <c r="B812" s="1"/>
      <c r="C812" s="1"/>
      <c r="D812" s="1"/>
      <c r="E812" s="1"/>
      <c r="F812" s="2"/>
      <c r="G812" s="2"/>
      <c r="H812" s="2"/>
      <c r="I812" s="2"/>
      <c r="J812" s="2"/>
      <c r="K812" s="2"/>
      <c r="L812" s="2"/>
      <c r="M812" s="2"/>
      <c r="N812" s="3"/>
      <c r="O812" s="3"/>
      <c r="P812" s="3"/>
      <c r="Q812" s="1"/>
      <c r="R812" s="1"/>
      <c r="S812" s="1"/>
      <c r="T812" s="1"/>
      <c r="U812" s="1"/>
      <c r="V812" s="1"/>
      <c r="W812" s="1"/>
      <c r="X812" s="1"/>
      <c r="Y812" s="1"/>
      <c r="Z812" s="1"/>
      <c r="AA812" s="1"/>
      <c r="AB812" s="1"/>
      <c r="AC812" s="1"/>
      <c r="AD812" s="1"/>
      <c r="AE812" s="1"/>
      <c r="AF812" s="1"/>
      <c r="AG812" s="1"/>
      <c r="AH812" s="1"/>
      <c r="AI812" s="1"/>
      <c r="AJ812" s="1"/>
      <c r="AK812" s="1"/>
    </row>
    <row r="813" spans="1:37" ht="12.75" customHeight="1">
      <c r="A813" s="1"/>
      <c r="B813" s="1"/>
      <c r="C813" s="1"/>
      <c r="D813" s="1"/>
      <c r="E813" s="1"/>
      <c r="F813" s="2"/>
      <c r="G813" s="2"/>
      <c r="H813" s="2"/>
      <c r="I813" s="2"/>
      <c r="J813" s="2"/>
      <c r="K813" s="2"/>
      <c r="L813" s="2"/>
      <c r="M813" s="2"/>
      <c r="N813" s="3"/>
      <c r="O813" s="3"/>
      <c r="P813" s="3"/>
      <c r="Q813" s="1"/>
      <c r="R813" s="1"/>
      <c r="S813" s="1"/>
      <c r="T813" s="1"/>
      <c r="U813" s="1"/>
      <c r="V813" s="1"/>
      <c r="W813" s="1"/>
      <c r="X813" s="1"/>
      <c r="Y813" s="1"/>
      <c r="Z813" s="1"/>
      <c r="AA813" s="1"/>
      <c r="AB813" s="1"/>
      <c r="AC813" s="1"/>
      <c r="AD813" s="1"/>
      <c r="AE813" s="1"/>
      <c r="AF813" s="1"/>
      <c r="AG813" s="1"/>
      <c r="AH813" s="1"/>
      <c r="AI813" s="1"/>
      <c r="AJ813" s="1"/>
      <c r="AK813" s="1"/>
    </row>
    <row r="814" spans="1:37" ht="12.75" customHeight="1">
      <c r="A814" s="1"/>
      <c r="B814" s="1"/>
      <c r="C814" s="1"/>
      <c r="D814" s="1"/>
      <c r="E814" s="1"/>
      <c r="F814" s="2"/>
      <c r="G814" s="2"/>
      <c r="H814" s="2"/>
      <c r="I814" s="2"/>
      <c r="J814" s="2"/>
      <c r="K814" s="2"/>
      <c r="L814" s="2"/>
      <c r="M814" s="2"/>
      <c r="N814" s="3"/>
      <c r="O814" s="3"/>
      <c r="P814" s="3"/>
      <c r="Q814" s="1"/>
      <c r="R814" s="1"/>
      <c r="S814" s="1"/>
      <c r="T814" s="1"/>
      <c r="U814" s="1"/>
      <c r="V814" s="1"/>
      <c r="W814" s="1"/>
      <c r="X814" s="1"/>
      <c r="Y814" s="1"/>
      <c r="Z814" s="1"/>
      <c r="AA814" s="1"/>
      <c r="AB814" s="1"/>
      <c r="AC814" s="1"/>
      <c r="AD814" s="1"/>
      <c r="AE814" s="1"/>
      <c r="AF814" s="1"/>
      <c r="AG814" s="1"/>
      <c r="AH814" s="1"/>
      <c r="AI814" s="1"/>
      <c r="AJ814" s="1"/>
      <c r="AK814" s="1"/>
    </row>
    <row r="815" spans="1:37" ht="12.75" customHeight="1">
      <c r="A815" s="1"/>
      <c r="B815" s="1"/>
      <c r="C815" s="1"/>
      <c r="D815" s="1"/>
      <c r="E815" s="1"/>
      <c r="F815" s="2"/>
      <c r="G815" s="2"/>
      <c r="H815" s="2"/>
      <c r="I815" s="2"/>
      <c r="J815" s="2"/>
      <c r="K815" s="2"/>
      <c r="L815" s="2"/>
      <c r="M815" s="2"/>
      <c r="N815" s="3"/>
      <c r="O815" s="3"/>
      <c r="P815" s="3"/>
      <c r="Q815" s="1"/>
      <c r="R815" s="1"/>
      <c r="S815" s="1"/>
      <c r="T815" s="1"/>
      <c r="U815" s="1"/>
      <c r="V815" s="1"/>
      <c r="W815" s="1"/>
      <c r="X815" s="1"/>
      <c r="Y815" s="1"/>
      <c r="Z815" s="1"/>
      <c r="AA815" s="1"/>
      <c r="AB815" s="1"/>
      <c r="AC815" s="1"/>
      <c r="AD815" s="1"/>
      <c r="AE815" s="1"/>
      <c r="AF815" s="1"/>
      <c r="AG815" s="1"/>
      <c r="AH815" s="1"/>
      <c r="AI815" s="1"/>
      <c r="AJ815" s="1"/>
      <c r="AK815" s="1"/>
    </row>
    <row r="816" spans="1:37" ht="12.75" customHeight="1">
      <c r="A816" s="1"/>
      <c r="B816" s="1"/>
      <c r="C816" s="1"/>
      <c r="D816" s="1"/>
      <c r="E816" s="1"/>
      <c r="F816" s="2"/>
      <c r="G816" s="2"/>
      <c r="H816" s="2"/>
      <c r="I816" s="2"/>
      <c r="J816" s="2"/>
      <c r="K816" s="2"/>
      <c r="L816" s="2"/>
      <c r="M816" s="2"/>
      <c r="N816" s="3"/>
      <c r="O816" s="3"/>
      <c r="P816" s="3"/>
      <c r="Q816" s="1"/>
      <c r="R816" s="1"/>
      <c r="S816" s="1"/>
      <c r="T816" s="1"/>
      <c r="U816" s="1"/>
      <c r="V816" s="1"/>
      <c r="W816" s="1"/>
      <c r="X816" s="1"/>
      <c r="Y816" s="1"/>
      <c r="Z816" s="1"/>
      <c r="AA816" s="1"/>
      <c r="AB816" s="1"/>
      <c r="AC816" s="1"/>
      <c r="AD816" s="1"/>
      <c r="AE816" s="1"/>
      <c r="AF816" s="1"/>
      <c r="AG816" s="1"/>
      <c r="AH816" s="1"/>
      <c r="AI816" s="1"/>
      <c r="AJ816" s="1"/>
      <c r="AK816" s="1"/>
    </row>
    <row r="817" spans="1:37" ht="12.75" customHeight="1">
      <c r="A817" s="1"/>
      <c r="B817" s="1"/>
      <c r="C817" s="1"/>
      <c r="D817" s="1"/>
      <c r="E817" s="1"/>
      <c r="F817" s="2"/>
      <c r="G817" s="2"/>
      <c r="H817" s="2"/>
      <c r="I817" s="2"/>
      <c r="J817" s="2"/>
      <c r="K817" s="2"/>
      <c r="L817" s="2"/>
      <c r="M817" s="2"/>
      <c r="N817" s="3"/>
      <c r="O817" s="3"/>
      <c r="P817" s="3"/>
      <c r="Q817" s="1"/>
      <c r="R817" s="1"/>
      <c r="S817" s="1"/>
      <c r="T817" s="1"/>
      <c r="U817" s="1"/>
      <c r="V817" s="1"/>
      <c r="W817" s="1"/>
      <c r="X817" s="1"/>
      <c r="Y817" s="1"/>
      <c r="Z817" s="1"/>
      <c r="AA817" s="1"/>
      <c r="AB817" s="1"/>
      <c r="AC817" s="1"/>
      <c r="AD817" s="1"/>
      <c r="AE817" s="1"/>
      <c r="AF817" s="1"/>
      <c r="AG817" s="1"/>
      <c r="AH817" s="1"/>
      <c r="AI817" s="1"/>
      <c r="AJ817" s="1"/>
      <c r="AK817" s="1"/>
    </row>
    <row r="818" spans="1:37" ht="12.75" customHeight="1">
      <c r="A818" s="1"/>
      <c r="B818" s="1"/>
      <c r="C818" s="1"/>
      <c r="D818" s="1"/>
      <c r="E818" s="1"/>
      <c r="F818" s="2"/>
      <c r="G818" s="2"/>
      <c r="H818" s="2"/>
      <c r="I818" s="2"/>
      <c r="J818" s="2"/>
      <c r="K818" s="2"/>
      <c r="L818" s="2"/>
      <c r="M818" s="2"/>
      <c r="N818" s="3"/>
      <c r="O818" s="3"/>
      <c r="P818" s="3"/>
      <c r="Q818" s="1"/>
      <c r="R818" s="1"/>
      <c r="S818" s="1"/>
      <c r="T818" s="1"/>
      <c r="U818" s="1"/>
      <c r="V818" s="1"/>
      <c r="W818" s="1"/>
      <c r="X818" s="1"/>
      <c r="Y818" s="1"/>
      <c r="Z818" s="1"/>
      <c r="AA818" s="1"/>
      <c r="AB818" s="1"/>
      <c r="AC818" s="1"/>
      <c r="AD818" s="1"/>
      <c r="AE818" s="1"/>
      <c r="AF818" s="1"/>
      <c r="AG818" s="1"/>
      <c r="AH818" s="1"/>
      <c r="AI818" s="1"/>
      <c r="AJ818" s="1"/>
      <c r="AK818" s="1"/>
    </row>
    <row r="819" spans="1:37" ht="12.75" customHeight="1">
      <c r="A819" s="1"/>
      <c r="B819" s="1"/>
      <c r="C819" s="1"/>
      <c r="D819" s="1"/>
      <c r="E819" s="1"/>
      <c r="F819" s="2"/>
      <c r="G819" s="2"/>
      <c r="H819" s="2"/>
      <c r="I819" s="2"/>
      <c r="J819" s="2"/>
      <c r="K819" s="2"/>
      <c r="L819" s="2"/>
      <c r="M819" s="2"/>
      <c r="N819" s="3"/>
      <c r="O819" s="3"/>
      <c r="P819" s="3"/>
      <c r="Q819" s="1"/>
      <c r="R819" s="1"/>
      <c r="S819" s="1"/>
      <c r="T819" s="1"/>
      <c r="U819" s="1"/>
      <c r="V819" s="1"/>
      <c r="W819" s="1"/>
      <c r="X819" s="1"/>
      <c r="Y819" s="1"/>
      <c r="Z819" s="1"/>
      <c r="AA819" s="1"/>
      <c r="AB819" s="1"/>
      <c r="AC819" s="1"/>
      <c r="AD819" s="1"/>
      <c r="AE819" s="1"/>
      <c r="AF819" s="1"/>
      <c r="AG819" s="1"/>
      <c r="AH819" s="1"/>
      <c r="AI819" s="1"/>
      <c r="AJ819" s="1"/>
      <c r="AK819" s="1"/>
    </row>
    <row r="820" spans="1:37" ht="12.75" customHeight="1">
      <c r="A820" s="1"/>
      <c r="B820" s="1"/>
      <c r="C820" s="1"/>
      <c r="D820" s="1"/>
      <c r="E820" s="1"/>
      <c r="F820" s="2"/>
      <c r="G820" s="2"/>
      <c r="H820" s="2"/>
      <c r="I820" s="2"/>
      <c r="J820" s="2"/>
      <c r="K820" s="2"/>
      <c r="L820" s="2"/>
      <c r="M820" s="2"/>
      <c r="N820" s="3"/>
      <c r="O820" s="3"/>
      <c r="P820" s="3"/>
      <c r="Q820" s="1"/>
      <c r="R820" s="1"/>
      <c r="S820" s="1"/>
      <c r="T820" s="1"/>
      <c r="U820" s="1"/>
      <c r="V820" s="1"/>
      <c r="W820" s="1"/>
      <c r="X820" s="1"/>
      <c r="Y820" s="1"/>
      <c r="Z820" s="1"/>
      <c r="AA820" s="1"/>
      <c r="AB820" s="1"/>
      <c r="AC820" s="1"/>
      <c r="AD820" s="1"/>
      <c r="AE820" s="1"/>
      <c r="AF820" s="1"/>
      <c r="AG820" s="1"/>
      <c r="AH820" s="1"/>
      <c r="AI820" s="1"/>
      <c r="AJ820" s="1"/>
      <c r="AK820" s="1"/>
    </row>
    <row r="821" spans="1:37" ht="12.75" customHeight="1">
      <c r="A821" s="1"/>
      <c r="B821" s="1"/>
      <c r="C821" s="1"/>
      <c r="D821" s="1"/>
      <c r="E821" s="1"/>
      <c r="F821" s="2"/>
      <c r="G821" s="2"/>
      <c r="H821" s="2"/>
      <c r="I821" s="2"/>
      <c r="J821" s="2"/>
      <c r="K821" s="2"/>
      <c r="L821" s="2"/>
      <c r="M821" s="2"/>
      <c r="N821" s="3"/>
      <c r="O821" s="3"/>
      <c r="P821" s="3"/>
      <c r="Q821" s="1"/>
      <c r="R821" s="1"/>
      <c r="S821" s="1"/>
      <c r="T821" s="1"/>
      <c r="U821" s="1"/>
      <c r="V821" s="1"/>
      <c r="W821" s="1"/>
      <c r="X821" s="1"/>
      <c r="Y821" s="1"/>
      <c r="Z821" s="1"/>
      <c r="AA821" s="1"/>
      <c r="AB821" s="1"/>
      <c r="AC821" s="1"/>
      <c r="AD821" s="1"/>
      <c r="AE821" s="1"/>
      <c r="AF821" s="1"/>
      <c r="AG821" s="1"/>
      <c r="AH821" s="1"/>
      <c r="AI821" s="1"/>
      <c r="AJ821" s="1"/>
      <c r="AK821" s="1"/>
    </row>
    <row r="822" spans="1:37" ht="12.75" customHeight="1">
      <c r="A822" s="1"/>
      <c r="B822" s="1"/>
      <c r="C822" s="1"/>
      <c r="D822" s="1"/>
      <c r="E822" s="1"/>
      <c r="F822" s="2"/>
      <c r="G822" s="2"/>
      <c r="H822" s="2"/>
      <c r="I822" s="2"/>
      <c r="J822" s="2"/>
      <c r="K822" s="2"/>
      <c r="L822" s="2"/>
      <c r="M822" s="2"/>
      <c r="N822" s="3"/>
      <c r="O822" s="3"/>
      <c r="P822" s="3"/>
      <c r="Q822" s="1"/>
      <c r="R822" s="1"/>
      <c r="S822" s="1"/>
      <c r="T822" s="1"/>
      <c r="U822" s="1"/>
      <c r="V822" s="1"/>
      <c r="W822" s="1"/>
      <c r="X822" s="1"/>
      <c r="Y822" s="1"/>
      <c r="Z822" s="1"/>
      <c r="AA822" s="1"/>
      <c r="AB822" s="1"/>
      <c r="AC822" s="1"/>
      <c r="AD822" s="1"/>
      <c r="AE822" s="1"/>
      <c r="AF822" s="1"/>
      <c r="AG822" s="1"/>
      <c r="AH822" s="1"/>
      <c r="AI822" s="1"/>
      <c r="AJ822" s="1"/>
      <c r="AK822" s="1"/>
    </row>
    <row r="823" spans="1:37" ht="12.75" customHeight="1">
      <c r="A823" s="1"/>
      <c r="B823" s="1"/>
      <c r="C823" s="1"/>
      <c r="D823" s="1"/>
      <c r="E823" s="1"/>
      <c r="F823" s="2"/>
      <c r="G823" s="2"/>
      <c r="H823" s="2"/>
      <c r="I823" s="2"/>
      <c r="J823" s="2"/>
      <c r="K823" s="2"/>
      <c r="L823" s="2"/>
      <c r="M823" s="2"/>
      <c r="N823" s="3"/>
      <c r="O823" s="3"/>
      <c r="P823" s="3"/>
      <c r="Q823" s="1"/>
      <c r="R823" s="1"/>
      <c r="S823" s="1"/>
      <c r="T823" s="1"/>
      <c r="U823" s="1"/>
      <c r="V823" s="1"/>
      <c r="W823" s="1"/>
      <c r="X823" s="1"/>
      <c r="Y823" s="1"/>
      <c r="Z823" s="1"/>
      <c r="AA823" s="1"/>
      <c r="AB823" s="1"/>
      <c r="AC823" s="1"/>
      <c r="AD823" s="1"/>
      <c r="AE823" s="1"/>
      <c r="AF823" s="1"/>
      <c r="AG823" s="1"/>
      <c r="AH823" s="1"/>
      <c r="AI823" s="1"/>
      <c r="AJ823" s="1"/>
      <c r="AK823" s="1"/>
    </row>
    <row r="824" spans="1:37" ht="12.75" customHeight="1">
      <c r="A824" s="1"/>
      <c r="B824" s="1"/>
      <c r="C824" s="1"/>
      <c r="D824" s="1"/>
      <c r="E824" s="1"/>
      <c r="F824" s="2"/>
      <c r="G824" s="2"/>
      <c r="H824" s="2"/>
      <c r="I824" s="2"/>
      <c r="J824" s="2"/>
      <c r="K824" s="2"/>
      <c r="L824" s="2"/>
      <c r="M824" s="2"/>
      <c r="N824" s="3"/>
      <c r="O824" s="3"/>
      <c r="P824" s="3"/>
      <c r="Q824" s="1"/>
      <c r="R824" s="1"/>
      <c r="S824" s="1"/>
      <c r="T824" s="1"/>
      <c r="U824" s="1"/>
      <c r="V824" s="1"/>
      <c r="W824" s="1"/>
      <c r="X824" s="1"/>
      <c r="Y824" s="1"/>
      <c r="Z824" s="1"/>
      <c r="AA824" s="1"/>
      <c r="AB824" s="1"/>
      <c r="AC824" s="1"/>
      <c r="AD824" s="1"/>
      <c r="AE824" s="1"/>
      <c r="AF824" s="1"/>
      <c r="AG824" s="1"/>
      <c r="AH824" s="1"/>
      <c r="AI824" s="1"/>
      <c r="AJ824" s="1"/>
      <c r="AK824" s="1"/>
    </row>
    <row r="825" spans="1:37" ht="12.75" customHeight="1">
      <c r="A825" s="1"/>
      <c r="B825" s="1"/>
      <c r="C825" s="1"/>
      <c r="D825" s="1"/>
      <c r="E825" s="1"/>
      <c r="F825" s="2"/>
      <c r="G825" s="2"/>
      <c r="H825" s="2"/>
      <c r="I825" s="2"/>
      <c r="J825" s="2"/>
      <c r="K825" s="2"/>
      <c r="L825" s="2"/>
      <c r="M825" s="2"/>
      <c r="N825" s="3"/>
      <c r="O825" s="3"/>
      <c r="P825" s="3"/>
      <c r="Q825" s="1"/>
      <c r="R825" s="1"/>
      <c r="S825" s="1"/>
      <c r="T825" s="1"/>
      <c r="U825" s="1"/>
      <c r="V825" s="1"/>
      <c r="W825" s="1"/>
      <c r="X825" s="1"/>
      <c r="Y825" s="1"/>
      <c r="Z825" s="1"/>
      <c r="AA825" s="1"/>
      <c r="AB825" s="1"/>
      <c r="AC825" s="1"/>
      <c r="AD825" s="1"/>
      <c r="AE825" s="1"/>
      <c r="AF825" s="1"/>
      <c r="AG825" s="1"/>
      <c r="AH825" s="1"/>
      <c r="AI825" s="1"/>
      <c r="AJ825" s="1"/>
      <c r="AK825" s="1"/>
    </row>
    <row r="826" spans="1:37" ht="12.75" customHeight="1">
      <c r="A826" s="1"/>
      <c r="B826" s="1"/>
      <c r="C826" s="1"/>
      <c r="D826" s="1"/>
      <c r="E826" s="1"/>
      <c r="F826" s="2"/>
      <c r="G826" s="2"/>
      <c r="H826" s="2"/>
      <c r="I826" s="2"/>
      <c r="J826" s="2"/>
      <c r="K826" s="2"/>
      <c r="L826" s="2"/>
      <c r="M826" s="2"/>
      <c r="N826" s="3"/>
      <c r="O826" s="3"/>
      <c r="P826" s="3"/>
      <c r="Q826" s="1"/>
      <c r="R826" s="1"/>
      <c r="S826" s="1"/>
      <c r="T826" s="1"/>
      <c r="U826" s="1"/>
      <c r="V826" s="1"/>
      <c r="W826" s="1"/>
      <c r="X826" s="1"/>
      <c r="Y826" s="1"/>
      <c r="Z826" s="1"/>
      <c r="AA826" s="1"/>
      <c r="AB826" s="1"/>
      <c r="AC826" s="1"/>
      <c r="AD826" s="1"/>
      <c r="AE826" s="1"/>
      <c r="AF826" s="1"/>
      <c r="AG826" s="1"/>
      <c r="AH826" s="1"/>
      <c r="AI826" s="1"/>
      <c r="AJ826" s="1"/>
      <c r="AK826" s="1"/>
    </row>
    <row r="827" spans="1:37" ht="12.75" customHeight="1">
      <c r="A827" s="1"/>
      <c r="B827" s="1"/>
      <c r="C827" s="1"/>
      <c r="D827" s="1"/>
      <c r="E827" s="1"/>
      <c r="F827" s="2"/>
      <c r="G827" s="2"/>
      <c r="H827" s="2"/>
      <c r="I827" s="2"/>
      <c r="J827" s="2"/>
      <c r="K827" s="2"/>
      <c r="L827" s="2"/>
      <c r="M827" s="2"/>
      <c r="N827" s="3"/>
      <c r="O827" s="3"/>
      <c r="P827" s="3"/>
      <c r="Q827" s="1"/>
      <c r="R827" s="1"/>
      <c r="S827" s="1"/>
      <c r="T827" s="1"/>
      <c r="U827" s="1"/>
      <c r="V827" s="1"/>
      <c r="W827" s="1"/>
      <c r="X827" s="1"/>
      <c r="Y827" s="1"/>
      <c r="Z827" s="1"/>
      <c r="AA827" s="1"/>
      <c r="AB827" s="1"/>
      <c r="AC827" s="1"/>
      <c r="AD827" s="1"/>
      <c r="AE827" s="1"/>
      <c r="AF827" s="1"/>
      <c r="AG827" s="1"/>
      <c r="AH827" s="1"/>
      <c r="AI827" s="1"/>
      <c r="AJ827" s="1"/>
      <c r="AK827" s="1"/>
    </row>
    <row r="828" spans="1:37" ht="12.75" customHeight="1">
      <c r="A828" s="1"/>
      <c r="B828" s="1"/>
      <c r="C828" s="1"/>
      <c r="D828" s="1"/>
      <c r="E828" s="1"/>
      <c r="F828" s="2"/>
      <c r="G828" s="2"/>
      <c r="H828" s="2"/>
      <c r="I828" s="2"/>
      <c r="J828" s="2"/>
      <c r="K828" s="2"/>
      <c r="L828" s="2"/>
      <c r="M828" s="2"/>
      <c r="N828" s="3"/>
      <c r="O828" s="3"/>
      <c r="P828" s="3"/>
      <c r="Q828" s="1"/>
      <c r="R828" s="1"/>
      <c r="S828" s="1"/>
      <c r="T828" s="1"/>
      <c r="U828" s="1"/>
      <c r="V828" s="1"/>
      <c r="W828" s="1"/>
      <c r="X828" s="1"/>
      <c r="Y828" s="1"/>
      <c r="Z828" s="1"/>
      <c r="AA828" s="1"/>
      <c r="AB828" s="1"/>
      <c r="AC828" s="1"/>
      <c r="AD828" s="1"/>
      <c r="AE828" s="1"/>
      <c r="AF828" s="1"/>
      <c r="AG828" s="1"/>
      <c r="AH828" s="1"/>
      <c r="AI828" s="1"/>
      <c r="AJ828" s="1"/>
      <c r="AK828" s="1"/>
    </row>
    <row r="829" spans="1:37" ht="12.75" customHeight="1">
      <c r="A829" s="1"/>
      <c r="B829" s="1"/>
      <c r="C829" s="1"/>
      <c r="D829" s="1"/>
      <c r="E829" s="1"/>
      <c r="F829" s="2"/>
      <c r="G829" s="2"/>
      <c r="H829" s="2"/>
      <c r="I829" s="2"/>
      <c r="J829" s="2"/>
      <c r="K829" s="2"/>
      <c r="L829" s="2"/>
      <c r="M829" s="2"/>
      <c r="N829" s="3"/>
      <c r="O829" s="3"/>
      <c r="P829" s="3"/>
      <c r="Q829" s="1"/>
      <c r="R829" s="1"/>
      <c r="S829" s="1"/>
      <c r="T829" s="1"/>
      <c r="U829" s="1"/>
      <c r="V829" s="1"/>
      <c r="W829" s="1"/>
      <c r="X829" s="1"/>
      <c r="Y829" s="1"/>
      <c r="Z829" s="1"/>
      <c r="AA829" s="1"/>
      <c r="AB829" s="1"/>
      <c r="AC829" s="1"/>
      <c r="AD829" s="1"/>
      <c r="AE829" s="1"/>
      <c r="AF829" s="1"/>
      <c r="AG829" s="1"/>
      <c r="AH829" s="1"/>
      <c r="AI829" s="1"/>
      <c r="AJ829" s="1"/>
      <c r="AK829" s="1"/>
    </row>
    <row r="830" spans="1:37" ht="12.75" customHeight="1">
      <c r="A830" s="1"/>
      <c r="B830" s="1"/>
      <c r="C830" s="1"/>
      <c r="D830" s="1"/>
      <c r="E830" s="1"/>
      <c r="F830" s="2"/>
      <c r="G830" s="2"/>
      <c r="H830" s="2"/>
      <c r="I830" s="2"/>
      <c r="J830" s="2"/>
      <c r="K830" s="2"/>
      <c r="L830" s="2"/>
      <c r="M830" s="2"/>
      <c r="N830" s="3"/>
      <c r="O830" s="3"/>
      <c r="P830" s="3"/>
      <c r="Q830" s="1"/>
      <c r="R830" s="1"/>
      <c r="S830" s="1"/>
      <c r="T830" s="1"/>
      <c r="U830" s="1"/>
      <c r="V830" s="1"/>
      <c r="W830" s="1"/>
      <c r="X830" s="1"/>
      <c r="Y830" s="1"/>
      <c r="Z830" s="1"/>
      <c r="AA830" s="1"/>
      <c r="AB830" s="1"/>
      <c r="AC830" s="1"/>
      <c r="AD830" s="1"/>
      <c r="AE830" s="1"/>
      <c r="AF830" s="1"/>
      <c r="AG830" s="1"/>
      <c r="AH830" s="1"/>
      <c r="AI830" s="1"/>
      <c r="AJ830" s="1"/>
      <c r="AK830" s="1"/>
    </row>
    <row r="831" spans="1:37" ht="12.75" customHeight="1">
      <c r="A831" s="1"/>
      <c r="B831" s="1"/>
      <c r="C831" s="1"/>
      <c r="D831" s="1"/>
      <c r="E831" s="1"/>
      <c r="F831" s="2"/>
      <c r="G831" s="2"/>
      <c r="H831" s="2"/>
      <c r="I831" s="2"/>
      <c r="J831" s="2"/>
      <c r="K831" s="2"/>
      <c r="L831" s="2"/>
      <c r="M831" s="2"/>
      <c r="N831" s="3"/>
      <c r="O831" s="3"/>
      <c r="P831" s="3"/>
      <c r="Q831" s="1"/>
      <c r="R831" s="1"/>
      <c r="S831" s="1"/>
      <c r="T831" s="1"/>
      <c r="U831" s="1"/>
      <c r="V831" s="1"/>
      <c r="W831" s="1"/>
      <c r="X831" s="1"/>
      <c r="Y831" s="1"/>
      <c r="Z831" s="1"/>
      <c r="AA831" s="1"/>
      <c r="AB831" s="1"/>
      <c r="AC831" s="1"/>
      <c r="AD831" s="1"/>
      <c r="AE831" s="1"/>
      <c r="AF831" s="1"/>
      <c r="AG831" s="1"/>
      <c r="AH831" s="1"/>
      <c r="AI831" s="1"/>
      <c r="AJ831" s="1"/>
      <c r="AK831" s="1"/>
    </row>
    <row r="832" spans="1:37" ht="12.75" customHeight="1">
      <c r="A832" s="1"/>
      <c r="B832" s="1"/>
      <c r="C832" s="1"/>
      <c r="D832" s="1"/>
      <c r="E832" s="1"/>
      <c r="F832" s="2"/>
      <c r="G832" s="2"/>
      <c r="H832" s="2"/>
      <c r="I832" s="2"/>
      <c r="J832" s="2"/>
      <c r="K832" s="2"/>
      <c r="L832" s="2"/>
      <c r="M832" s="2"/>
      <c r="N832" s="3"/>
      <c r="O832" s="3"/>
      <c r="P832" s="3"/>
      <c r="Q832" s="1"/>
      <c r="R832" s="1"/>
      <c r="S832" s="1"/>
      <c r="T832" s="1"/>
      <c r="U832" s="1"/>
      <c r="V832" s="1"/>
      <c r="W832" s="1"/>
      <c r="X832" s="1"/>
      <c r="Y832" s="1"/>
      <c r="Z832" s="1"/>
      <c r="AA832" s="1"/>
      <c r="AB832" s="1"/>
      <c r="AC832" s="1"/>
      <c r="AD832" s="1"/>
      <c r="AE832" s="1"/>
      <c r="AF832" s="1"/>
      <c r="AG832" s="1"/>
      <c r="AH832" s="1"/>
      <c r="AI832" s="1"/>
      <c r="AJ832" s="1"/>
      <c r="AK832" s="1"/>
    </row>
    <row r="833" spans="1:37" ht="12.75" customHeight="1">
      <c r="A833" s="1"/>
      <c r="B833" s="1"/>
      <c r="C833" s="1"/>
      <c r="D833" s="1"/>
      <c r="E833" s="1"/>
      <c r="F833" s="2"/>
      <c r="G833" s="2"/>
      <c r="H833" s="2"/>
      <c r="I833" s="2"/>
      <c r="J833" s="2"/>
      <c r="K833" s="2"/>
      <c r="L833" s="2"/>
      <c r="M833" s="2"/>
      <c r="N833" s="3"/>
      <c r="O833" s="3"/>
      <c r="P833" s="3"/>
      <c r="Q833" s="1"/>
      <c r="R833" s="1"/>
      <c r="S833" s="1"/>
      <c r="T833" s="1"/>
      <c r="U833" s="1"/>
      <c r="V833" s="1"/>
      <c r="W833" s="1"/>
      <c r="X833" s="1"/>
      <c r="Y833" s="1"/>
      <c r="Z833" s="1"/>
      <c r="AA833" s="1"/>
      <c r="AB833" s="1"/>
      <c r="AC833" s="1"/>
      <c r="AD833" s="1"/>
      <c r="AE833" s="1"/>
      <c r="AF833" s="1"/>
      <c r="AG833" s="1"/>
      <c r="AH833" s="1"/>
      <c r="AI833" s="1"/>
      <c r="AJ833" s="1"/>
      <c r="AK833" s="1"/>
    </row>
    <row r="834" spans="1:37" ht="12.75" customHeight="1">
      <c r="A834" s="1"/>
      <c r="B834" s="1"/>
      <c r="C834" s="1"/>
      <c r="D834" s="1"/>
      <c r="E834" s="1"/>
      <c r="F834" s="2"/>
      <c r="G834" s="2"/>
      <c r="H834" s="2"/>
      <c r="I834" s="2"/>
      <c r="J834" s="2"/>
      <c r="K834" s="2"/>
      <c r="L834" s="2"/>
      <c r="M834" s="2"/>
      <c r="N834" s="3"/>
      <c r="O834" s="3"/>
      <c r="P834" s="3"/>
      <c r="Q834" s="1"/>
      <c r="R834" s="1"/>
      <c r="S834" s="1"/>
      <c r="T834" s="1"/>
      <c r="U834" s="1"/>
      <c r="V834" s="1"/>
      <c r="W834" s="1"/>
      <c r="X834" s="1"/>
      <c r="Y834" s="1"/>
      <c r="Z834" s="1"/>
      <c r="AA834" s="1"/>
      <c r="AB834" s="1"/>
      <c r="AC834" s="1"/>
      <c r="AD834" s="1"/>
      <c r="AE834" s="1"/>
      <c r="AF834" s="1"/>
      <c r="AG834" s="1"/>
      <c r="AH834" s="1"/>
      <c r="AI834" s="1"/>
      <c r="AJ834" s="1"/>
      <c r="AK834" s="1"/>
    </row>
    <row r="835" spans="1:37" ht="12.75" customHeight="1">
      <c r="A835" s="1"/>
      <c r="B835" s="1"/>
      <c r="C835" s="1"/>
      <c r="D835" s="1"/>
      <c r="E835" s="1"/>
      <c r="F835" s="2"/>
      <c r="G835" s="2"/>
      <c r="H835" s="2"/>
      <c r="I835" s="2"/>
      <c r="J835" s="2"/>
      <c r="K835" s="2"/>
      <c r="L835" s="2"/>
      <c r="M835" s="2"/>
      <c r="N835" s="3"/>
      <c r="O835" s="3"/>
      <c r="P835" s="3"/>
      <c r="Q835" s="1"/>
      <c r="R835" s="1"/>
      <c r="S835" s="1"/>
      <c r="T835" s="1"/>
      <c r="U835" s="1"/>
      <c r="V835" s="1"/>
      <c r="W835" s="1"/>
      <c r="X835" s="1"/>
      <c r="Y835" s="1"/>
      <c r="Z835" s="1"/>
      <c r="AA835" s="1"/>
      <c r="AB835" s="1"/>
      <c r="AC835" s="1"/>
      <c r="AD835" s="1"/>
      <c r="AE835" s="1"/>
      <c r="AF835" s="1"/>
      <c r="AG835" s="1"/>
      <c r="AH835" s="1"/>
      <c r="AI835" s="1"/>
      <c r="AJ835" s="1"/>
      <c r="AK835" s="1"/>
    </row>
    <row r="836" spans="1:37" ht="12.75" customHeight="1">
      <c r="A836" s="1"/>
      <c r="B836" s="1"/>
      <c r="C836" s="1"/>
      <c r="D836" s="1"/>
      <c r="E836" s="1"/>
      <c r="F836" s="2"/>
      <c r="G836" s="2"/>
      <c r="H836" s="2"/>
      <c r="I836" s="2"/>
      <c r="J836" s="2"/>
      <c r="K836" s="2"/>
      <c r="L836" s="2"/>
      <c r="M836" s="2"/>
      <c r="N836" s="3"/>
      <c r="O836" s="3"/>
      <c r="P836" s="3"/>
      <c r="Q836" s="1"/>
      <c r="R836" s="1"/>
      <c r="S836" s="1"/>
      <c r="T836" s="1"/>
      <c r="U836" s="1"/>
      <c r="V836" s="1"/>
      <c r="W836" s="1"/>
      <c r="X836" s="1"/>
      <c r="Y836" s="1"/>
      <c r="Z836" s="1"/>
      <c r="AA836" s="1"/>
      <c r="AB836" s="1"/>
      <c r="AC836" s="1"/>
      <c r="AD836" s="1"/>
      <c r="AE836" s="1"/>
      <c r="AF836" s="1"/>
      <c r="AG836" s="1"/>
      <c r="AH836" s="1"/>
      <c r="AI836" s="1"/>
      <c r="AJ836" s="1"/>
      <c r="AK836" s="1"/>
    </row>
    <row r="837" spans="1:37" ht="12.75" customHeight="1">
      <c r="A837" s="1"/>
      <c r="B837" s="1"/>
      <c r="C837" s="1"/>
      <c r="D837" s="1"/>
      <c r="E837" s="1"/>
      <c r="F837" s="2"/>
      <c r="G837" s="2"/>
      <c r="H837" s="2"/>
      <c r="I837" s="2"/>
      <c r="J837" s="2"/>
      <c r="K837" s="2"/>
      <c r="L837" s="2"/>
      <c r="M837" s="2"/>
      <c r="N837" s="3"/>
      <c r="O837" s="3"/>
      <c r="P837" s="3"/>
      <c r="Q837" s="1"/>
      <c r="R837" s="1"/>
      <c r="S837" s="1"/>
      <c r="T837" s="1"/>
      <c r="U837" s="1"/>
      <c r="V837" s="1"/>
      <c r="W837" s="1"/>
      <c r="X837" s="1"/>
      <c r="Y837" s="1"/>
      <c r="Z837" s="1"/>
      <c r="AA837" s="1"/>
      <c r="AB837" s="1"/>
      <c r="AC837" s="1"/>
      <c r="AD837" s="1"/>
      <c r="AE837" s="1"/>
      <c r="AF837" s="1"/>
      <c r="AG837" s="1"/>
      <c r="AH837" s="1"/>
      <c r="AI837" s="1"/>
      <c r="AJ837" s="1"/>
      <c r="AK837" s="1"/>
    </row>
    <row r="838" spans="1:37" ht="12.75" customHeight="1">
      <c r="A838" s="1"/>
      <c r="B838" s="1"/>
      <c r="C838" s="1"/>
      <c r="D838" s="1"/>
      <c r="E838" s="1"/>
      <c r="F838" s="2"/>
      <c r="G838" s="2"/>
      <c r="H838" s="2"/>
      <c r="I838" s="2"/>
      <c r="J838" s="2"/>
      <c r="K838" s="2"/>
      <c r="L838" s="2"/>
      <c r="M838" s="2"/>
      <c r="N838" s="3"/>
      <c r="O838" s="3"/>
      <c r="P838" s="3"/>
      <c r="Q838" s="1"/>
      <c r="R838" s="1"/>
      <c r="S838" s="1"/>
      <c r="T838" s="1"/>
      <c r="U838" s="1"/>
      <c r="V838" s="1"/>
      <c r="W838" s="1"/>
      <c r="X838" s="1"/>
      <c r="Y838" s="1"/>
      <c r="Z838" s="1"/>
      <c r="AA838" s="1"/>
      <c r="AB838" s="1"/>
      <c r="AC838" s="1"/>
      <c r="AD838" s="1"/>
      <c r="AE838" s="1"/>
      <c r="AF838" s="1"/>
      <c r="AG838" s="1"/>
      <c r="AH838" s="1"/>
      <c r="AI838" s="1"/>
      <c r="AJ838" s="1"/>
      <c r="AK838" s="1"/>
    </row>
    <row r="839" spans="1:37" ht="12.75" customHeight="1">
      <c r="A839" s="1"/>
      <c r="B839" s="1"/>
      <c r="C839" s="1"/>
      <c r="D839" s="1"/>
      <c r="E839" s="1"/>
      <c r="F839" s="2"/>
      <c r="G839" s="2"/>
      <c r="H839" s="2"/>
      <c r="I839" s="2"/>
      <c r="J839" s="2"/>
      <c r="K839" s="2"/>
      <c r="L839" s="2"/>
      <c r="M839" s="2"/>
      <c r="N839" s="3"/>
      <c r="O839" s="3"/>
      <c r="P839" s="3"/>
      <c r="Q839" s="1"/>
      <c r="R839" s="1"/>
      <c r="S839" s="1"/>
      <c r="T839" s="1"/>
      <c r="U839" s="1"/>
      <c r="V839" s="1"/>
      <c r="W839" s="1"/>
      <c r="X839" s="1"/>
      <c r="Y839" s="1"/>
      <c r="Z839" s="1"/>
      <c r="AA839" s="1"/>
      <c r="AB839" s="1"/>
      <c r="AC839" s="1"/>
      <c r="AD839" s="1"/>
      <c r="AE839" s="1"/>
      <c r="AF839" s="1"/>
      <c r="AG839" s="1"/>
      <c r="AH839" s="1"/>
      <c r="AI839" s="1"/>
      <c r="AJ839" s="1"/>
      <c r="AK839" s="1"/>
    </row>
    <row r="840" spans="1:37" ht="12.75" customHeight="1">
      <c r="A840" s="1"/>
      <c r="B840" s="1"/>
      <c r="C840" s="1"/>
      <c r="D840" s="1"/>
      <c r="E840" s="1"/>
      <c r="F840" s="2"/>
      <c r="G840" s="2"/>
      <c r="H840" s="2"/>
      <c r="I840" s="2"/>
      <c r="J840" s="2"/>
      <c r="K840" s="2"/>
      <c r="L840" s="2"/>
      <c r="M840" s="2"/>
      <c r="N840" s="3"/>
      <c r="O840" s="3"/>
      <c r="P840" s="3"/>
      <c r="Q840" s="1"/>
      <c r="R840" s="1"/>
      <c r="S840" s="1"/>
      <c r="T840" s="1"/>
      <c r="U840" s="1"/>
      <c r="V840" s="1"/>
      <c r="W840" s="1"/>
      <c r="X840" s="1"/>
      <c r="Y840" s="1"/>
      <c r="Z840" s="1"/>
      <c r="AA840" s="1"/>
      <c r="AB840" s="1"/>
      <c r="AC840" s="1"/>
      <c r="AD840" s="1"/>
      <c r="AE840" s="1"/>
      <c r="AF840" s="1"/>
      <c r="AG840" s="1"/>
      <c r="AH840" s="1"/>
      <c r="AI840" s="1"/>
      <c r="AJ840" s="1"/>
      <c r="AK840" s="1"/>
    </row>
    <row r="841" spans="1:37" ht="12.75" customHeight="1">
      <c r="A841" s="1"/>
      <c r="B841" s="1"/>
      <c r="C841" s="1"/>
      <c r="D841" s="1"/>
      <c r="E841" s="1"/>
      <c r="F841" s="2"/>
      <c r="G841" s="2"/>
      <c r="H841" s="2"/>
      <c r="I841" s="2"/>
      <c r="J841" s="2"/>
      <c r="K841" s="2"/>
      <c r="L841" s="2"/>
      <c r="M841" s="2"/>
      <c r="N841" s="3"/>
      <c r="O841" s="3"/>
      <c r="P841" s="3"/>
      <c r="Q841" s="1"/>
      <c r="R841" s="1"/>
      <c r="S841" s="1"/>
      <c r="T841" s="1"/>
      <c r="U841" s="1"/>
      <c r="V841" s="1"/>
      <c r="W841" s="1"/>
      <c r="X841" s="1"/>
      <c r="Y841" s="1"/>
      <c r="Z841" s="1"/>
      <c r="AA841" s="1"/>
      <c r="AB841" s="1"/>
      <c r="AC841" s="1"/>
      <c r="AD841" s="1"/>
      <c r="AE841" s="1"/>
      <c r="AF841" s="1"/>
      <c r="AG841" s="1"/>
      <c r="AH841" s="1"/>
      <c r="AI841" s="1"/>
      <c r="AJ841" s="1"/>
      <c r="AK841" s="1"/>
    </row>
    <row r="842" spans="1:37" ht="12.75" customHeight="1">
      <c r="A842" s="1"/>
      <c r="B842" s="1"/>
      <c r="C842" s="1"/>
      <c r="D842" s="1"/>
      <c r="E842" s="1"/>
      <c r="F842" s="2"/>
      <c r="G842" s="2"/>
      <c r="H842" s="2"/>
      <c r="I842" s="2"/>
      <c r="J842" s="2"/>
      <c r="K842" s="2"/>
      <c r="L842" s="2"/>
      <c r="M842" s="2"/>
      <c r="N842" s="3"/>
      <c r="O842" s="3"/>
      <c r="P842" s="3"/>
      <c r="Q842" s="1"/>
      <c r="R842" s="1"/>
      <c r="S842" s="1"/>
      <c r="T842" s="1"/>
      <c r="U842" s="1"/>
      <c r="V842" s="1"/>
      <c r="W842" s="1"/>
      <c r="X842" s="1"/>
      <c r="Y842" s="1"/>
      <c r="Z842" s="1"/>
      <c r="AA842" s="1"/>
      <c r="AB842" s="1"/>
      <c r="AC842" s="1"/>
      <c r="AD842" s="1"/>
      <c r="AE842" s="1"/>
      <c r="AF842" s="1"/>
      <c r="AG842" s="1"/>
      <c r="AH842" s="1"/>
      <c r="AI842" s="1"/>
      <c r="AJ842" s="1"/>
      <c r="AK842" s="1"/>
    </row>
    <row r="843" spans="1:37" ht="12.75" customHeight="1">
      <c r="A843" s="1"/>
      <c r="B843" s="1"/>
      <c r="C843" s="1"/>
      <c r="D843" s="1"/>
      <c r="E843" s="1"/>
      <c r="F843" s="2"/>
      <c r="G843" s="2"/>
      <c r="H843" s="2"/>
      <c r="I843" s="2"/>
      <c r="J843" s="2"/>
      <c r="K843" s="2"/>
      <c r="L843" s="2"/>
      <c r="M843" s="2"/>
      <c r="N843" s="3"/>
      <c r="O843" s="3"/>
      <c r="P843" s="3"/>
      <c r="Q843" s="1"/>
      <c r="R843" s="1"/>
      <c r="S843" s="1"/>
      <c r="T843" s="1"/>
      <c r="U843" s="1"/>
      <c r="V843" s="1"/>
      <c r="W843" s="1"/>
      <c r="X843" s="1"/>
      <c r="Y843" s="1"/>
      <c r="Z843" s="1"/>
      <c r="AA843" s="1"/>
      <c r="AB843" s="1"/>
      <c r="AC843" s="1"/>
      <c r="AD843" s="1"/>
      <c r="AE843" s="1"/>
      <c r="AF843" s="1"/>
      <c r="AG843" s="1"/>
      <c r="AH843" s="1"/>
      <c r="AI843" s="1"/>
      <c r="AJ843" s="1"/>
      <c r="AK843" s="1"/>
    </row>
    <row r="844" spans="1:37" ht="12.75" customHeight="1">
      <c r="A844" s="1"/>
      <c r="B844" s="1"/>
      <c r="C844" s="1"/>
      <c r="D844" s="1"/>
      <c r="E844" s="1"/>
      <c r="F844" s="2"/>
      <c r="G844" s="2"/>
      <c r="H844" s="2"/>
      <c r="I844" s="2"/>
      <c r="J844" s="2"/>
      <c r="K844" s="2"/>
      <c r="L844" s="2"/>
      <c r="M844" s="2"/>
      <c r="N844" s="3"/>
      <c r="O844" s="3"/>
      <c r="P844" s="3"/>
      <c r="Q844" s="1"/>
      <c r="R844" s="1"/>
      <c r="S844" s="1"/>
      <c r="T844" s="1"/>
      <c r="U844" s="1"/>
      <c r="V844" s="1"/>
      <c r="W844" s="1"/>
      <c r="X844" s="1"/>
      <c r="Y844" s="1"/>
      <c r="Z844" s="1"/>
      <c r="AA844" s="1"/>
      <c r="AB844" s="1"/>
      <c r="AC844" s="1"/>
      <c r="AD844" s="1"/>
      <c r="AE844" s="1"/>
      <c r="AF844" s="1"/>
      <c r="AG844" s="1"/>
      <c r="AH844" s="1"/>
      <c r="AI844" s="1"/>
      <c r="AJ844" s="1"/>
      <c r="AK844" s="1"/>
    </row>
    <row r="845" spans="1:37" ht="12.75" customHeight="1">
      <c r="A845" s="1"/>
      <c r="B845" s="1"/>
      <c r="C845" s="1"/>
      <c r="D845" s="1"/>
      <c r="E845" s="1"/>
      <c r="F845" s="2"/>
      <c r="G845" s="2"/>
      <c r="H845" s="2"/>
      <c r="I845" s="2"/>
      <c r="J845" s="2"/>
      <c r="K845" s="2"/>
      <c r="L845" s="2"/>
      <c r="M845" s="2"/>
      <c r="N845" s="3"/>
      <c r="O845" s="3"/>
      <c r="P845" s="3"/>
      <c r="Q845" s="1"/>
      <c r="R845" s="1"/>
      <c r="S845" s="1"/>
      <c r="T845" s="1"/>
      <c r="U845" s="1"/>
      <c r="V845" s="1"/>
      <c r="W845" s="1"/>
      <c r="X845" s="1"/>
      <c r="Y845" s="1"/>
      <c r="Z845" s="1"/>
      <c r="AA845" s="1"/>
      <c r="AB845" s="1"/>
      <c r="AC845" s="1"/>
      <c r="AD845" s="1"/>
      <c r="AE845" s="1"/>
      <c r="AF845" s="1"/>
      <c r="AG845" s="1"/>
      <c r="AH845" s="1"/>
      <c r="AI845" s="1"/>
      <c r="AJ845" s="1"/>
      <c r="AK845" s="1"/>
    </row>
    <row r="846" spans="1:37" ht="12.75" customHeight="1">
      <c r="A846" s="1"/>
      <c r="B846" s="1"/>
      <c r="C846" s="1"/>
      <c r="D846" s="1"/>
      <c r="E846" s="1"/>
      <c r="F846" s="2"/>
      <c r="G846" s="2"/>
      <c r="H846" s="2"/>
      <c r="I846" s="2"/>
      <c r="J846" s="2"/>
      <c r="K846" s="2"/>
      <c r="L846" s="2"/>
      <c r="M846" s="2"/>
      <c r="N846" s="3"/>
      <c r="O846" s="3"/>
      <c r="P846" s="3"/>
      <c r="Q846" s="1"/>
      <c r="R846" s="1"/>
      <c r="S846" s="1"/>
      <c r="T846" s="1"/>
      <c r="U846" s="1"/>
      <c r="V846" s="1"/>
      <c r="W846" s="1"/>
      <c r="X846" s="1"/>
      <c r="Y846" s="1"/>
      <c r="Z846" s="1"/>
      <c r="AA846" s="1"/>
      <c r="AB846" s="1"/>
      <c r="AC846" s="1"/>
      <c r="AD846" s="1"/>
      <c r="AE846" s="1"/>
      <c r="AF846" s="1"/>
      <c r="AG846" s="1"/>
      <c r="AH846" s="1"/>
      <c r="AI846" s="1"/>
      <c r="AJ846" s="1"/>
      <c r="AK846" s="1"/>
    </row>
    <row r="847" spans="1:37" ht="12.75" customHeight="1">
      <c r="A847" s="1"/>
      <c r="B847" s="1"/>
      <c r="C847" s="1"/>
      <c r="D847" s="1"/>
      <c r="E847" s="1"/>
      <c r="F847" s="2"/>
      <c r="G847" s="2"/>
      <c r="H847" s="2"/>
      <c r="I847" s="2"/>
      <c r="J847" s="2"/>
      <c r="K847" s="2"/>
      <c r="L847" s="2"/>
      <c r="M847" s="2"/>
      <c r="N847" s="3"/>
      <c r="O847" s="3"/>
      <c r="P847" s="3"/>
      <c r="Q847" s="1"/>
      <c r="R847" s="1"/>
      <c r="S847" s="1"/>
      <c r="T847" s="1"/>
      <c r="U847" s="1"/>
      <c r="V847" s="1"/>
      <c r="W847" s="1"/>
      <c r="X847" s="1"/>
      <c r="Y847" s="1"/>
      <c r="Z847" s="1"/>
      <c r="AA847" s="1"/>
      <c r="AB847" s="1"/>
      <c r="AC847" s="1"/>
      <c r="AD847" s="1"/>
      <c r="AE847" s="1"/>
      <c r="AF847" s="1"/>
      <c r="AG847" s="1"/>
      <c r="AH847" s="1"/>
      <c r="AI847" s="1"/>
      <c r="AJ847" s="1"/>
      <c r="AK847" s="1"/>
    </row>
    <row r="848" spans="1:37" ht="12.75" customHeight="1">
      <c r="A848" s="1"/>
      <c r="B848" s="1"/>
      <c r="C848" s="1"/>
      <c r="D848" s="1"/>
      <c r="E848" s="1"/>
      <c r="F848" s="2"/>
      <c r="G848" s="2"/>
      <c r="H848" s="2"/>
      <c r="I848" s="2"/>
      <c r="J848" s="2"/>
      <c r="K848" s="2"/>
      <c r="L848" s="2"/>
      <c r="M848" s="2"/>
      <c r="N848" s="3"/>
      <c r="O848" s="3"/>
      <c r="P848" s="3"/>
      <c r="Q848" s="1"/>
      <c r="R848" s="1"/>
      <c r="S848" s="1"/>
      <c r="T848" s="1"/>
      <c r="U848" s="1"/>
      <c r="V848" s="1"/>
      <c r="W848" s="1"/>
      <c r="X848" s="1"/>
      <c r="Y848" s="1"/>
      <c r="Z848" s="1"/>
      <c r="AA848" s="1"/>
      <c r="AB848" s="1"/>
      <c r="AC848" s="1"/>
      <c r="AD848" s="1"/>
      <c r="AE848" s="1"/>
      <c r="AF848" s="1"/>
      <c r="AG848" s="1"/>
      <c r="AH848" s="1"/>
      <c r="AI848" s="1"/>
      <c r="AJ848" s="1"/>
      <c r="AK848" s="1"/>
    </row>
    <row r="849" spans="1:37" ht="12.75" customHeight="1">
      <c r="A849" s="1"/>
      <c r="B849" s="1"/>
      <c r="C849" s="1"/>
      <c r="D849" s="1"/>
      <c r="E849" s="1"/>
      <c r="F849" s="2"/>
      <c r="G849" s="2"/>
      <c r="H849" s="2"/>
      <c r="I849" s="2"/>
      <c r="J849" s="2"/>
      <c r="K849" s="2"/>
      <c r="L849" s="2"/>
      <c r="M849" s="2"/>
      <c r="N849" s="3"/>
      <c r="O849" s="3"/>
      <c r="P849" s="3"/>
      <c r="Q849" s="1"/>
      <c r="R849" s="1"/>
      <c r="S849" s="1"/>
      <c r="T849" s="1"/>
      <c r="U849" s="1"/>
      <c r="V849" s="1"/>
      <c r="W849" s="1"/>
      <c r="X849" s="1"/>
      <c r="Y849" s="1"/>
      <c r="Z849" s="1"/>
      <c r="AA849" s="1"/>
      <c r="AB849" s="1"/>
      <c r="AC849" s="1"/>
      <c r="AD849" s="1"/>
      <c r="AE849" s="1"/>
      <c r="AF849" s="1"/>
      <c r="AG849" s="1"/>
      <c r="AH849" s="1"/>
      <c r="AI849" s="1"/>
      <c r="AJ849" s="1"/>
      <c r="AK849" s="1"/>
    </row>
    <row r="850" spans="1:37" ht="12.75" customHeight="1">
      <c r="A850" s="1"/>
      <c r="B850" s="1"/>
      <c r="C850" s="1"/>
      <c r="D850" s="1"/>
      <c r="E850" s="1"/>
      <c r="F850" s="2"/>
      <c r="G850" s="2"/>
      <c r="H850" s="2"/>
      <c r="I850" s="2"/>
      <c r="J850" s="2"/>
      <c r="K850" s="2"/>
      <c r="L850" s="2"/>
      <c r="M850" s="2"/>
      <c r="N850" s="3"/>
      <c r="O850" s="3"/>
      <c r="P850" s="3"/>
      <c r="Q850" s="1"/>
      <c r="R850" s="1"/>
      <c r="S850" s="1"/>
      <c r="T850" s="1"/>
      <c r="U850" s="1"/>
      <c r="V850" s="1"/>
      <c r="W850" s="1"/>
      <c r="X850" s="1"/>
      <c r="Y850" s="1"/>
      <c r="Z850" s="1"/>
      <c r="AA850" s="1"/>
      <c r="AB850" s="1"/>
      <c r="AC850" s="1"/>
      <c r="AD850" s="1"/>
      <c r="AE850" s="1"/>
      <c r="AF850" s="1"/>
      <c r="AG850" s="1"/>
      <c r="AH850" s="1"/>
      <c r="AI850" s="1"/>
      <c r="AJ850" s="1"/>
      <c r="AK850" s="1"/>
    </row>
    <row r="851" spans="1:37" ht="12.75" customHeight="1">
      <c r="A851" s="1"/>
      <c r="B851" s="1"/>
      <c r="C851" s="1"/>
      <c r="D851" s="1"/>
      <c r="E851" s="1"/>
      <c r="F851" s="2"/>
      <c r="G851" s="2"/>
      <c r="H851" s="2"/>
      <c r="I851" s="2"/>
      <c r="J851" s="2"/>
      <c r="K851" s="2"/>
      <c r="L851" s="2"/>
      <c r="M851" s="2"/>
      <c r="N851" s="3"/>
      <c r="O851" s="3"/>
      <c r="P851" s="3"/>
      <c r="Q851" s="1"/>
      <c r="R851" s="1"/>
      <c r="S851" s="1"/>
      <c r="T851" s="1"/>
      <c r="U851" s="1"/>
      <c r="V851" s="1"/>
      <c r="W851" s="1"/>
      <c r="X851" s="1"/>
      <c r="Y851" s="1"/>
      <c r="Z851" s="1"/>
      <c r="AA851" s="1"/>
      <c r="AB851" s="1"/>
      <c r="AC851" s="1"/>
      <c r="AD851" s="1"/>
      <c r="AE851" s="1"/>
      <c r="AF851" s="1"/>
      <c r="AG851" s="1"/>
      <c r="AH851" s="1"/>
      <c r="AI851" s="1"/>
      <c r="AJ851" s="1"/>
      <c r="AK851" s="1"/>
    </row>
    <row r="852" spans="1:37" ht="12.75" customHeight="1">
      <c r="A852" s="1"/>
      <c r="B852" s="1"/>
      <c r="C852" s="1"/>
      <c r="D852" s="1"/>
      <c r="E852" s="1"/>
      <c r="F852" s="2"/>
      <c r="G852" s="2"/>
      <c r="H852" s="2"/>
      <c r="I852" s="2"/>
      <c r="J852" s="2"/>
      <c r="K852" s="2"/>
      <c r="L852" s="2"/>
      <c r="M852" s="2"/>
      <c r="N852" s="3"/>
      <c r="O852" s="3"/>
      <c r="P852" s="3"/>
      <c r="Q852" s="1"/>
      <c r="R852" s="1"/>
      <c r="S852" s="1"/>
      <c r="T852" s="1"/>
      <c r="U852" s="1"/>
      <c r="V852" s="1"/>
      <c r="W852" s="1"/>
      <c r="X852" s="1"/>
      <c r="Y852" s="1"/>
      <c r="Z852" s="1"/>
      <c r="AA852" s="1"/>
      <c r="AB852" s="1"/>
      <c r="AC852" s="1"/>
      <c r="AD852" s="1"/>
      <c r="AE852" s="1"/>
      <c r="AF852" s="1"/>
      <c r="AG852" s="1"/>
      <c r="AH852" s="1"/>
      <c r="AI852" s="1"/>
      <c r="AJ852" s="1"/>
      <c r="AK852" s="1"/>
    </row>
    <row r="853" spans="1:37" ht="12.75" customHeight="1">
      <c r="A853" s="1"/>
      <c r="B853" s="1"/>
      <c r="C853" s="1"/>
      <c r="D853" s="1"/>
      <c r="E853" s="1"/>
      <c r="F853" s="2"/>
      <c r="G853" s="2"/>
      <c r="H853" s="2"/>
      <c r="I853" s="2"/>
      <c r="J853" s="2"/>
      <c r="K853" s="2"/>
      <c r="L853" s="2"/>
      <c r="M853" s="2"/>
      <c r="N853" s="3"/>
      <c r="O853" s="3"/>
      <c r="P853" s="3"/>
      <c r="Q853" s="1"/>
      <c r="R853" s="1"/>
      <c r="S853" s="1"/>
      <c r="T853" s="1"/>
      <c r="U853" s="1"/>
      <c r="V853" s="1"/>
      <c r="W853" s="1"/>
      <c r="X853" s="1"/>
      <c r="Y853" s="1"/>
      <c r="Z853" s="1"/>
      <c r="AA853" s="1"/>
      <c r="AB853" s="1"/>
      <c r="AC853" s="1"/>
      <c r="AD853" s="1"/>
      <c r="AE853" s="1"/>
      <c r="AF853" s="1"/>
      <c r="AG853" s="1"/>
      <c r="AH853" s="1"/>
      <c r="AI853" s="1"/>
      <c r="AJ853" s="1"/>
      <c r="AK853" s="1"/>
    </row>
    <row r="854" spans="1:37" ht="12.75" customHeight="1">
      <c r="A854" s="1"/>
      <c r="B854" s="1"/>
      <c r="C854" s="1"/>
      <c r="D854" s="1"/>
      <c r="E854" s="1"/>
      <c r="F854" s="2"/>
      <c r="G854" s="2"/>
      <c r="H854" s="2"/>
      <c r="I854" s="2"/>
      <c r="J854" s="2"/>
      <c r="K854" s="2"/>
      <c r="L854" s="2"/>
      <c r="M854" s="2"/>
      <c r="N854" s="3"/>
      <c r="O854" s="3"/>
      <c r="P854" s="3"/>
      <c r="Q854" s="1"/>
      <c r="R854" s="1"/>
      <c r="S854" s="1"/>
      <c r="T854" s="1"/>
      <c r="U854" s="1"/>
      <c r="V854" s="1"/>
      <c r="W854" s="1"/>
      <c r="X854" s="1"/>
      <c r="Y854" s="1"/>
      <c r="Z854" s="1"/>
      <c r="AA854" s="1"/>
      <c r="AB854" s="1"/>
      <c r="AC854" s="1"/>
      <c r="AD854" s="1"/>
      <c r="AE854" s="1"/>
      <c r="AF854" s="1"/>
      <c r="AG854" s="1"/>
      <c r="AH854" s="1"/>
      <c r="AI854" s="1"/>
      <c r="AJ854" s="1"/>
      <c r="AK854" s="1"/>
    </row>
    <row r="855" spans="1:37" ht="12.75" customHeight="1">
      <c r="A855" s="1"/>
      <c r="B855" s="1"/>
      <c r="C855" s="1"/>
      <c r="D855" s="1"/>
      <c r="E855" s="1"/>
      <c r="F855" s="2"/>
      <c r="G855" s="2"/>
      <c r="H855" s="2"/>
      <c r="I855" s="2"/>
      <c r="J855" s="2"/>
      <c r="K855" s="2"/>
      <c r="L855" s="2"/>
      <c r="M855" s="2"/>
      <c r="N855" s="3"/>
      <c r="O855" s="3"/>
      <c r="P855" s="3"/>
      <c r="Q855" s="1"/>
      <c r="R855" s="1"/>
      <c r="S855" s="1"/>
      <c r="T855" s="1"/>
      <c r="U855" s="1"/>
      <c r="V855" s="1"/>
      <c r="W855" s="1"/>
      <c r="X855" s="1"/>
      <c r="Y855" s="1"/>
      <c r="Z855" s="1"/>
      <c r="AA855" s="1"/>
      <c r="AB855" s="1"/>
      <c r="AC855" s="1"/>
      <c r="AD855" s="1"/>
      <c r="AE855" s="1"/>
      <c r="AF855" s="1"/>
      <c r="AG855" s="1"/>
      <c r="AH855" s="1"/>
      <c r="AI855" s="1"/>
      <c r="AJ855" s="1"/>
      <c r="AK855" s="1"/>
    </row>
    <row r="856" spans="1:37" ht="12.75" customHeight="1">
      <c r="A856" s="1"/>
      <c r="B856" s="1"/>
      <c r="C856" s="1"/>
      <c r="D856" s="1"/>
      <c r="E856" s="1"/>
      <c r="F856" s="2"/>
      <c r="G856" s="2"/>
      <c r="H856" s="2"/>
      <c r="I856" s="2"/>
      <c r="J856" s="2"/>
      <c r="K856" s="2"/>
      <c r="L856" s="2"/>
      <c r="M856" s="2"/>
      <c r="N856" s="3"/>
      <c r="O856" s="3"/>
      <c r="P856" s="3"/>
      <c r="Q856" s="1"/>
      <c r="R856" s="1"/>
      <c r="S856" s="1"/>
      <c r="T856" s="1"/>
      <c r="U856" s="1"/>
      <c r="V856" s="1"/>
      <c r="W856" s="1"/>
      <c r="X856" s="1"/>
      <c r="Y856" s="1"/>
      <c r="Z856" s="1"/>
      <c r="AA856" s="1"/>
      <c r="AB856" s="1"/>
      <c r="AC856" s="1"/>
      <c r="AD856" s="1"/>
      <c r="AE856" s="1"/>
      <c r="AF856" s="1"/>
      <c r="AG856" s="1"/>
      <c r="AH856" s="1"/>
      <c r="AI856" s="1"/>
      <c r="AJ856" s="1"/>
      <c r="AK856" s="1"/>
    </row>
    <row r="857" spans="1:37" ht="12.75" customHeight="1">
      <c r="A857" s="1"/>
      <c r="B857" s="1"/>
      <c r="C857" s="1"/>
      <c r="D857" s="1"/>
      <c r="E857" s="1"/>
      <c r="F857" s="2"/>
      <c r="G857" s="2"/>
      <c r="H857" s="2"/>
      <c r="I857" s="2"/>
      <c r="J857" s="2"/>
      <c r="K857" s="2"/>
      <c r="L857" s="2"/>
      <c r="M857" s="2"/>
      <c r="N857" s="3"/>
      <c r="O857" s="3"/>
      <c r="P857" s="3"/>
      <c r="Q857" s="1"/>
      <c r="R857" s="1"/>
      <c r="S857" s="1"/>
      <c r="T857" s="1"/>
      <c r="U857" s="1"/>
      <c r="V857" s="1"/>
      <c r="W857" s="1"/>
      <c r="X857" s="1"/>
      <c r="Y857" s="1"/>
      <c r="Z857" s="1"/>
      <c r="AA857" s="1"/>
      <c r="AB857" s="1"/>
      <c r="AC857" s="1"/>
      <c r="AD857" s="1"/>
      <c r="AE857" s="1"/>
      <c r="AF857" s="1"/>
      <c r="AG857" s="1"/>
      <c r="AH857" s="1"/>
      <c r="AI857" s="1"/>
      <c r="AJ857" s="1"/>
      <c r="AK857" s="1"/>
    </row>
    <row r="858" spans="1:37" ht="12.75" customHeight="1">
      <c r="A858" s="1"/>
      <c r="B858" s="1"/>
      <c r="C858" s="1"/>
      <c r="D858" s="1"/>
      <c r="E858" s="1"/>
      <c r="F858" s="2"/>
      <c r="G858" s="2"/>
      <c r="H858" s="2"/>
      <c r="I858" s="2"/>
      <c r="J858" s="2"/>
      <c r="K858" s="2"/>
      <c r="L858" s="2"/>
      <c r="M858" s="2"/>
      <c r="N858" s="3"/>
      <c r="O858" s="3"/>
      <c r="P858" s="3"/>
      <c r="Q858" s="1"/>
      <c r="R858" s="1"/>
      <c r="S858" s="1"/>
      <c r="T858" s="1"/>
      <c r="U858" s="1"/>
      <c r="V858" s="1"/>
      <c r="W858" s="1"/>
      <c r="X858" s="1"/>
      <c r="Y858" s="1"/>
      <c r="Z858" s="1"/>
      <c r="AA858" s="1"/>
      <c r="AB858" s="1"/>
      <c r="AC858" s="1"/>
      <c r="AD858" s="1"/>
      <c r="AE858" s="1"/>
      <c r="AF858" s="1"/>
      <c r="AG858" s="1"/>
      <c r="AH858" s="1"/>
      <c r="AI858" s="1"/>
      <c r="AJ858" s="1"/>
      <c r="AK858" s="1"/>
    </row>
    <row r="859" spans="1:37" ht="12.75" customHeight="1">
      <c r="A859" s="1"/>
      <c r="B859" s="1"/>
      <c r="C859" s="1"/>
      <c r="D859" s="1"/>
      <c r="E859" s="1"/>
      <c r="F859" s="2"/>
      <c r="G859" s="2"/>
      <c r="H859" s="2"/>
      <c r="I859" s="2"/>
      <c r="J859" s="2"/>
      <c r="K859" s="2"/>
      <c r="L859" s="2"/>
      <c r="M859" s="2"/>
      <c r="N859" s="3"/>
      <c r="O859" s="3"/>
      <c r="P859" s="3"/>
      <c r="Q859" s="1"/>
      <c r="R859" s="1"/>
      <c r="S859" s="1"/>
      <c r="T859" s="1"/>
      <c r="U859" s="1"/>
      <c r="V859" s="1"/>
      <c r="W859" s="1"/>
      <c r="X859" s="1"/>
      <c r="Y859" s="1"/>
      <c r="Z859" s="1"/>
      <c r="AA859" s="1"/>
      <c r="AB859" s="1"/>
      <c r="AC859" s="1"/>
      <c r="AD859" s="1"/>
      <c r="AE859" s="1"/>
      <c r="AF859" s="1"/>
      <c r="AG859" s="1"/>
      <c r="AH859" s="1"/>
      <c r="AI859" s="1"/>
      <c r="AJ859" s="1"/>
      <c r="AK859" s="1"/>
    </row>
    <row r="860" spans="1:37" ht="12.75" customHeight="1">
      <c r="A860" s="1"/>
      <c r="B860" s="1"/>
      <c r="C860" s="1"/>
      <c r="D860" s="1"/>
      <c r="E860" s="1"/>
      <c r="F860" s="2"/>
      <c r="G860" s="2"/>
      <c r="H860" s="2"/>
      <c r="I860" s="2"/>
      <c r="J860" s="2"/>
      <c r="K860" s="2"/>
      <c r="L860" s="2"/>
      <c r="M860" s="2"/>
      <c r="N860" s="3"/>
      <c r="O860" s="3"/>
      <c r="P860" s="3"/>
      <c r="Q860" s="1"/>
      <c r="R860" s="1"/>
      <c r="S860" s="1"/>
      <c r="T860" s="1"/>
      <c r="U860" s="1"/>
      <c r="V860" s="1"/>
      <c r="W860" s="1"/>
      <c r="X860" s="1"/>
      <c r="Y860" s="1"/>
      <c r="Z860" s="1"/>
      <c r="AA860" s="1"/>
      <c r="AB860" s="1"/>
      <c r="AC860" s="1"/>
      <c r="AD860" s="1"/>
      <c r="AE860" s="1"/>
      <c r="AF860" s="1"/>
      <c r="AG860" s="1"/>
      <c r="AH860" s="1"/>
      <c r="AI860" s="1"/>
      <c r="AJ860" s="1"/>
      <c r="AK860" s="1"/>
    </row>
    <row r="861" spans="1:37" ht="12.75" customHeight="1">
      <c r="A861" s="1"/>
      <c r="B861" s="1"/>
      <c r="C861" s="1"/>
      <c r="D861" s="1"/>
      <c r="E861" s="1"/>
      <c r="F861" s="2"/>
      <c r="G861" s="2"/>
      <c r="H861" s="2"/>
      <c r="I861" s="2"/>
      <c r="J861" s="2"/>
      <c r="K861" s="2"/>
      <c r="L861" s="2"/>
      <c r="M861" s="2"/>
      <c r="N861" s="3"/>
      <c r="O861" s="3"/>
      <c r="P861" s="3"/>
      <c r="Q861" s="1"/>
      <c r="R861" s="1"/>
      <c r="S861" s="1"/>
      <c r="T861" s="1"/>
      <c r="U861" s="1"/>
      <c r="V861" s="1"/>
      <c r="W861" s="1"/>
      <c r="X861" s="1"/>
      <c r="Y861" s="1"/>
      <c r="Z861" s="1"/>
      <c r="AA861" s="1"/>
      <c r="AB861" s="1"/>
      <c r="AC861" s="1"/>
      <c r="AD861" s="1"/>
      <c r="AE861" s="1"/>
      <c r="AF861" s="1"/>
      <c r="AG861" s="1"/>
      <c r="AH861" s="1"/>
      <c r="AI861" s="1"/>
      <c r="AJ861" s="1"/>
      <c r="AK861" s="1"/>
    </row>
    <row r="862" spans="1:37" ht="12.75" customHeight="1">
      <c r="A862" s="1"/>
      <c r="B862" s="1"/>
      <c r="C862" s="1"/>
      <c r="D862" s="1"/>
      <c r="E862" s="1"/>
      <c r="F862" s="2"/>
      <c r="G862" s="2"/>
      <c r="H862" s="2"/>
      <c r="I862" s="2"/>
      <c r="J862" s="2"/>
      <c r="K862" s="2"/>
      <c r="L862" s="2"/>
      <c r="M862" s="2"/>
      <c r="N862" s="3"/>
      <c r="O862" s="3"/>
      <c r="P862" s="3"/>
      <c r="Q862" s="1"/>
      <c r="R862" s="1"/>
      <c r="S862" s="1"/>
      <c r="T862" s="1"/>
      <c r="U862" s="1"/>
      <c r="V862" s="1"/>
      <c r="W862" s="1"/>
      <c r="X862" s="1"/>
      <c r="Y862" s="1"/>
      <c r="Z862" s="1"/>
      <c r="AA862" s="1"/>
      <c r="AB862" s="1"/>
      <c r="AC862" s="1"/>
      <c r="AD862" s="1"/>
      <c r="AE862" s="1"/>
      <c r="AF862" s="1"/>
      <c r="AG862" s="1"/>
      <c r="AH862" s="1"/>
      <c r="AI862" s="1"/>
      <c r="AJ862" s="1"/>
      <c r="AK862" s="1"/>
    </row>
    <row r="863" spans="1:37" ht="12.75" customHeight="1">
      <c r="A863" s="1"/>
      <c r="B863" s="1"/>
      <c r="C863" s="1"/>
      <c r="D863" s="1"/>
      <c r="E863" s="1"/>
      <c r="F863" s="2"/>
      <c r="G863" s="2"/>
      <c r="H863" s="2"/>
      <c r="I863" s="2"/>
      <c r="J863" s="2"/>
      <c r="K863" s="2"/>
      <c r="L863" s="2"/>
      <c r="M863" s="2"/>
      <c r="N863" s="3"/>
      <c r="O863" s="3"/>
      <c r="P863" s="3"/>
      <c r="Q863" s="1"/>
      <c r="R863" s="1"/>
      <c r="S863" s="1"/>
      <c r="T863" s="1"/>
      <c r="U863" s="1"/>
      <c r="V863" s="1"/>
      <c r="W863" s="1"/>
      <c r="X863" s="1"/>
      <c r="Y863" s="1"/>
      <c r="Z863" s="1"/>
      <c r="AA863" s="1"/>
      <c r="AB863" s="1"/>
      <c r="AC863" s="1"/>
      <c r="AD863" s="1"/>
      <c r="AE863" s="1"/>
      <c r="AF863" s="1"/>
      <c r="AG863" s="1"/>
      <c r="AH863" s="1"/>
      <c r="AI863" s="1"/>
      <c r="AJ863" s="1"/>
      <c r="AK863" s="1"/>
    </row>
    <row r="864" spans="1:37" ht="12.75" customHeight="1">
      <c r="A864" s="1"/>
      <c r="B864" s="1"/>
      <c r="C864" s="1"/>
      <c r="D864" s="1"/>
      <c r="E864" s="1"/>
      <c r="F864" s="2"/>
      <c r="G864" s="2"/>
      <c r="H864" s="2"/>
      <c r="I864" s="2"/>
      <c r="J864" s="2"/>
      <c r="K864" s="2"/>
      <c r="L864" s="2"/>
      <c r="M864" s="2"/>
      <c r="N864" s="3"/>
      <c r="O864" s="3"/>
      <c r="P864" s="3"/>
      <c r="Q864" s="1"/>
      <c r="R864" s="1"/>
      <c r="S864" s="1"/>
      <c r="T864" s="1"/>
      <c r="U864" s="1"/>
      <c r="V864" s="1"/>
      <c r="W864" s="1"/>
      <c r="X864" s="1"/>
      <c r="Y864" s="1"/>
      <c r="Z864" s="1"/>
      <c r="AA864" s="1"/>
      <c r="AB864" s="1"/>
      <c r="AC864" s="1"/>
      <c r="AD864" s="1"/>
      <c r="AE864" s="1"/>
      <c r="AF864" s="1"/>
      <c r="AG864" s="1"/>
      <c r="AH864" s="1"/>
      <c r="AI864" s="1"/>
      <c r="AJ864" s="1"/>
      <c r="AK864" s="1"/>
    </row>
    <row r="865" spans="1:37" ht="12.75" customHeight="1">
      <c r="A865" s="1"/>
      <c r="B865" s="1"/>
      <c r="C865" s="1"/>
      <c r="D865" s="1"/>
      <c r="E865" s="1"/>
      <c r="F865" s="2"/>
      <c r="G865" s="2"/>
      <c r="H865" s="2"/>
      <c r="I865" s="2"/>
      <c r="J865" s="2"/>
      <c r="K865" s="2"/>
      <c r="L865" s="2"/>
      <c r="M865" s="2"/>
      <c r="N865" s="3"/>
      <c r="O865" s="3"/>
      <c r="P865" s="3"/>
      <c r="Q865" s="1"/>
      <c r="R865" s="1"/>
      <c r="S865" s="1"/>
      <c r="T865" s="1"/>
      <c r="U865" s="1"/>
      <c r="V865" s="1"/>
      <c r="W865" s="1"/>
      <c r="X865" s="1"/>
      <c r="Y865" s="1"/>
      <c r="Z865" s="1"/>
      <c r="AA865" s="1"/>
      <c r="AB865" s="1"/>
      <c r="AC865" s="1"/>
      <c r="AD865" s="1"/>
      <c r="AE865" s="1"/>
      <c r="AF865" s="1"/>
      <c r="AG865" s="1"/>
      <c r="AH865" s="1"/>
      <c r="AI865" s="1"/>
      <c r="AJ865" s="1"/>
      <c r="AK865" s="1"/>
    </row>
    <row r="866" spans="1:37" ht="12.75" customHeight="1">
      <c r="A866" s="1"/>
      <c r="B866" s="1"/>
      <c r="C866" s="1"/>
      <c r="D866" s="1"/>
      <c r="E866" s="1"/>
      <c r="F866" s="2"/>
      <c r="G866" s="2"/>
      <c r="H866" s="2"/>
      <c r="I866" s="2"/>
      <c r="J866" s="2"/>
      <c r="K866" s="2"/>
      <c r="L866" s="2"/>
      <c r="M866" s="2"/>
      <c r="N866" s="3"/>
      <c r="O866" s="3"/>
      <c r="P866" s="3"/>
      <c r="Q866" s="1"/>
      <c r="R866" s="1"/>
      <c r="S866" s="1"/>
      <c r="T866" s="1"/>
      <c r="U866" s="1"/>
      <c r="V866" s="1"/>
      <c r="W866" s="1"/>
      <c r="X866" s="1"/>
      <c r="Y866" s="1"/>
      <c r="Z866" s="1"/>
      <c r="AA866" s="1"/>
      <c r="AB866" s="1"/>
      <c r="AC866" s="1"/>
      <c r="AD866" s="1"/>
      <c r="AE866" s="1"/>
      <c r="AF866" s="1"/>
      <c r="AG866" s="1"/>
      <c r="AH866" s="1"/>
      <c r="AI866" s="1"/>
      <c r="AJ866" s="1"/>
      <c r="AK866" s="1"/>
    </row>
    <row r="867" spans="1:37" ht="12.75" customHeight="1">
      <c r="A867" s="1"/>
      <c r="B867" s="1"/>
      <c r="C867" s="1"/>
      <c r="D867" s="1"/>
      <c r="E867" s="1"/>
      <c r="F867" s="2"/>
      <c r="G867" s="2"/>
      <c r="H867" s="2"/>
      <c r="I867" s="2"/>
      <c r="J867" s="2"/>
      <c r="K867" s="2"/>
      <c r="L867" s="2"/>
      <c r="M867" s="2"/>
      <c r="N867" s="3"/>
      <c r="O867" s="3"/>
      <c r="P867" s="3"/>
      <c r="Q867" s="1"/>
      <c r="R867" s="1"/>
      <c r="S867" s="1"/>
      <c r="T867" s="1"/>
      <c r="U867" s="1"/>
      <c r="V867" s="1"/>
      <c r="W867" s="1"/>
      <c r="X867" s="1"/>
      <c r="Y867" s="1"/>
      <c r="Z867" s="1"/>
      <c r="AA867" s="1"/>
      <c r="AB867" s="1"/>
      <c r="AC867" s="1"/>
      <c r="AD867" s="1"/>
      <c r="AE867" s="1"/>
      <c r="AF867" s="1"/>
      <c r="AG867" s="1"/>
      <c r="AH867" s="1"/>
      <c r="AI867" s="1"/>
      <c r="AJ867" s="1"/>
      <c r="AK867" s="1"/>
    </row>
    <row r="868" spans="1:37" ht="12.75" customHeight="1">
      <c r="A868" s="1"/>
      <c r="B868" s="1"/>
      <c r="C868" s="1"/>
      <c r="D868" s="1"/>
      <c r="E868" s="1"/>
      <c r="F868" s="2"/>
      <c r="G868" s="2"/>
      <c r="H868" s="2"/>
      <c r="I868" s="2"/>
      <c r="J868" s="2"/>
      <c r="K868" s="2"/>
      <c r="L868" s="2"/>
      <c r="M868" s="2"/>
      <c r="N868" s="3"/>
      <c r="O868" s="3"/>
      <c r="P868" s="3"/>
      <c r="Q868" s="1"/>
      <c r="R868" s="1"/>
      <c r="S868" s="1"/>
      <c r="T868" s="1"/>
      <c r="U868" s="1"/>
      <c r="V868" s="1"/>
      <c r="W868" s="1"/>
      <c r="X868" s="1"/>
      <c r="Y868" s="1"/>
      <c r="Z868" s="1"/>
      <c r="AA868" s="1"/>
      <c r="AB868" s="1"/>
      <c r="AC868" s="1"/>
      <c r="AD868" s="1"/>
      <c r="AE868" s="1"/>
      <c r="AF868" s="1"/>
      <c r="AG868" s="1"/>
      <c r="AH868" s="1"/>
      <c r="AI868" s="1"/>
      <c r="AJ868" s="1"/>
      <c r="AK868" s="1"/>
    </row>
    <row r="869" spans="1:37" ht="12.75" customHeight="1">
      <c r="A869" s="1"/>
      <c r="B869" s="1"/>
      <c r="C869" s="1"/>
      <c r="D869" s="1"/>
      <c r="E869" s="1"/>
      <c r="F869" s="2"/>
      <c r="G869" s="2"/>
      <c r="H869" s="2"/>
      <c r="I869" s="2"/>
      <c r="J869" s="2"/>
      <c r="K869" s="2"/>
      <c r="L869" s="2"/>
      <c r="M869" s="2"/>
      <c r="N869" s="3"/>
      <c r="O869" s="3"/>
      <c r="P869" s="3"/>
      <c r="Q869" s="1"/>
      <c r="R869" s="1"/>
      <c r="S869" s="1"/>
      <c r="T869" s="1"/>
      <c r="U869" s="1"/>
      <c r="V869" s="1"/>
      <c r="W869" s="1"/>
      <c r="X869" s="1"/>
      <c r="Y869" s="1"/>
      <c r="Z869" s="1"/>
      <c r="AA869" s="1"/>
      <c r="AB869" s="1"/>
      <c r="AC869" s="1"/>
      <c r="AD869" s="1"/>
      <c r="AE869" s="1"/>
      <c r="AF869" s="1"/>
      <c r="AG869" s="1"/>
      <c r="AH869" s="1"/>
      <c r="AI869" s="1"/>
      <c r="AJ869" s="1"/>
      <c r="AK869" s="1"/>
    </row>
    <row r="870" spans="1:37" ht="12.75" customHeight="1">
      <c r="A870" s="1"/>
      <c r="B870" s="1"/>
      <c r="C870" s="1"/>
      <c r="D870" s="1"/>
      <c r="E870" s="1"/>
      <c r="F870" s="2"/>
      <c r="G870" s="2"/>
      <c r="H870" s="2"/>
      <c r="I870" s="2"/>
      <c r="J870" s="2"/>
      <c r="K870" s="2"/>
      <c r="L870" s="2"/>
      <c r="M870" s="2"/>
      <c r="N870" s="3"/>
      <c r="O870" s="3"/>
      <c r="P870" s="3"/>
      <c r="Q870" s="1"/>
      <c r="R870" s="1"/>
      <c r="S870" s="1"/>
      <c r="T870" s="1"/>
      <c r="U870" s="1"/>
      <c r="V870" s="1"/>
      <c r="W870" s="1"/>
      <c r="X870" s="1"/>
      <c r="Y870" s="1"/>
      <c r="Z870" s="1"/>
      <c r="AA870" s="1"/>
      <c r="AB870" s="1"/>
      <c r="AC870" s="1"/>
      <c r="AD870" s="1"/>
      <c r="AE870" s="1"/>
      <c r="AF870" s="1"/>
      <c r="AG870" s="1"/>
      <c r="AH870" s="1"/>
      <c r="AI870" s="1"/>
      <c r="AJ870" s="1"/>
      <c r="AK870" s="1"/>
    </row>
    <row r="871" spans="1:37" ht="12.75" customHeight="1">
      <c r="A871" s="1"/>
      <c r="B871" s="1"/>
      <c r="C871" s="1"/>
      <c r="D871" s="1"/>
      <c r="E871" s="1"/>
      <c r="F871" s="2"/>
      <c r="G871" s="2"/>
      <c r="H871" s="2"/>
      <c r="I871" s="2"/>
      <c r="J871" s="2"/>
      <c r="K871" s="2"/>
      <c r="L871" s="2"/>
      <c r="M871" s="2"/>
      <c r="N871" s="3"/>
      <c r="O871" s="3"/>
      <c r="P871" s="3"/>
      <c r="Q871" s="1"/>
      <c r="R871" s="1"/>
      <c r="S871" s="1"/>
      <c r="T871" s="1"/>
      <c r="U871" s="1"/>
      <c r="V871" s="1"/>
      <c r="W871" s="1"/>
      <c r="X871" s="1"/>
      <c r="Y871" s="1"/>
      <c r="Z871" s="1"/>
      <c r="AA871" s="1"/>
      <c r="AB871" s="1"/>
      <c r="AC871" s="1"/>
      <c r="AD871" s="1"/>
      <c r="AE871" s="1"/>
      <c r="AF871" s="1"/>
      <c r="AG871" s="1"/>
      <c r="AH871" s="1"/>
      <c r="AI871" s="1"/>
      <c r="AJ871" s="1"/>
      <c r="AK871" s="1"/>
    </row>
    <row r="872" spans="1:37" ht="12.75" customHeight="1">
      <c r="A872" s="1"/>
      <c r="B872" s="1"/>
      <c r="C872" s="1"/>
      <c r="D872" s="1"/>
      <c r="E872" s="1"/>
      <c r="F872" s="2"/>
      <c r="G872" s="2"/>
      <c r="H872" s="2"/>
      <c r="I872" s="2"/>
      <c r="J872" s="2"/>
      <c r="K872" s="2"/>
      <c r="L872" s="2"/>
      <c r="M872" s="2"/>
      <c r="N872" s="3"/>
      <c r="O872" s="3"/>
      <c r="P872" s="3"/>
      <c r="Q872" s="1"/>
      <c r="R872" s="1"/>
      <c r="S872" s="1"/>
      <c r="T872" s="1"/>
      <c r="U872" s="1"/>
      <c r="V872" s="1"/>
      <c r="W872" s="1"/>
      <c r="X872" s="1"/>
      <c r="Y872" s="1"/>
      <c r="Z872" s="1"/>
      <c r="AA872" s="1"/>
      <c r="AB872" s="1"/>
      <c r="AC872" s="1"/>
      <c r="AD872" s="1"/>
      <c r="AE872" s="1"/>
      <c r="AF872" s="1"/>
      <c r="AG872" s="1"/>
      <c r="AH872" s="1"/>
      <c r="AI872" s="1"/>
      <c r="AJ872" s="1"/>
      <c r="AK872" s="1"/>
    </row>
    <row r="873" spans="1:37" ht="12.75" customHeight="1">
      <c r="A873" s="1"/>
      <c r="B873" s="1"/>
      <c r="C873" s="1"/>
      <c r="D873" s="1"/>
      <c r="E873" s="1"/>
      <c r="F873" s="2"/>
      <c r="G873" s="2"/>
      <c r="H873" s="2"/>
      <c r="I873" s="2"/>
      <c r="J873" s="2"/>
      <c r="K873" s="2"/>
      <c r="L873" s="2"/>
      <c r="M873" s="2"/>
      <c r="N873" s="3"/>
      <c r="O873" s="3"/>
      <c r="P873" s="3"/>
      <c r="Q873" s="1"/>
      <c r="R873" s="1"/>
      <c r="S873" s="1"/>
      <c r="T873" s="1"/>
      <c r="U873" s="1"/>
      <c r="V873" s="1"/>
      <c r="W873" s="1"/>
      <c r="X873" s="1"/>
      <c r="Y873" s="1"/>
      <c r="Z873" s="1"/>
      <c r="AA873" s="1"/>
      <c r="AB873" s="1"/>
      <c r="AC873" s="1"/>
      <c r="AD873" s="1"/>
      <c r="AE873" s="1"/>
      <c r="AF873" s="1"/>
      <c r="AG873" s="1"/>
      <c r="AH873" s="1"/>
      <c r="AI873" s="1"/>
      <c r="AJ873" s="1"/>
      <c r="AK873" s="1"/>
    </row>
    <row r="874" spans="1:37" ht="12.75" customHeight="1">
      <c r="A874" s="1"/>
      <c r="B874" s="1"/>
      <c r="C874" s="1"/>
      <c r="D874" s="1"/>
      <c r="E874" s="1"/>
      <c r="F874" s="2"/>
      <c r="G874" s="2"/>
      <c r="H874" s="2"/>
      <c r="I874" s="2"/>
      <c r="J874" s="2"/>
      <c r="K874" s="2"/>
      <c r="L874" s="2"/>
      <c r="M874" s="2"/>
      <c r="N874" s="3"/>
      <c r="O874" s="3"/>
      <c r="P874" s="3"/>
      <c r="Q874" s="1"/>
      <c r="R874" s="1"/>
      <c r="S874" s="1"/>
      <c r="T874" s="1"/>
      <c r="U874" s="1"/>
      <c r="V874" s="1"/>
      <c r="W874" s="1"/>
      <c r="X874" s="1"/>
      <c r="Y874" s="1"/>
      <c r="Z874" s="1"/>
      <c r="AA874" s="1"/>
      <c r="AB874" s="1"/>
      <c r="AC874" s="1"/>
      <c r="AD874" s="1"/>
      <c r="AE874" s="1"/>
      <c r="AF874" s="1"/>
      <c r="AG874" s="1"/>
      <c r="AH874" s="1"/>
      <c r="AI874" s="1"/>
      <c r="AJ874" s="1"/>
      <c r="AK874" s="1"/>
    </row>
    <row r="875" spans="1:37" ht="12.75" customHeight="1">
      <c r="A875" s="1"/>
      <c r="B875" s="1"/>
      <c r="C875" s="1"/>
      <c r="D875" s="1"/>
      <c r="E875" s="1"/>
      <c r="F875" s="2"/>
      <c r="G875" s="2"/>
      <c r="H875" s="2"/>
      <c r="I875" s="2"/>
      <c r="J875" s="2"/>
      <c r="K875" s="2"/>
      <c r="L875" s="2"/>
      <c r="M875" s="2"/>
      <c r="N875" s="3"/>
      <c r="O875" s="3"/>
      <c r="P875" s="3"/>
      <c r="Q875" s="1"/>
      <c r="R875" s="1"/>
      <c r="S875" s="1"/>
      <c r="T875" s="1"/>
      <c r="U875" s="1"/>
      <c r="V875" s="1"/>
      <c r="W875" s="1"/>
      <c r="X875" s="1"/>
      <c r="Y875" s="1"/>
      <c r="Z875" s="1"/>
      <c r="AA875" s="1"/>
      <c r="AB875" s="1"/>
      <c r="AC875" s="1"/>
      <c r="AD875" s="1"/>
      <c r="AE875" s="1"/>
      <c r="AF875" s="1"/>
      <c r="AG875" s="1"/>
      <c r="AH875" s="1"/>
      <c r="AI875" s="1"/>
      <c r="AJ875" s="1"/>
      <c r="AK875" s="1"/>
    </row>
    <row r="876" spans="1:37" ht="12.75" customHeight="1">
      <c r="A876" s="1"/>
      <c r="B876" s="1"/>
      <c r="C876" s="1"/>
      <c r="D876" s="1"/>
      <c r="E876" s="1"/>
      <c r="F876" s="2"/>
      <c r="G876" s="2"/>
      <c r="H876" s="2"/>
      <c r="I876" s="2"/>
      <c r="J876" s="2"/>
      <c r="K876" s="2"/>
      <c r="L876" s="2"/>
      <c r="M876" s="2"/>
      <c r="N876" s="3"/>
      <c r="O876" s="3"/>
      <c r="P876" s="3"/>
      <c r="Q876" s="1"/>
      <c r="R876" s="1"/>
      <c r="S876" s="1"/>
      <c r="T876" s="1"/>
      <c r="U876" s="1"/>
      <c r="V876" s="1"/>
      <c r="W876" s="1"/>
      <c r="X876" s="1"/>
      <c r="Y876" s="1"/>
      <c r="Z876" s="1"/>
      <c r="AA876" s="1"/>
      <c r="AB876" s="1"/>
      <c r="AC876" s="1"/>
      <c r="AD876" s="1"/>
      <c r="AE876" s="1"/>
      <c r="AF876" s="1"/>
      <c r="AG876" s="1"/>
      <c r="AH876" s="1"/>
      <c r="AI876" s="1"/>
      <c r="AJ876" s="1"/>
      <c r="AK876" s="1"/>
    </row>
    <row r="877" spans="1:37" ht="12.75" customHeight="1">
      <c r="A877" s="1"/>
      <c r="B877" s="1"/>
      <c r="C877" s="1"/>
      <c r="D877" s="1"/>
      <c r="E877" s="1"/>
      <c r="F877" s="2"/>
      <c r="G877" s="2"/>
      <c r="H877" s="2"/>
      <c r="I877" s="2"/>
      <c r="J877" s="2"/>
      <c r="K877" s="2"/>
      <c r="L877" s="2"/>
      <c r="M877" s="2"/>
      <c r="N877" s="3"/>
      <c r="O877" s="3"/>
      <c r="P877" s="3"/>
      <c r="Q877" s="1"/>
      <c r="R877" s="1"/>
      <c r="S877" s="1"/>
      <c r="T877" s="1"/>
      <c r="U877" s="1"/>
      <c r="V877" s="1"/>
      <c r="W877" s="1"/>
      <c r="X877" s="1"/>
      <c r="Y877" s="1"/>
      <c r="Z877" s="1"/>
      <c r="AA877" s="1"/>
      <c r="AB877" s="1"/>
      <c r="AC877" s="1"/>
      <c r="AD877" s="1"/>
      <c r="AE877" s="1"/>
      <c r="AF877" s="1"/>
      <c r="AG877" s="1"/>
      <c r="AH877" s="1"/>
      <c r="AI877" s="1"/>
      <c r="AJ877" s="1"/>
      <c r="AK877" s="1"/>
    </row>
    <row r="878" spans="1:37" ht="12.75" customHeight="1">
      <c r="A878" s="1"/>
      <c r="B878" s="1"/>
      <c r="C878" s="1"/>
      <c r="D878" s="1"/>
      <c r="E878" s="1"/>
      <c r="F878" s="2"/>
      <c r="G878" s="2"/>
      <c r="H878" s="2"/>
      <c r="I878" s="2"/>
      <c r="J878" s="2"/>
      <c r="K878" s="2"/>
      <c r="L878" s="2"/>
      <c r="M878" s="2"/>
      <c r="N878" s="3"/>
      <c r="O878" s="3"/>
      <c r="P878" s="3"/>
      <c r="Q878" s="1"/>
      <c r="R878" s="1"/>
      <c r="S878" s="1"/>
      <c r="T878" s="1"/>
      <c r="U878" s="1"/>
      <c r="V878" s="1"/>
      <c r="W878" s="1"/>
      <c r="X878" s="1"/>
      <c r="Y878" s="1"/>
      <c r="Z878" s="1"/>
      <c r="AA878" s="1"/>
      <c r="AB878" s="1"/>
      <c r="AC878" s="1"/>
      <c r="AD878" s="1"/>
      <c r="AE878" s="1"/>
      <c r="AF878" s="1"/>
      <c r="AG878" s="1"/>
      <c r="AH878" s="1"/>
      <c r="AI878" s="1"/>
      <c r="AJ878" s="1"/>
      <c r="AK878" s="1"/>
    </row>
    <row r="879" spans="1:37" ht="12.75" customHeight="1">
      <c r="A879" s="1"/>
      <c r="B879" s="1"/>
      <c r="C879" s="1"/>
      <c r="D879" s="1"/>
      <c r="E879" s="1"/>
      <c r="F879" s="2"/>
      <c r="G879" s="2"/>
      <c r="H879" s="2"/>
      <c r="I879" s="2"/>
      <c r="J879" s="2"/>
      <c r="K879" s="2"/>
      <c r="L879" s="2"/>
      <c r="M879" s="2"/>
      <c r="N879" s="3"/>
      <c r="O879" s="3"/>
      <c r="P879" s="3"/>
      <c r="Q879" s="1"/>
      <c r="R879" s="1"/>
      <c r="S879" s="1"/>
      <c r="T879" s="1"/>
      <c r="U879" s="1"/>
      <c r="V879" s="1"/>
      <c r="W879" s="1"/>
      <c r="X879" s="1"/>
      <c r="Y879" s="1"/>
      <c r="Z879" s="1"/>
      <c r="AA879" s="1"/>
      <c r="AB879" s="1"/>
      <c r="AC879" s="1"/>
      <c r="AD879" s="1"/>
      <c r="AE879" s="1"/>
      <c r="AF879" s="1"/>
      <c r="AG879" s="1"/>
      <c r="AH879" s="1"/>
      <c r="AI879" s="1"/>
      <c r="AJ879" s="1"/>
      <c r="AK879" s="1"/>
    </row>
    <row r="880" spans="1:37" ht="12.75" customHeight="1">
      <c r="A880" s="1"/>
      <c r="B880" s="1"/>
      <c r="C880" s="1"/>
      <c r="D880" s="1"/>
      <c r="E880" s="1"/>
      <c r="F880" s="2"/>
      <c r="G880" s="2"/>
      <c r="H880" s="2"/>
      <c r="I880" s="2"/>
      <c r="J880" s="2"/>
      <c r="K880" s="2"/>
      <c r="L880" s="2"/>
      <c r="M880" s="2"/>
      <c r="N880" s="3"/>
      <c r="O880" s="3"/>
      <c r="P880" s="3"/>
      <c r="Q880" s="1"/>
      <c r="R880" s="1"/>
      <c r="S880" s="1"/>
      <c r="T880" s="1"/>
      <c r="U880" s="1"/>
      <c r="V880" s="1"/>
      <c r="W880" s="1"/>
      <c r="X880" s="1"/>
      <c r="Y880" s="1"/>
      <c r="Z880" s="1"/>
      <c r="AA880" s="1"/>
      <c r="AB880" s="1"/>
      <c r="AC880" s="1"/>
      <c r="AD880" s="1"/>
      <c r="AE880" s="1"/>
      <c r="AF880" s="1"/>
      <c r="AG880" s="1"/>
      <c r="AH880" s="1"/>
      <c r="AI880" s="1"/>
      <c r="AJ880" s="1"/>
      <c r="AK880" s="1"/>
    </row>
    <row r="881" spans="1:37" ht="12.75" customHeight="1">
      <c r="A881" s="1"/>
      <c r="B881" s="1"/>
      <c r="C881" s="1"/>
      <c r="D881" s="1"/>
      <c r="E881" s="1"/>
      <c r="F881" s="2"/>
      <c r="G881" s="2"/>
      <c r="H881" s="2"/>
      <c r="I881" s="2"/>
      <c r="J881" s="2"/>
      <c r="K881" s="2"/>
      <c r="L881" s="2"/>
      <c r="M881" s="2"/>
      <c r="N881" s="3"/>
      <c r="O881" s="3"/>
      <c r="P881" s="3"/>
      <c r="Q881" s="1"/>
      <c r="R881" s="1"/>
      <c r="S881" s="1"/>
      <c r="T881" s="1"/>
      <c r="U881" s="1"/>
      <c r="V881" s="1"/>
      <c r="W881" s="1"/>
      <c r="X881" s="1"/>
      <c r="Y881" s="1"/>
      <c r="Z881" s="1"/>
      <c r="AA881" s="1"/>
      <c r="AB881" s="1"/>
      <c r="AC881" s="1"/>
      <c r="AD881" s="1"/>
      <c r="AE881" s="1"/>
      <c r="AF881" s="1"/>
      <c r="AG881" s="1"/>
      <c r="AH881" s="1"/>
      <c r="AI881" s="1"/>
      <c r="AJ881" s="1"/>
      <c r="AK881" s="1"/>
    </row>
    <row r="882" spans="1:37" ht="12.75" customHeight="1">
      <c r="A882" s="1"/>
      <c r="B882" s="1"/>
      <c r="C882" s="1"/>
      <c r="D882" s="1"/>
      <c r="E882" s="1"/>
      <c r="F882" s="2"/>
      <c r="G882" s="2"/>
      <c r="H882" s="2"/>
      <c r="I882" s="2"/>
      <c r="J882" s="2"/>
      <c r="K882" s="2"/>
      <c r="L882" s="2"/>
      <c r="M882" s="2"/>
      <c r="N882" s="3"/>
      <c r="O882" s="3"/>
      <c r="P882" s="3"/>
      <c r="Q882" s="1"/>
      <c r="R882" s="1"/>
      <c r="S882" s="1"/>
      <c r="T882" s="1"/>
      <c r="U882" s="1"/>
      <c r="V882" s="1"/>
      <c r="W882" s="1"/>
      <c r="X882" s="1"/>
      <c r="Y882" s="1"/>
      <c r="Z882" s="1"/>
      <c r="AA882" s="1"/>
      <c r="AB882" s="1"/>
      <c r="AC882" s="1"/>
      <c r="AD882" s="1"/>
      <c r="AE882" s="1"/>
      <c r="AF882" s="1"/>
      <c r="AG882" s="1"/>
      <c r="AH882" s="1"/>
      <c r="AI882" s="1"/>
      <c r="AJ882" s="1"/>
      <c r="AK882" s="1"/>
    </row>
    <row r="883" spans="1:37" ht="12.75" customHeight="1">
      <c r="A883" s="1"/>
      <c r="B883" s="1"/>
      <c r="C883" s="1"/>
      <c r="D883" s="1"/>
      <c r="E883" s="1"/>
      <c r="F883" s="2"/>
      <c r="G883" s="2"/>
      <c r="H883" s="2"/>
      <c r="I883" s="2"/>
      <c r="J883" s="2"/>
      <c r="K883" s="2"/>
      <c r="L883" s="2"/>
      <c r="M883" s="2"/>
      <c r="N883" s="3"/>
      <c r="O883" s="3"/>
      <c r="P883" s="3"/>
      <c r="Q883" s="1"/>
      <c r="R883" s="1"/>
      <c r="S883" s="1"/>
      <c r="T883" s="1"/>
      <c r="U883" s="1"/>
      <c r="V883" s="1"/>
      <c r="W883" s="1"/>
      <c r="X883" s="1"/>
      <c r="Y883" s="1"/>
      <c r="Z883" s="1"/>
      <c r="AA883" s="1"/>
      <c r="AB883" s="1"/>
      <c r="AC883" s="1"/>
      <c r="AD883" s="1"/>
      <c r="AE883" s="1"/>
      <c r="AF883" s="1"/>
      <c r="AG883" s="1"/>
      <c r="AH883" s="1"/>
      <c r="AI883" s="1"/>
      <c r="AJ883" s="1"/>
      <c r="AK883" s="1"/>
    </row>
    <row r="884" spans="1:37" ht="12.75" customHeight="1">
      <c r="A884" s="1"/>
      <c r="B884" s="1"/>
      <c r="C884" s="1"/>
      <c r="D884" s="1"/>
      <c r="E884" s="1"/>
      <c r="F884" s="2"/>
      <c r="G884" s="2"/>
      <c r="H884" s="2"/>
      <c r="I884" s="2"/>
      <c r="J884" s="2"/>
      <c r="K884" s="2"/>
      <c r="L884" s="2"/>
      <c r="M884" s="2"/>
      <c r="N884" s="3"/>
      <c r="O884" s="3"/>
      <c r="P884" s="3"/>
      <c r="Q884" s="1"/>
      <c r="R884" s="1"/>
      <c r="S884" s="1"/>
      <c r="T884" s="1"/>
      <c r="U884" s="1"/>
      <c r="V884" s="1"/>
      <c r="W884" s="1"/>
      <c r="X884" s="1"/>
      <c r="Y884" s="1"/>
      <c r="Z884" s="1"/>
      <c r="AA884" s="1"/>
      <c r="AB884" s="1"/>
      <c r="AC884" s="1"/>
      <c r="AD884" s="1"/>
      <c r="AE884" s="1"/>
      <c r="AF884" s="1"/>
      <c r="AG884" s="1"/>
      <c r="AH884" s="1"/>
      <c r="AI884" s="1"/>
      <c r="AJ884" s="1"/>
      <c r="AK884" s="1"/>
    </row>
    <row r="885" spans="1:37" ht="12.75" customHeight="1">
      <c r="A885" s="1"/>
      <c r="B885" s="1"/>
      <c r="C885" s="1"/>
      <c r="D885" s="1"/>
      <c r="E885" s="1"/>
      <c r="F885" s="2"/>
      <c r="G885" s="2"/>
      <c r="H885" s="2"/>
      <c r="I885" s="2"/>
      <c r="J885" s="2"/>
      <c r="K885" s="2"/>
      <c r="L885" s="2"/>
      <c r="M885" s="2"/>
      <c r="N885" s="3"/>
      <c r="O885" s="3"/>
      <c r="P885" s="3"/>
      <c r="Q885" s="1"/>
      <c r="R885" s="1"/>
      <c r="S885" s="1"/>
      <c r="T885" s="1"/>
      <c r="U885" s="1"/>
      <c r="V885" s="1"/>
      <c r="W885" s="1"/>
      <c r="X885" s="1"/>
      <c r="Y885" s="1"/>
      <c r="Z885" s="1"/>
      <c r="AA885" s="1"/>
      <c r="AB885" s="1"/>
      <c r="AC885" s="1"/>
      <c r="AD885" s="1"/>
      <c r="AE885" s="1"/>
      <c r="AF885" s="1"/>
      <c r="AG885" s="1"/>
      <c r="AH885" s="1"/>
      <c r="AI885" s="1"/>
      <c r="AJ885" s="1"/>
      <c r="AK885" s="1"/>
    </row>
    <row r="886" spans="1:37" ht="12.75" customHeight="1">
      <c r="A886" s="1"/>
      <c r="B886" s="1"/>
      <c r="C886" s="1"/>
      <c r="D886" s="1"/>
      <c r="E886" s="1"/>
      <c r="F886" s="2"/>
      <c r="G886" s="2"/>
      <c r="H886" s="2"/>
      <c r="I886" s="2"/>
      <c r="J886" s="2"/>
      <c r="K886" s="2"/>
      <c r="L886" s="2"/>
      <c r="M886" s="2"/>
      <c r="N886" s="3"/>
      <c r="O886" s="3"/>
      <c r="P886" s="3"/>
      <c r="Q886" s="1"/>
      <c r="R886" s="1"/>
      <c r="S886" s="1"/>
      <c r="T886" s="1"/>
      <c r="U886" s="1"/>
      <c r="V886" s="1"/>
      <c r="W886" s="1"/>
      <c r="X886" s="1"/>
      <c r="Y886" s="1"/>
      <c r="Z886" s="1"/>
      <c r="AA886" s="1"/>
      <c r="AB886" s="1"/>
      <c r="AC886" s="1"/>
      <c r="AD886" s="1"/>
      <c r="AE886" s="1"/>
      <c r="AF886" s="1"/>
      <c r="AG886" s="1"/>
      <c r="AH886" s="1"/>
      <c r="AI886" s="1"/>
      <c r="AJ886" s="1"/>
      <c r="AK886" s="1"/>
    </row>
    <row r="887" spans="1:37" ht="12.75" customHeight="1">
      <c r="A887" s="1"/>
      <c r="B887" s="1"/>
      <c r="C887" s="1"/>
      <c r="D887" s="1"/>
      <c r="E887" s="1"/>
      <c r="F887" s="2"/>
      <c r="G887" s="2"/>
      <c r="H887" s="2"/>
      <c r="I887" s="2"/>
      <c r="J887" s="2"/>
      <c r="K887" s="2"/>
      <c r="L887" s="2"/>
      <c r="M887" s="2"/>
      <c r="N887" s="3"/>
      <c r="O887" s="3"/>
      <c r="P887" s="3"/>
      <c r="Q887" s="1"/>
      <c r="R887" s="1"/>
      <c r="S887" s="1"/>
      <c r="T887" s="1"/>
      <c r="U887" s="1"/>
      <c r="V887" s="1"/>
      <c r="W887" s="1"/>
      <c r="X887" s="1"/>
      <c r="Y887" s="1"/>
      <c r="Z887" s="1"/>
      <c r="AA887" s="1"/>
      <c r="AB887" s="1"/>
      <c r="AC887" s="1"/>
      <c r="AD887" s="1"/>
      <c r="AE887" s="1"/>
      <c r="AF887" s="1"/>
      <c r="AG887" s="1"/>
      <c r="AH887" s="1"/>
      <c r="AI887" s="1"/>
      <c r="AJ887" s="1"/>
      <c r="AK887" s="1"/>
    </row>
    <row r="888" spans="1:37" ht="12.75" customHeight="1">
      <c r="A888" s="1"/>
      <c r="B888" s="1"/>
      <c r="C888" s="1"/>
      <c r="D888" s="1"/>
      <c r="E888" s="1"/>
      <c r="F888" s="2"/>
      <c r="G888" s="2"/>
      <c r="H888" s="2"/>
      <c r="I888" s="2"/>
      <c r="J888" s="2"/>
      <c r="K888" s="2"/>
      <c r="L888" s="2"/>
      <c r="M888" s="2"/>
      <c r="N888" s="3"/>
      <c r="O888" s="3"/>
      <c r="P888" s="3"/>
      <c r="Q888" s="1"/>
      <c r="R888" s="1"/>
      <c r="S888" s="1"/>
      <c r="T888" s="1"/>
      <c r="U888" s="1"/>
      <c r="V888" s="1"/>
      <c r="W888" s="1"/>
      <c r="X888" s="1"/>
      <c r="Y888" s="1"/>
      <c r="Z888" s="1"/>
      <c r="AA888" s="1"/>
      <c r="AB888" s="1"/>
      <c r="AC888" s="1"/>
      <c r="AD888" s="1"/>
      <c r="AE888" s="1"/>
      <c r="AF888" s="1"/>
      <c r="AG888" s="1"/>
      <c r="AH888" s="1"/>
      <c r="AI888" s="1"/>
      <c r="AJ888" s="1"/>
      <c r="AK888" s="1"/>
    </row>
    <row r="889" spans="1:37" ht="12.75" customHeight="1">
      <c r="A889" s="1"/>
      <c r="B889" s="1"/>
      <c r="C889" s="1"/>
      <c r="D889" s="1"/>
      <c r="E889" s="1"/>
      <c r="F889" s="2"/>
      <c r="G889" s="2"/>
      <c r="H889" s="2"/>
      <c r="I889" s="2"/>
      <c r="J889" s="2"/>
      <c r="K889" s="2"/>
      <c r="L889" s="2"/>
      <c r="M889" s="2"/>
      <c r="N889" s="3"/>
      <c r="O889" s="3"/>
      <c r="P889" s="3"/>
      <c r="Q889" s="1"/>
      <c r="R889" s="1"/>
      <c r="S889" s="1"/>
      <c r="T889" s="1"/>
      <c r="U889" s="1"/>
      <c r="V889" s="1"/>
      <c r="W889" s="1"/>
      <c r="X889" s="1"/>
      <c r="Y889" s="1"/>
      <c r="Z889" s="1"/>
      <c r="AA889" s="1"/>
      <c r="AB889" s="1"/>
      <c r="AC889" s="1"/>
      <c r="AD889" s="1"/>
      <c r="AE889" s="1"/>
      <c r="AF889" s="1"/>
      <c r="AG889" s="1"/>
      <c r="AH889" s="1"/>
      <c r="AI889" s="1"/>
      <c r="AJ889" s="1"/>
      <c r="AK889" s="1"/>
    </row>
    <row r="890" spans="1:37" ht="12.75" customHeight="1">
      <c r="A890" s="1"/>
      <c r="B890" s="1"/>
      <c r="C890" s="1"/>
      <c r="D890" s="1"/>
      <c r="E890" s="1"/>
      <c r="F890" s="2"/>
      <c r="G890" s="2"/>
      <c r="H890" s="2"/>
      <c r="I890" s="2"/>
      <c r="J890" s="2"/>
      <c r="K890" s="2"/>
      <c r="L890" s="2"/>
      <c r="M890" s="2"/>
      <c r="N890" s="3"/>
      <c r="O890" s="3"/>
      <c r="P890" s="3"/>
      <c r="Q890" s="1"/>
      <c r="R890" s="1"/>
      <c r="S890" s="1"/>
      <c r="T890" s="1"/>
      <c r="U890" s="1"/>
      <c r="V890" s="1"/>
      <c r="W890" s="1"/>
      <c r="X890" s="1"/>
      <c r="Y890" s="1"/>
      <c r="Z890" s="1"/>
      <c r="AA890" s="1"/>
      <c r="AB890" s="1"/>
      <c r="AC890" s="1"/>
      <c r="AD890" s="1"/>
      <c r="AE890" s="1"/>
      <c r="AF890" s="1"/>
      <c r="AG890" s="1"/>
      <c r="AH890" s="1"/>
      <c r="AI890" s="1"/>
      <c r="AJ890" s="1"/>
      <c r="AK890" s="1"/>
    </row>
    <row r="891" spans="1:37" ht="12.75" customHeight="1">
      <c r="A891" s="1"/>
      <c r="B891" s="1"/>
      <c r="C891" s="1"/>
      <c r="D891" s="1"/>
      <c r="E891" s="1"/>
      <c r="F891" s="2"/>
      <c r="G891" s="2"/>
      <c r="H891" s="2"/>
      <c r="I891" s="2"/>
      <c r="J891" s="2"/>
      <c r="K891" s="2"/>
      <c r="L891" s="2"/>
      <c r="M891" s="2"/>
      <c r="N891" s="3"/>
      <c r="O891" s="3"/>
      <c r="P891" s="3"/>
      <c r="Q891" s="1"/>
      <c r="R891" s="1"/>
      <c r="S891" s="1"/>
      <c r="T891" s="1"/>
      <c r="U891" s="1"/>
      <c r="V891" s="1"/>
      <c r="W891" s="1"/>
      <c r="X891" s="1"/>
      <c r="Y891" s="1"/>
      <c r="Z891" s="1"/>
      <c r="AA891" s="1"/>
      <c r="AB891" s="1"/>
      <c r="AC891" s="1"/>
      <c r="AD891" s="1"/>
      <c r="AE891" s="1"/>
      <c r="AF891" s="1"/>
      <c r="AG891" s="1"/>
      <c r="AH891" s="1"/>
      <c r="AI891" s="1"/>
      <c r="AJ891" s="1"/>
      <c r="AK891" s="1"/>
    </row>
    <row r="892" spans="1:37" ht="12.75" customHeight="1">
      <c r="A892" s="1"/>
      <c r="B892" s="1"/>
      <c r="C892" s="1"/>
      <c r="D892" s="1"/>
      <c r="E892" s="1"/>
      <c r="F892" s="2"/>
      <c r="G892" s="2"/>
      <c r="H892" s="2"/>
      <c r="I892" s="2"/>
      <c r="J892" s="2"/>
      <c r="K892" s="2"/>
      <c r="L892" s="2"/>
      <c r="M892" s="2"/>
      <c r="N892" s="3"/>
      <c r="O892" s="3"/>
      <c r="P892" s="3"/>
      <c r="Q892" s="1"/>
      <c r="R892" s="1"/>
      <c r="S892" s="1"/>
      <c r="T892" s="1"/>
      <c r="U892" s="1"/>
      <c r="V892" s="1"/>
      <c r="W892" s="1"/>
      <c r="X892" s="1"/>
      <c r="Y892" s="1"/>
      <c r="Z892" s="1"/>
      <c r="AA892" s="1"/>
      <c r="AB892" s="1"/>
      <c r="AC892" s="1"/>
      <c r="AD892" s="1"/>
      <c r="AE892" s="1"/>
      <c r="AF892" s="1"/>
      <c r="AG892" s="1"/>
      <c r="AH892" s="1"/>
      <c r="AI892" s="1"/>
      <c r="AJ892" s="1"/>
      <c r="AK892" s="1"/>
    </row>
    <row r="893" spans="1:37" ht="12.75" customHeight="1">
      <c r="A893" s="1"/>
      <c r="B893" s="1"/>
      <c r="C893" s="1"/>
      <c r="D893" s="1"/>
      <c r="E893" s="1"/>
      <c r="F893" s="2"/>
      <c r="G893" s="2"/>
      <c r="H893" s="2"/>
      <c r="I893" s="2"/>
      <c r="J893" s="2"/>
      <c r="K893" s="2"/>
      <c r="L893" s="2"/>
      <c r="M893" s="2"/>
      <c r="N893" s="3"/>
      <c r="O893" s="3"/>
      <c r="P893" s="3"/>
      <c r="Q893" s="1"/>
      <c r="R893" s="1"/>
      <c r="S893" s="1"/>
      <c r="T893" s="1"/>
      <c r="U893" s="1"/>
      <c r="V893" s="1"/>
      <c r="W893" s="1"/>
      <c r="X893" s="1"/>
      <c r="Y893" s="1"/>
      <c r="Z893" s="1"/>
      <c r="AA893" s="1"/>
      <c r="AB893" s="1"/>
      <c r="AC893" s="1"/>
      <c r="AD893" s="1"/>
      <c r="AE893" s="1"/>
      <c r="AF893" s="1"/>
      <c r="AG893" s="1"/>
      <c r="AH893" s="1"/>
      <c r="AI893" s="1"/>
      <c r="AJ893" s="1"/>
      <c r="AK893" s="1"/>
    </row>
    <row r="894" spans="1:37" ht="12.75" customHeight="1">
      <c r="A894" s="1"/>
      <c r="B894" s="1"/>
      <c r="C894" s="1"/>
      <c r="D894" s="1"/>
      <c r="E894" s="1"/>
      <c r="F894" s="2"/>
      <c r="G894" s="2"/>
      <c r="H894" s="2"/>
      <c r="I894" s="2"/>
      <c r="J894" s="2"/>
      <c r="K894" s="2"/>
      <c r="L894" s="2"/>
      <c r="M894" s="2"/>
      <c r="N894" s="3"/>
      <c r="O894" s="3"/>
      <c r="P894" s="3"/>
      <c r="Q894" s="1"/>
      <c r="R894" s="1"/>
      <c r="S894" s="1"/>
      <c r="T894" s="1"/>
      <c r="U894" s="1"/>
      <c r="V894" s="1"/>
      <c r="W894" s="1"/>
      <c r="X894" s="1"/>
      <c r="Y894" s="1"/>
      <c r="Z894" s="1"/>
      <c r="AA894" s="1"/>
      <c r="AB894" s="1"/>
      <c r="AC894" s="1"/>
      <c r="AD894" s="1"/>
      <c r="AE894" s="1"/>
      <c r="AF894" s="1"/>
      <c r="AG894" s="1"/>
      <c r="AH894" s="1"/>
      <c r="AI894" s="1"/>
      <c r="AJ894" s="1"/>
      <c r="AK894" s="1"/>
    </row>
    <row r="895" spans="1:37" ht="12.75" customHeight="1">
      <c r="A895" s="1"/>
      <c r="B895" s="1"/>
      <c r="C895" s="1"/>
      <c r="D895" s="1"/>
      <c r="E895" s="1"/>
      <c r="F895" s="2"/>
      <c r="G895" s="2"/>
      <c r="H895" s="2"/>
      <c r="I895" s="2"/>
      <c r="J895" s="2"/>
      <c r="K895" s="2"/>
      <c r="L895" s="2"/>
      <c r="M895" s="2"/>
      <c r="N895" s="3"/>
      <c r="O895" s="3"/>
      <c r="P895" s="3"/>
      <c r="Q895" s="1"/>
      <c r="R895" s="1"/>
      <c r="S895" s="1"/>
      <c r="T895" s="1"/>
      <c r="U895" s="1"/>
      <c r="V895" s="1"/>
      <c r="W895" s="1"/>
      <c r="X895" s="1"/>
      <c r="Y895" s="1"/>
      <c r="Z895" s="1"/>
      <c r="AA895" s="1"/>
      <c r="AB895" s="1"/>
      <c r="AC895" s="1"/>
      <c r="AD895" s="1"/>
      <c r="AE895" s="1"/>
      <c r="AF895" s="1"/>
      <c r="AG895" s="1"/>
      <c r="AH895" s="1"/>
      <c r="AI895" s="1"/>
      <c r="AJ895" s="1"/>
      <c r="AK895" s="1"/>
    </row>
    <row r="896" spans="1:37" ht="12.75" customHeight="1">
      <c r="A896" s="1"/>
      <c r="B896" s="1"/>
      <c r="C896" s="1"/>
      <c r="D896" s="1"/>
      <c r="E896" s="1"/>
      <c r="F896" s="2"/>
      <c r="G896" s="2"/>
      <c r="H896" s="2"/>
      <c r="I896" s="2"/>
      <c r="J896" s="2"/>
      <c r="K896" s="2"/>
      <c r="L896" s="2"/>
      <c r="M896" s="2"/>
      <c r="N896" s="3"/>
      <c r="O896" s="3"/>
      <c r="P896" s="3"/>
      <c r="Q896" s="1"/>
      <c r="R896" s="1"/>
      <c r="S896" s="1"/>
      <c r="T896" s="1"/>
      <c r="U896" s="1"/>
      <c r="V896" s="1"/>
      <c r="W896" s="1"/>
      <c r="X896" s="1"/>
      <c r="Y896" s="1"/>
      <c r="Z896" s="1"/>
      <c r="AA896" s="1"/>
      <c r="AB896" s="1"/>
      <c r="AC896" s="1"/>
      <c r="AD896" s="1"/>
      <c r="AE896" s="1"/>
      <c r="AF896" s="1"/>
      <c r="AG896" s="1"/>
      <c r="AH896" s="1"/>
      <c r="AI896" s="1"/>
      <c r="AJ896" s="1"/>
      <c r="AK896" s="1"/>
    </row>
    <row r="897" spans="1:37" ht="12.75" customHeight="1">
      <c r="A897" s="1"/>
      <c r="B897" s="1"/>
      <c r="C897" s="1"/>
      <c r="D897" s="1"/>
      <c r="E897" s="1"/>
      <c r="F897" s="2"/>
      <c r="G897" s="2"/>
      <c r="H897" s="2"/>
      <c r="I897" s="2"/>
      <c r="J897" s="2"/>
      <c r="K897" s="2"/>
      <c r="L897" s="2"/>
      <c r="M897" s="2"/>
      <c r="N897" s="3"/>
      <c r="O897" s="3"/>
      <c r="P897" s="3"/>
      <c r="Q897" s="1"/>
      <c r="R897" s="1"/>
      <c r="S897" s="1"/>
      <c r="T897" s="1"/>
      <c r="U897" s="1"/>
      <c r="V897" s="1"/>
      <c r="W897" s="1"/>
      <c r="X897" s="1"/>
      <c r="Y897" s="1"/>
      <c r="Z897" s="1"/>
      <c r="AA897" s="1"/>
      <c r="AB897" s="1"/>
      <c r="AC897" s="1"/>
      <c r="AD897" s="1"/>
      <c r="AE897" s="1"/>
      <c r="AF897" s="1"/>
      <c r="AG897" s="1"/>
      <c r="AH897" s="1"/>
      <c r="AI897" s="1"/>
      <c r="AJ897" s="1"/>
      <c r="AK897" s="1"/>
    </row>
    <row r="898" spans="1:37" ht="12.75" customHeight="1">
      <c r="A898" s="1"/>
      <c r="B898" s="1"/>
      <c r="C898" s="1"/>
      <c r="D898" s="1"/>
      <c r="E898" s="1"/>
      <c r="F898" s="2"/>
      <c r="G898" s="2"/>
      <c r="H898" s="2"/>
      <c r="I898" s="2"/>
      <c r="J898" s="2"/>
      <c r="K898" s="2"/>
      <c r="L898" s="2"/>
      <c r="M898" s="2"/>
      <c r="N898" s="3"/>
      <c r="O898" s="3"/>
      <c r="P898" s="3"/>
      <c r="Q898" s="1"/>
      <c r="R898" s="1"/>
      <c r="S898" s="1"/>
      <c r="T898" s="1"/>
      <c r="U898" s="1"/>
      <c r="V898" s="1"/>
      <c r="W898" s="1"/>
      <c r="X898" s="1"/>
      <c r="Y898" s="1"/>
      <c r="Z898" s="1"/>
      <c r="AA898" s="1"/>
      <c r="AB898" s="1"/>
      <c r="AC898" s="1"/>
      <c r="AD898" s="1"/>
      <c r="AE898" s="1"/>
      <c r="AF898" s="1"/>
      <c r="AG898" s="1"/>
      <c r="AH898" s="1"/>
      <c r="AI898" s="1"/>
      <c r="AJ898" s="1"/>
      <c r="AK898" s="1"/>
    </row>
    <row r="899" spans="1:37" ht="12.75" customHeight="1">
      <c r="A899" s="1"/>
      <c r="B899" s="1"/>
      <c r="C899" s="1"/>
      <c r="D899" s="1"/>
      <c r="E899" s="1"/>
      <c r="F899" s="2"/>
      <c r="G899" s="2"/>
      <c r="H899" s="2"/>
      <c r="I899" s="2"/>
      <c r="J899" s="2"/>
      <c r="K899" s="2"/>
      <c r="L899" s="2"/>
      <c r="M899" s="2"/>
      <c r="N899" s="3"/>
      <c r="O899" s="3"/>
      <c r="P899" s="3"/>
      <c r="Q899" s="1"/>
      <c r="R899" s="1"/>
      <c r="S899" s="1"/>
      <c r="T899" s="1"/>
      <c r="U899" s="1"/>
      <c r="V899" s="1"/>
      <c r="W899" s="1"/>
      <c r="X899" s="1"/>
      <c r="Y899" s="1"/>
      <c r="Z899" s="1"/>
      <c r="AA899" s="1"/>
      <c r="AB899" s="1"/>
      <c r="AC899" s="1"/>
      <c r="AD899" s="1"/>
      <c r="AE899" s="1"/>
      <c r="AF899" s="1"/>
      <c r="AG899" s="1"/>
      <c r="AH899" s="1"/>
      <c r="AI899" s="1"/>
      <c r="AJ899" s="1"/>
      <c r="AK899" s="1"/>
    </row>
    <row r="900" spans="1:37" ht="12.75" customHeight="1">
      <c r="A900" s="1"/>
      <c r="B900" s="1"/>
      <c r="C900" s="1"/>
      <c r="D900" s="1"/>
      <c r="E900" s="1"/>
      <c r="F900" s="2"/>
      <c r="G900" s="2"/>
      <c r="H900" s="2"/>
      <c r="I900" s="2"/>
      <c r="J900" s="2"/>
      <c r="K900" s="2"/>
      <c r="L900" s="2"/>
      <c r="M900" s="2"/>
      <c r="N900" s="3"/>
      <c r="O900" s="3"/>
      <c r="P900" s="3"/>
      <c r="Q900" s="1"/>
      <c r="R900" s="1"/>
      <c r="S900" s="1"/>
      <c r="T900" s="1"/>
      <c r="U900" s="1"/>
      <c r="V900" s="1"/>
      <c r="W900" s="1"/>
      <c r="X900" s="1"/>
      <c r="Y900" s="1"/>
      <c r="Z900" s="1"/>
      <c r="AA900" s="1"/>
      <c r="AB900" s="1"/>
      <c r="AC900" s="1"/>
      <c r="AD900" s="1"/>
      <c r="AE900" s="1"/>
      <c r="AF900" s="1"/>
      <c r="AG900" s="1"/>
      <c r="AH900" s="1"/>
      <c r="AI900" s="1"/>
      <c r="AJ900" s="1"/>
      <c r="AK900" s="1"/>
    </row>
    <row r="901" spans="1:37" ht="12.75" customHeight="1">
      <c r="A901" s="1"/>
      <c r="B901" s="1"/>
      <c r="C901" s="1"/>
      <c r="D901" s="1"/>
      <c r="E901" s="1"/>
      <c r="F901" s="2"/>
      <c r="G901" s="2"/>
      <c r="H901" s="2"/>
      <c r="I901" s="2"/>
      <c r="J901" s="2"/>
      <c r="K901" s="2"/>
      <c r="L901" s="2"/>
      <c r="M901" s="2"/>
      <c r="N901" s="3"/>
      <c r="O901" s="3"/>
      <c r="P901" s="3"/>
      <c r="Q901" s="1"/>
      <c r="R901" s="1"/>
      <c r="S901" s="1"/>
      <c r="T901" s="1"/>
      <c r="U901" s="1"/>
      <c r="V901" s="1"/>
      <c r="W901" s="1"/>
      <c r="X901" s="1"/>
      <c r="Y901" s="1"/>
      <c r="Z901" s="1"/>
      <c r="AA901" s="1"/>
      <c r="AB901" s="1"/>
      <c r="AC901" s="1"/>
      <c r="AD901" s="1"/>
      <c r="AE901" s="1"/>
      <c r="AF901" s="1"/>
      <c r="AG901" s="1"/>
      <c r="AH901" s="1"/>
      <c r="AI901" s="1"/>
      <c r="AJ901" s="1"/>
      <c r="AK901" s="1"/>
    </row>
    <row r="902" spans="1:37" ht="12.75" customHeight="1">
      <c r="A902" s="1"/>
      <c r="B902" s="1"/>
      <c r="C902" s="1"/>
      <c r="D902" s="1"/>
      <c r="E902" s="1"/>
      <c r="F902" s="2"/>
      <c r="G902" s="2"/>
      <c r="H902" s="2"/>
      <c r="I902" s="2"/>
      <c r="J902" s="2"/>
      <c r="K902" s="2"/>
      <c r="L902" s="2"/>
      <c r="M902" s="2"/>
      <c r="N902" s="3"/>
      <c r="O902" s="3"/>
      <c r="P902" s="3"/>
      <c r="Q902" s="1"/>
      <c r="R902" s="1"/>
      <c r="S902" s="1"/>
      <c r="T902" s="1"/>
      <c r="U902" s="1"/>
      <c r="V902" s="1"/>
      <c r="W902" s="1"/>
      <c r="X902" s="1"/>
      <c r="Y902" s="1"/>
      <c r="Z902" s="1"/>
      <c r="AA902" s="1"/>
      <c r="AB902" s="1"/>
      <c r="AC902" s="1"/>
      <c r="AD902" s="1"/>
      <c r="AE902" s="1"/>
      <c r="AF902" s="1"/>
      <c r="AG902" s="1"/>
      <c r="AH902" s="1"/>
      <c r="AI902" s="1"/>
      <c r="AJ902" s="1"/>
      <c r="AK902" s="1"/>
    </row>
    <row r="903" spans="1:37" ht="12.75" customHeight="1">
      <c r="A903" s="1"/>
      <c r="B903" s="1"/>
      <c r="C903" s="1"/>
      <c r="D903" s="1"/>
      <c r="E903" s="1"/>
      <c r="F903" s="2"/>
      <c r="G903" s="2"/>
      <c r="H903" s="2"/>
      <c r="I903" s="2"/>
      <c r="J903" s="2"/>
      <c r="K903" s="2"/>
      <c r="L903" s="2"/>
      <c r="M903" s="2"/>
      <c r="N903" s="3"/>
      <c r="O903" s="3"/>
      <c r="P903" s="3"/>
      <c r="Q903" s="1"/>
      <c r="R903" s="1"/>
      <c r="S903" s="1"/>
      <c r="T903" s="1"/>
      <c r="U903" s="1"/>
      <c r="V903" s="1"/>
      <c r="W903" s="1"/>
      <c r="X903" s="1"/>
      <c r="Y903" s="1"/>
      <c r="Z903" s="1"/>
      <c r="AA903" s="1"/>
      <c r="AB903" s="1"/>
      <c r="AC903" s="1"/>
      <c r="AD903" s="1"/>
      <c r="AE903" s="1"/>
      <c r="AF903" s="1"/>
      <c r="AG903" s="1"/>
      <c r="AH903" s="1"/>
      <c r="AI903" s="1"/>
      <c r="AJ903" s="1"/>
      <c r="AK903" s="1"/>
    </row>
    <row r="904" spans="1:37" ht="12.75" customHeight="1">
      <c r="A904" s="1"/>
      <c r="B904" s="1"/>
      <c r="C904" s="1"/>
      <c r="D904" s="1"/>
      <c r="E904" s="1"/>
      <c r="F904" s="2"/>
      <c r="G904" s="2"/>
      <c r="H904" s="2"/>
      <c r="I904" s="2"/>
      <c r="J904" s="2"/>
      <c r="K904" s="2"/>
      <c r="L904" s="2"/>
      <c r="M904" s="2"/>
      <c r="N904" s="3"/>
      <c r="O904" s="3"/>
      <c r="P904" s="3"/>
      <c r="Q904" s="1"/>
      <c r="R904" s="1"/>
      <c r="S904" s="1"/>
      <c r="T904" s="1"/>
      <c r="U904" s="1"/>
      <c r="V904" s="1"/>
      <c r="W904" s="1"/>
      <c r="X904" s="1"/>
      <c r="Y904" s="1"/>
      <c r="Z904" s="1"/>
      <c r="AA904" s="1"/>
      <c r="AB904" s="1"/>
      <c r="AC904" s="1"/>
      <c r="AD904" s="1"/>
      <c r="AE904" s="1"/>
      <c r="AF904" s="1"/>
      <c r="AG904" s="1"/>
      <c r="AH904" s="1"/>
      <c r="AI904" s="1"/>
      <c r="AJ904" s="1"/>
      <c r="AK904" s="1"/>
    </row>
    <row r="905" spans="1:37" ht="12.75" customHeight="1">
      <c r="A905" s="1"/>
      <c r="B905" s="1"/>
      <c r="C905" s="1"/>
      <c r="D905" s="1"/>
      <c r="E905" s="1"/>
      <c r="F905" s="2"/>
      <c r="G905" s="2"/>
      <c r="H905" s="2"/>
      <c r="I905" s="2"/>
      <c r="J905" s="2"/>
      <c r="K905" s="2"/>
      <c r="L905" s="2"/>
      <c r="M905" s="2"/>
      <c r="N905" s="3"/>
      <c r="O905" s="3"/>
      <c r="P905" s="3"/>
      <c r="Q905" s="1"/>
      <c r="R905" s="1"/>
      <c r="S905" s="1"/>
      <c r="T905" s="1"/>
      <c r="U905" s="1"/>
      <c r="V905" s="1"/>
      <c r="W905" s="1"/>
      <c r="X905" s="1"/>
      <c r="Y905" s="1"/>
      <c r="Z905" s="1"/>
      <c r="AA905" s="1"/>
      <c r="AB905" s="1"/>
      <c r="AC905" s="1"/>
      <c r="AD905" s="1"/>
      <c r="AE905" s="1"/>
      <c r="AF905" s="1"/>
      <c r="AG905" s="1"/>
      <c r="AH905" s="1"/>
      <c r="AI905" s="1"/>
      <c r="AJ905" s="1"/>
      <c r="AK905" s="1"/>
    </row>
    <row r="906" spans="1:37" ht="12.75" customHeight="1">
      <c r="A906" s="1"/>
      <c r="B906" s="1"/>
      <c r="C906" s="1"/>
      <c r="D906" s="1"/>
      <c r="E906" s="1"/>
      <c r="F906" s="2"/>
      <c r="G906" s="2"/>
      <c r="H906" s="2"/>
      <c r="I906" s="2"/>
      <c r="J906" s="2"/>
      <c r="K906" s="2"/>
      <c r="L906" s="2"/>
      <c r="M906" s="2"/>
      <c r="N906" s="3"/>
      <c r="O906" s="3"/>
      <c r="P906" s="3"/>
      <c r="Q906" s="1"/>
      <c r="R906" s="1"/>
      <c r="S906" s="1"/>
      <c r="T906" s="1"/>
      <c r="U906" s="1"/>
      <c r="V906" s="1"/>
      <c r="W906" s="1"/>
      <c r="X906" s="1"/>
      <c r="Y906" s="1"/>
      <c r="Z906" s="1"/>
      <c r="AA906" s="1"/>
      <c r="AB906" s="1"/>
      <c r="AC906" s="1"/>
      <c r="AD906" s="1"/>
      <c r="AE906" s="1"/>
      <c r="AF906" s="1"/>
      <c r="AG906" s="1"/>
      <c r="AH906" s="1"/>
      <c r="AI906" s="1"/>
      <c r="AJ906" s="1"/>
      <c r="AK906" s="1"/>
    </row>
    <row r="907" spans="1:37" ht="12.75" customHeight="1">
      <c r="A907" s="1"/>
      <c r="B907" s="1"/>
      <c r="C907" s="1"/>
      <c r="D907" s="1"/>
      <c r="E907" s="1"/>
      <c r="F907" s="2"/>
      <c r="G907" s="2"/>
      <c r="H907" s="2"/>
      <c r="I907" s="2"/>
      <c r="J907" s="2"/>
      <c r="K907" s="2"/>
      <c r="L907" s="2"/>
      <c r="M907" s="2"/>
      <c r="N907" s="3"/>
      <c r="O907" s="3"/>
      <c r="P907" s="3"/>
      <c r="Q907" s="1"/>
      <c r="R907" s="1"/>
      <c r="S907" s="1"/>
      <c r="T907" s="1"/>
      <c r="U907" s="1"/>
      <c r="V907" s="1"/>
      <c r="W907" s="1"/>
      <c r="X907" s="1"/>
      <c r="Y907" s="1"/>
      <c r="Z907" s="1"/>
      <c r="AA907" s="1"/>
      <c r="AB907" s="1"/>
      <c r="AC907" s="1"/>
      <c r="AD907" s="1"/>
      <c r="AE907" s="1"/>
      <c r="AF907" s="1"/>
      <c r="AG907" s="1"/>
      <c r="AH907" s="1"/>
      <c r="AI907" s="1"/>
      <c r="AJ907" s="1"/>
      <c r="AK907" s="1"/>
    </row>
    <row r="908" spans="1:37" ht="12.75" customHeight="1">
      <c r="A908" s="1"/>
      <c r="B908" s="1"/>
      <c r="C908" s="1"/>
      <c r="D908" s="1"/>
      <c r="E908" s="1"/>
      <c r="F908" s="2"/>
      <c r="G908" s="2"/>
      <c r="H908" s="2"/>
      <c r="I908" s="2"/>
      <c r="J908" s="2"/>
      <c r="K908" s="2"/>
      <c r="L908" s="2"/>
      <c r="M908" s="2"/>
      <c r="N908" s="3"/>
      <c r="O908" s="3"/>
      <c r="P908" s="3"/>
      <c r="Q908" s="1"/>
      <c r="R908" s="1"/>
      <c r="S908" s="1"/>
      <c r="T908" s="1"/>
      <c r="U908" s="1"/>
      <c r="V908" s="1"/>
      <c r="W908" s="1"/>
      <c r="X908" s="1"/>
      <c r="Y908" s="1"/>
      <c r="Z908" s="1"/>
      <c r="AA908" s="1"/>
      <c r="AB908" s="1"/>
      <c r="AC908" s="1"/>
      <c r="AD908" s="1"/>
      <c r="AE908" s="1"/>
      <c r="AF908" s="1"/>
      <c r="AG908" s="1"/>
      <c r="AH908" s="1"/>
      <c r="AI908" s="1"/>
      <c r="AJ908" s="1"/>
      <c r="AK908" s="1"/>
    </row>
    <row r="909" spans="1:37" ht="12.75" customHeight="1">
      <c r="A909" s="1"/>
      <c r="B909" s="1"/>
      <c r="C909" s="1"/>
      <c r="D909" s="1"/>
      <c r="E909" s="1"/>
      <c r="F909" s="2"/>
      <c r="G909" s="2"/>
      <c r="H909" s="2"/>
      <c r="I909" s="2"/>
      <c r="J909" s="2"/>
      <c r="K909" s="2"/>
      <c r="L909" s="2"/>
      <c r="M909" s="2"/>
      <c r="N909" s="3"/>
      <c r="O909" s="3"/>
      <c r="P909" s="3"/>
      <c r="Q909" s="1"/>
      <c r="R909" s="1"/>
      <c r="S909" s="1"/>
      <c r="T909" s="1"/>
      <c r="U909" s="1"/>
      <c r="V909" s="1"/>
      <c r="W909" s="1"/>
      <c r="X909" s="1"/>
      <c r="Y909" s="1"/>
      <c r="Z909" s="1"/>
      <c r="AA909" s="1"/>
      <c r="AB909" s="1"/>
      <c r="AC909" s="1"/>
      <c r="AD909" s="1"/>
      <c r="AE909" s="1"/>
      <c r="AF909" s="1"/>
      <c r="AG909" s="1"/>
      <c r="AH909" s="1"/>
      <c r="AI909" s="1"/>
      <c r="AJ909" s="1"/>
      <c r="AK909" s="1"/>
    </row>
    <row r="910" spans="1:37" ht="12.75" customHeight="1">
      <c r="A910" s="1"/>
      <c r="B910" s="1"/>
      <c r="C910" s="1"/>
      <c r="D910" s="1"/>
      <c r="E910" s="1"/>
      <c r="F910" s="2"/>
      <c r="G910" s="2"/>
      <c r="H910" s="2"/>
      <c r="I910" s="2"/>
      <c r="J910" s="2"/>
      <c r="K910" s="2"/>
      <c r="L910" s="2"/>
      <c r="M910" s="2"/>
      <c r="N910" s="3"/>
      <c r="O910" s="3"/>
      <c r="P910" s="3"/>
      <c r="Q910" s="1"/>
      <c r="R910" s="1"/>
      <c r="S910" s="1"/>
      <c r="T910" s="1"/>
      <c r="U910" s="1"/>
      <c r="V910" s="1"/>
      <c r="W910" s="1"/>
      <c r="X910" s="1"/>
      <c r="Y910" s="1"/>
      <c r="Z910" s="1"/>
      <c r="AA910" s="1"/>
      <c r="AB910" s="1"/>
      <c r="AC910" s="1"/>
      <c r="AD910" s="1"/>
      <c r="AE910" s="1"/>
      <c r="AF910" s="1"/>
      <c r="AG910" s="1"/>
      <c r="AH910" s="1"/>
      <c r="AI910" s="1"/>
      <c r="AJ910" s="1"/>
      <c r="AK910" s="1"/>
    </row>
    <row r="911" spans="1:37" ht="12.75" customHeight="1">
      <c r="A911" s="1"/>
      <c r="B911" s="1"/>
      <c r="C911" s="1"/>
      <c r="D911" s="1"/>
      <c r="E911" s="1"/>
      <c r="F911" s="2"/>
      <c r="G911" s="2"/>
      <c r="H911" s="2"/>
      <c r="I911" s="2"/>
      <c r="J911" s="2"/>
      <c r="K911" s="2"/>
      <c r="L911" s="2"/>
      <c r="M911" s="2"/>
      <c r="N911" s="3"/>
      <c r="O911" s="3"/>
      <c r="P911" s="3"/>
      <c r="Q911" s="1"/>
      <c r="R911" s="1"/>
      <c r="S911" s="1"/>
      <c r="T911" s="1"/>
      <c r="U911" s="1"/>
      <c r="V911" s="1"/>
      <c r="W911" s="1"/>
      <c r="X911" s="1"/>
      <c r="Y911" s="1"/>
      <c r="Z911" s="1"/>
      <c r="AA911" s="1"/>
      <c r="AB911" s="1"/>
      <c r="AC911" s="1"/>
      <c r="AD911" s="1"/>
      <c r="AE911" s="1"/>
      <c r="AF911" s="1"/>
      <c r="AG911" s="1"/>
      <c r="AH911" s="1"/>
      <c r="AI911" s="1"/>
      <c r="AJ911" s="1"/>
      <c r="AK911" s="1"/>
    </row>
    <row r="912" spans="1:37" ht="12.75" customHeight="1">
      <c r="A912" s="1"/>
      <c r="B912" s="1"/>
      <c r="C912" s="1"/>
      <c r="D912" s="1"/>
      <c r="E912" s="1"/>
      <c r="F912" s="2"/>
      <c r="G912" s="2"/>
      <c r="H912" s="2"/>
      <c r="I912" s="2"/>
      <c r="J912" s="2"/>
      <c r="K912" s="2"/>
      <c r="L912" s="2"/>
      <c r="M912" s="2"/>
      <c r="N912" s="3"/>
      <c r="O912" s="3"/>
      <c r="P912" s="3"/>
      <c r="Q912" s="1"/>
      <c r="R912" s="1"/>
      <c r="S912" s="1"/>
      <c r="T912" s="1"/>
      <c r="U912" s="1"/>
      <c r="V912" s="1"/>
      <c r="W912" s="1"/>
      <c r="X912" s="1"/>
      <c r="Y912" s="1"/>
      <c r="Z912" s="1"/>
      <c r="AA912" s="1"/>
      <c r="AB912" s="1"/>
      <c r="AC912" s="1"/>
      <c r="AD912" s="1"/>
      <c r="AE912" s="1"/>
      <c r="AF912" s="1"/>
      <c r="AG912" s="1"/>
      <c r="AH912" s="1"/>
      <c r="AI912" s="1"/>
      <c r="AJ912" s="1"/>
      <c r="AK912" s="1"/>
    </row>
    <row r="913" spans="1:37" ht="12.75" customHeight="1">
      <c r="A913" s="1"/>
      <c r="B913" s="1"/>
      <c r="C913" s="1"/>
      <c r="D913" s="1"/>
      <c r="E913" s="1"/>
      <c r="F913" s="2"/>
      <c r="G913" s="2"/>
      <c r="H913" s="2"/>
      <c r="I913" s="2"/>
      <c r="J913" s="2"/>
      <c r="K913" s="2"/>
      <c r="L913" s="2"/>
      <c r="M913" s="2"/>
      <c r="N913" s="3"/>
      <c r="O913" s="3"/>
      <c r="P913" s="3"/>
      <c r="Q913" s="1"/>
      <c r="R913" s="1"/>
      <c r="S913" s="1"/>
      <c r="T913" s="1"/>
      <c r="U913" s="1"/>
      <c r="V913" s="1"/>
      <c r="W913" s="1"/>
      <c r="X913" s="1"/>
      <c r="Y913" s="1"/>
      <c r="Z913" s="1"/>
      <c r="AA913" s="1"/>
      <c r="AB913" s="1"/>
      <c r="AC913" s="1"/>
      <c r="AD913" s="1"/>
      <c r="AE913" s="1"/>
      <c r="AF913" s="1"/>
      <c r="AG913" s="1"/>
      <c r="AH913" s="1"/>
      <c r="AI913" s="1"/>
      <c r="AJ913" s="1"/>
      <c r="AK913" s="1"/>
    </row>
    <row r="914" spans="1:37" ht="12.75" customHeight="1">
      <c r="A914" s="1"/>
      <c r="B914" s="1"/>
      <c r="C914" s="1"/>
      <c r="D914" s="1"/>
      <c r="E914" s="1"/>
      <c r="F914" s="2"/>
      <c r="G914" s="2"/>
      <c r="H914" s="2"/>
      <c r="I914" s="2"/>
      <c r="J914" s="2"/>
      <c r="K914" s="2"/>
      <c r="L914" s="2"/>
      <c r="M914" s="2"/>
      <c r="N914" s="3"/>
      <c r="O914" s="3"/>
      <c r="P914" s="3"/>
      <c r="Q914" s="1"/>
      <c r="R914" s="1"/>
      <c r="S914" s="1"/>
      <c r="T914" s="1"/>
      <c r="U914" s="1"/>
      <c r="V914" s="1"/>
      <c r="W914" s="1"/>
      <c r="X914" s="1"/>
      <c r="Y914" s="1"/>
      <c r="Z914" s="1"/>
      <c r="AA914" s="1"/>
      <c r="AB914" s="1"/>
      <c r="AC914" s="1"/>
      <c r="AD914" s="1"/>
      <c r="AE914" s="1"/>
      <c r="AF914" s="1"/>
      <c r="AG914" s="1"/>
      <c r="AH914" s="1"/>
      <c r="AI914" s="1"/>
      <c r="AJ914" s="1"/>
      <c r="AK914" s="1"/>
    </row>
    <row r="915" spans="1:37" ht="12.75" customHeight="1">
      <c r="A915" s="1"/>
      <c r="B915" s="1"/>
      <c r="C915" s="1"/>
      <c r="D915" s="1"/>
      <c r="E915" s="1"/>
      <c r="F915" s="2"/>
      <c r="G915" s="2"/>
      <c r="H915" s="2"/>
      <c r="I915" s="2"/>
      <c r="J915" s="2"/>
      <c r="K915" s="2"/>
      <c r="L915" s="2"/>
      <c r="M915" s="2"/>
      <c r="N915" s="3"/>
      <c r="O915" s="3"/>
      <c r="P915" s="3"/>
      <c r="Q915" s="1"/>
      <c r="R915" s="1"/>
      <c r="S915" s="1"/>
      <c r="T915" s="1"/>
      <c r="U915" s="1"/>
      <c r="V915" s="1"/>
      <c r="W915" s="1"/>
      <c r="X915" s="1"/>
      <c r="Y915" s="1"/>
      <c r="Z915" s="1"/>
      <c r="AA915" s="1"/>
      <c r="AB915" s="1"/>
      <c r="AC915" s="1"/>
      <c r="AD915" s="1"/>
      <c r="AE915" s="1"/>
      <c r="AF915" s="1"/>
      <c r="AG915" s="1"/>
      <c r="AH915" s="1"/>
      <c r="AI915" s="1"/>
      <c r="AJ915" s="1"/>
      <c r="AK915" s="1"/>
    </row>
    <row r="916" spans="1:37" ht="12.75" customHeight="1">
      <c r="A916" s="1"/>
      <c r="B916" s="1"/>
      <c r="C916" s="1"/>
      <c r="D916" s="1"/>
      <c r="E916" s="1"/>
      <c r="F916" s="2"/>
      <c r="G916" s="2"/>
      <c r="H916" s="2"/>
      <c r="I916" s="2"/>
      <c r="J916" s="2"/>
      <c r="K916" s="2"/>
      <c r="L916" s="2"/>
      <c r="M916" s="2"/>
      <c r="N916" s="3"/>
      <c r="O916" s="3"/>
      <c r="P916" s="3"/>
      <c r="Q916" s="1"/>
      <c r="R916" s="1"/>
      <c r="S916" s="1"/>
      <c r="T916" s="1"/>
      <c r="U916" s="1"/>
      <c r="V916" s="1"/>
      <c r="W916" s="1"/>
      <c r="X916" s="1"/>
      <c r="Y916" s="1"/>
      <c r="Z916" s="1"/>
      <c r="AA916" s="1"/>
      <c r="AB916" s="1"/>
      <c r="AC916" s="1"/>
      <c r="AD916" s="1"/>
      <c r="AE916" s="1"/>
      <c r="AF916" s="1"/>
      <c r="AG916" s="1"/>
      <c r="AH916" s="1"/>
      <c r="AI916" s="1"/>
      <c r="AJ916" s="1"/>
      <c r="AK916" s="1"/>
    </row>
    <row r="917" spans="1:37" ht="12.75" customHeight="1">
      <c r="A917" s="1"/>
      <c r="B917" s="1"/>
      <c r="C917" s="1"/>
      <c r="D917" s="1"/>
      <c r="E917" s="1"/>
      <c r="F917" s="2"/>
      <c r="G917" s="2"/>
      <c r="H917" s="2"/>
      <c r="I917" s="2"/>
      <c r="J917" s="2"/>
      <c r="K917" s="2"/>
      <c r="L917" s="2"/>
      <c r="M917" s="2"/>
      <c r="N917" s="3"/>
      <c r="O917" s="3"/>
      <c r="P917" s="3"/>
      <c r="Q917" s="1"/>
      <c r="R917" s="1"/>
      <c r="S917" s="1"/>
      <c r="T917" s="1"/>
      <c r="U917" s="1"/>
      <c r="V917" s="1"/>
      <c r="W917" s="1"/>
      <c r="X917" s="1"/>
      <c r="Y917" s="1"/>
      <c r="Z917" s="1"/>
      <c r="AA917" s="1"/>
      <c r="AB917" s="1"/>
      <c r="AC917" s="1"/>
      <c r="AD917" s="1"/>
      <c r="AE917" s="1"/>
      <c r="AF917" s="1"/>
      <c r="AG917" s="1"/>
      <c r="AH917" s="1"/>
      <c r="AI917" s="1"/>
      <c r="AJ917" s="1"/>
      <c r="AK917" s="1"/>
    </row>
    <row r="918" spans="1:37" ht="12.75" customHeight="1">
      <c r="A918" s="1"/>
      <c r="B918" s="1"/>
      <c r="C918" s="1"/>
      <c r="D918" s="1"/>
      <c r="E918" s="1"/>
      <c r="F918" s="2"/>
      <c r="G918" s="2"/>
      <c r="H918" s="2"/>
      <c r="I918" s="2"/>
      <c r="J918" s="2"/>
      <c r="K918" s="2"/>
      <c r="L918" s="2"/>
      <c r="M918" s="2"/>
      <c r="N918" s="3"/>
      <c r="O918" s="3"/>
      <c r="P918" s="3"/>
      <c r="Q918" s="1"/>
      <c r="R918" s="1"/>
      <c r="S918" s="1"/>
      <c r="T918" s="1"/>
      <c r="U918" s="1"/>
      <c r="V918" s="1"/>
      <c r="W918" s="1"/>
      <c r="X918" s="1"/>
      <c r="Y918" s="1"/>
      <c r="Z918" s="1"/>
      <c r="AA918" s="1"/>
      <c r="AB918" s="1"/>
      <c r="AC918" s="1"/>
      <c r="AD918" s="1"/>
      <c r="AE918" s="1"/>
      <c r="AF918" s="1"/>
      <c r="AG918" s="1"/>
      <c r="AH918" s="1"/>
      <c r="AI918" s="1"/>
      <c r="AJ918" s="1"/>
      <c r="AK918" s="1"/>
    </row>
    <row r="919" spans="1:37" ht="12.75" customHeight="1">
      <c r="A919" s="1"/>
      <c r="B919" s="1"/>
      <c r="C919" s="1"/>
      <c r="D919" s="1"/>
      <c r="E919" s="1"/>
      <c r="F919" s="2"/>
      <c r="G919" s="2"/>
      <c r="H919" s="2"/>
      <c r="I919" s="2"/>
      <c r="J919" s="2"/>
      <c r="K919" s="2"/>
      <c r="L919" s="2"/>
      <c r="M919" s="2"/>
      <c r="N919" s="3"/>
      <c r="O919" s="3"/>
      <c r="P919" s="3"/>
      <c r="Q919" s="1"/>
      <c r="R919" s="1"/>
      <c r="S919" s="1"/>
      <c r="T919" s="1"/>
      <c r="U919" s="1"/>
      <c r="V919" s="1"/>
      <c r="W919" s="1"/>
      <c r="X919" s="1"/>
      <c r="Y919" s="1"/>
      <c r="Z919" s="1"/>
      <c r="AA919" s="1"/>
      <c r="AB919" s="1"/>
      <c r="AC919" s="1"/>
      <c r="AD919" s="1"/>
      <c r="AE919" s="1"/>
      <c r="AF919" s="1"/>
      <c r="AG919" s="1"/>
      <c r="AH919" s="1"/>
      <c r="AI919" s="1"/>
      <c r="AJ919" s="1"/>
      <c r="AK919" s="1"/>
    </row>
    <row r="920" spans="1:37" ht="12.75" customHeight="1">
      <c r="A920" s="1"/>
      <c r="B920" s="1"/>
      <c r="C920" s="1"/>
      <c r="D920" s="1"/>
      <c r="E920" s="1"/>
      <c r="F920" s="2"/>
      <c r="G920" s="2"/>
      <c r="H920" s="2"/>
      <c r="I920" s="2"/>
      <c r="J920" s="2"/>
      <c r="K920" s="2"/>
      <c r="L920" s="2"/>
      <c r="M920" s="2"/>
      <c r="N920" s="3"/>
      <c r="O920" s="3"/>
      <c r="P920" s="3"/>
      <c r="Q920" s="1"/>
      <c r="R920" s="1"/>
      <c r="S920" s="1"/>
      <c r="T920" s="1"/>
      <c r="U920" s="1"/>
      <c r="V920" s="1"/>
      <c r="W920" s="1"/>
      <c r="X920" s="1"/>
      <c r="Y920" s="1"/>
      <c r="Z920" s="1"/>
      <c r="AA920" s="1"/>
      <c r="AB920" s="1"/>
      <c r="AC920" s="1"/>
      <c r="AD920" s="1"/>
      <c r="AE920" s="1"/>
      <c r="AF920" s="1"/>
      <c r="AG920" s="1"/>
      <c r="AH920" s="1"/>
      <c r="AI920" s="1"/>
      <c r="AJ920" s="1"/>
      <c r="AK920" s="1"/>
    </row>
    <row r="921" spans="1:37" ht="12.75" customHeight="1">
      <c r="A921" s="1"/>
      <c r="B921" s="1"/>
      <c r="C921" s="1"/>
      <c r="D921" s="1"/>
      <c r="E921" s="1"/>
      <c r="F921" s="2"/>
      <c r="G921" s="2"/>
      <c r="H921" s="2"/>
      <c r="I921" s="2"/>
      <c r="J921" s="2"/>
      <c r="K921" s="2"/>
      <c r="L921" s="2"/>
      <c r="M921" s="2"/>
      <c r="N921" s="3"/>
      <c r="O921" s="3"/>
      <c r="P921" s="3"/>
      <c r="Q921" s="1"/>
      <c r="R921" s="1"/>
      <c r="S921" s="1"/>
      <c r="T921" s="1"/>
      <c r="U921" s="1"/>
      <c r="V921" s="1"/>
      <c r="W921" s="1"/>
      <c r="X921" s="1"/>
      <c r="Y921" s="1"/>
      <c r="Z921" s="1"/>
      <c r="AA921" s="1"/>
      <c r="AB921" s="1"/>
      <c r="AC921" s="1"/>
      <c r="AD921" s="1"/>
      <c r="AE921" s="1"/>
      <c r="AF921" s="1"/>
      <c r="AG921" s="1"/>
      <c r="AH921" s="1"/>
      <c r="AI921" s="1"/>
      <c r="AJ921" s="1"/>
      <c r="AK921" s="1"/>
    </row>
    <row r="922" spans="1:37" ht="12.75" customHeight="1">
      <c r="A922" s="1"/>
      <c r="B922" s="1"/>
      <c r="C922" s="1"/>
      <c r="D922" s="1"/>
      <c r="E922" s="1"/>
      <c r="F922" s="2"/>
      <c r="G922" s="2"/>
      <c r="H922" s="2"/>
      <c r="I922" s="2"/>
      <c r="J922" s="2"/>
      <c r="K922" s="2"/>
      <c r="L922" s="2"/>
      <c r="M922" s="2"/>
      <c r="N922" s="3"/>
      <c r="O922" s="3"/>
      <c r="P922" s="3"/>
      <c r="Q922" s="1"/>
      <c r="R922" s="1"/>
      <c r="S922" s="1"/>
      <c r="T922" s="1"/>
      <c r="U922" s="1"/>
      <c r="V922" s="1"/>
      <c r="W922" s="1"/>
      <c r="X922" s="1"/>
      <c r="Y922" s="1"/>
      <c r="Z922" s="1"/>
      <c r="AA922" s="1"/>
      <c r="AB922" s="1"/>
      <c r="AC922" s="1"/>
      <c r="AD922" s="1"/>
      <c r="AE922" s="1"/>
      <c r="AF922" s="1"/>
      <c r="AG922" s="1"/>
      <c r="AH922" s="1"/>
      <c r="AI922" s="1"/>
      <c r="AJ922" s="1"/>
      <c r="AK922" s="1"/>
    </row>
    <row r="923" spans="1:37" ht="12.75" customHeight="1">
      <c r="A923" s="1"/>
      <c r="B923" s="1"/>
      <c r="C923" s="1"/>
      <c r="D923" s="1"/>
      <c r="E923" s="1"/>
      <c r="F923" s="2"/>
      <c r="G923" s="2"/>
      <c r="H923" s="2"/>
      <c r="I923" s="2"/>
      <c r="J923" s="2"/>
      <c r="K923" s="2"/>
      <c r="L923" s="2"/>
      <c r="M923" s="2"/>
      <c r="N923" s="3"/>
      <c r="O923" s="3"/>
      <c r="P923" s="3"/>
      <c r="Q923" s="1"/>
      <c r="R923" s="1"/>
      <c r="S923" s="1"/>
      <c r="T923" s="1"/>
      <c r="U923" s="1"/>
      <c r="V923" s="1"/>
      <c r="W923" s="1"/>
      <c r="X923" s="1"/>
      <c r="Y923" s="1"/>
      <c r="Z923" s="1"/>
      <c r="AA923" s="1"/>
      <c r="AB923" s="1"/>
      <c r="AC923" s="1"/>
      <c r="AD923" s="1"/>
      <c r="AE923" s="1"/>
      <c r="AF923" s="1"/>
      <c r="AG923" s="1"/>
      <c r="AH923" s="1"/>
      <c r="AI923" s="1"/>
      <c r="AJ923" s="1"/>
      <c r="AK923" s="1"/>
    </row>
    <row r="924" spans="1:37" ht="12.75" customHeight="1">
      <c r="A924" s="1"/>
      <c r="B924" s="1"/>
      <c r="C924" s="1"/>
      <c r="D924" s="1"/>
      <c r="E924" s="1"/>
      <c r="F924" s="2"/>
      <c r="G924" s="2"/>
      <c r="H924" s="2"/>
      <c r="I924" s="2"/>
      <c r="J924" s="2"/>
      <c r="K924" s="2"/>
      <c r="L924" s="2"/>
      <c r="M924" s="2"/>
      <c r="N924" s="3"/>
      <c r="O924" s="3"/>
      <c r="P924" s="3"/>
      <c r="Q924" s="1"/>
      <c r="R924" s="1"/>
      <c r="S924" s="1"/>
      <c r="T924" s="1"/>
      <c r="U924" s="1"/>
      <c r="V924" s="1"/>
      <c r="W924" s="1"/>
      <c r="X924" s="1"/>
      <c r="Y924" s="1"/>
      <c r="Z924" s="1"/>
      <c r="AA924" s="1"/>
      <c r="AB924" s="1"/>
      <c r="AC924" s="1"/>
      <c r="AD924" s="1"/>
      <c r="AE924" s="1"/>
      <c r="AF924" s="1"/>
      <c r="AG924" s="1"/>
      <c r="AH924" s="1"/>
      <c r="AI924" s="1"/>
      <c r="AJ924" s="1"/>
      <c r="AK924" s="1"/>
    </row>
    <row r="925" spans="1:37" ht="12.75" customHeight="1">
      <c r="A925" s="1"/>
      <c r="B925" s="1"/>
      <c r="C925" s="1"/>
      <c r="D925" s="1"/>
      <c r="E925" s="1"/>
      <c r="F925" s="2"/>
      <c r="G925" s="2"/>
      <c r="H925" s="2"/>
      <c r="I925" s="2"/>
      <c r="J925" s="2"/>
      <c r="K925" s="2"/>
      <c r="L925" s="2"/>
      <c r="M925" s="2"/>
      <c r="N925" s="3"/>
      <c r="O925" s="3"/>
      <c r="P925" s="3"/>
      <c r="Q925" s="1"/>
      <c r="R925" s="1"/>
      <c r="S925" s="1"/>
      <c r="T925" s="1"/>
      <c r="U925" s="1"/>
      <c r="V925" s="1"/>
      <c r="W925" s="1"/>
      <c r="X925" s="1"/>
      <c r="Y925" s="1"/>
      <c r="Z925" s="1"/>
      <c r="AA925" s="1"/>
      <c r="AB925" s="1"/>
      <c r="AC925" s="1"/>
      <c r="AD925" s="1"/>
      <c r="AE925" s="1"/>
      <c r="AF925" s="1"/>
      <c r="AG925" s="1"/>
      <c r="AH925" s="1"/>
      <c r="AI925" s="1"/>
      <c r="AJ925" s="1"/>
      <c r="AK925" s="1"/>
    </row>
    <row r="926" spans="1:37" ht="12.75" customHeight="1">
      <c r="A926" s="1"/>
      <c r="B926" s="1"/>
      <c r="C926" s="1"/>
      <c r="D926" s="1"/>
      <c r="E926" s="1"/>
      <c r="F926" s="2"/>
      <c r="G926" s="2"/>
      <c r="H926" s="2"/>
      <c r="I926" s="2"/>
      <c r="J926" s="2"/>
      <c r="K926" s="2"/>
      <c r="L926" s="2"/>
      <c r="M926" s="2"/>
      <c r="N926" s="3"/>
      <c r="O926" s="3"/>
      <c r="P926" s="3"/>
      <c r="Q926" s="1"/>
      <c r="R926" s="1"/>
      <c r="S926" s="1"/>
      <c r="T926" s="1"/>
      <c r="U926" s="1"/>
      <c r="V926" s="1"/>
      <c r="W926" s="1"/>
      <c r="X926" s="1"/>
      <c r="Y926" s="1"/>
      <c r="Z926" s="1"/>
      <c r="AA926" s="1"/>
      <c r="AB926" s="1"/>
      <c r="AC926" s="1"/>
      <c r="AD926" s="1"/>
      <c r="AE926" s="1"/>
      <c r="AF926" s="1"/>
      <c r="AG926" s="1"/>
      <c r="AH926" s="1"/>
      <c r="AI926" s="1"/>
      <c r="AJ926" s="1"/>
      <c r="AK926" s="1"/>
    </row>
    <row r="927" spans="1:37" ht="12.75" customHeight="1">
      <c r="A927" s="1"/>
      <c r="B927" s="1"/>
      <c r="C927" s="1"/>
      <c r="D927" s="1"/>
      <c r="E927" s="1"/>
      <c r="F927" s="2"/>
      <c r="G927" s="2"/>
      <c r="H927" s="2"/>
      <c r="I927" s="2"/>
      <c r="J927" s="2"/>
      <c r="K927" s="2"/>
      <c r="L927" s="2"/>
      <c r="M927" s="2"/>
      <c r="N927" s="3"/>
      <c r="O927" s="3"/>
      <c r="P927" s="3"/>
      <c r="Q927" s="1"/>
      <c r="R927" s="1"/>
      <c r="S927" s="1"/>
      <c r="T927" s="1"/>
      <c r="U927" s="1"/>
      <c r="V927" s="1"/>
      <c r="W927" s="1"/>
      <c r="X927" s="1"/>
      <c r="Y927" s="1"/>
      <c r="Z927" s="1"/>
      <c r="AA927" s="1"/>
      <c r="AB927" s="1"/>
      <c r="AC927" s="1"/>
      <c r="AD927" s="1"/>
      <c r="AE927" s="1"/>
      <c r="AF927" s="1"/>
      <c r="AG927" s="1"/>
      <c r="AH927" s="1"/>
      <c r="AI927" s="1"/>
      <c r="AJ927" s="1"/>
      <c r="AK927" s="1"/>
    </row>
    <row r="928" spans="1:37" ht="12.75" customHeight="1">
      <c r="A928" s="1"/>
      <c r="B928" s="1"/>
      <c r="C928" s="1"/>
      <c r="D928" s="1"/>
      <c r="E928" s="1"/>
      <c r="F928" s="2"/>
      <c r="G928" s="2"/>
      <c r="H928" s="2"/>
      <c r="I928" s="2"/>
      <c r="J928" s="2"/>
      <c r="K928" s="2"/>
      <c r="L928" s="2"/>
      <c r="M928" s="2"/>
      <c r="N928" s="3"/>
      <c r="O928" s="3"/>
      <c r="P928" s="3"/>
      <c r="Q928" s="1"/>
      <c r="R928" s="1"/>
      <c r="S928" s="1"/>
      <c r="T928" s="1"/>
      <c r="U928" s="1"/>
      <c r="V928" s="1"/>
      <c r="W928" s="1"/>
      <c r="X928" s="1"/>
      <c r="Y928" s="1"/>
      <c r="Z928" s="1"/>
      <c r="AA928" s="1"/>
      <c r="AB928" s="1"/>
      <c r="AC928" s="1"/>
      <c r="AD928" s="1"/>
      <c r="AE928" s="1"/>
      <c r="AF928" s="1"/>
      <c r="AG928" s="1"/>
      <c r="AH928" s="1"/>
      <c r="AI928" s="1"/>
      <c r="AJ928" s="1"/>
      <c r="AK928" s="1"/>
    </row>
    <row r="929" spans="1:37" ht="12.75" customHeight="1">
      <c r="A929" s="1"/>
      <c r="B929" s="1"/>
      <c r="C929" s="1"/>
      <c r="D929" s="1"/>
      <c r="E929" s="1"/>
      <c r="F929" s="2"/>
      <c r="G929" s="2"/>
      <c r="H929" s="2"/>
      <c r="I929" s="2"/>
      <c r="J929" s="2"/>
      <c r="K929" s="2"/>
      <c r="L929" s="2"/>
      <c r="M929" s="2"/>
      <c r="N929" s="3"/>
      <c r="O929" s="3"/>
      <c r="P929" s="3"/>
      <c r="Q929" s="1"/>
      <c r="R929" s="1"/>
      <c r="S929" s="1"/>
      <c r="T929" s="1"/>
      <c r="U929" s="1"/>
      <c r="V929" s="1"/>
      <c r="W929" s="1"/>
      <c r="X929" s="1"/>
      <c r="Y929" s="1"/>
      <c r="Z929" s="1"/>
      <c r="AA929" s="1"/>
      <c r="AB929" s="1"/>
      <c r="AC929" s="1"/>
      <c r="AD929" s="1"/>
      <c r="AE929" s="1"/>
      <c r="AF929" s="1"/>
      <c r="AG929" s="1"/>
      <c r="AH929" s="1"/>
      <c r="AI929" s="1"/>
      <c r="AJ929" s="1"/>
      <c r="AK929" s="1"/>
    </row>
    <row r="930" spans="1:37" ht="12.75" customHeight="1">
      <c r="A930" s="1"/>
      <c r="B930" s="1"/>
      <c r="C930" s="1"/>
      <c r="D930" s="1"/>
      <c r="E930" s="1"/>
      <c r="F930" s="2"/>
      <c r="G930" s="2"/>
      <c r="H930" s="2"/>
      <c r="I930" s="2"/>
      <c r="J930" s="2"/>
      <c r="K930" s="2"/>
      <c r="L930" s="2"/>
      <c r="M930" s="2"/>
      <c r="N930" s="3"/>
      <c r="O930" s="3"/>
      <c r="P930" s="3"/>
      <c r="Q930" s="1"/>
      <c r="R930" s="1"/>
      <c r="S930" s="1"/>
      <c r="T930" s="1"/>
      <c r="U930" s="1"/>
      <c r="V930" s="1"/>
      <c r="W930" s="1"/>
      <c r="X930" s="1"/>
      <c r="Y930" s="1"/>
      <c r="Z930" s="1"/>
      <c r="AA930" s="1"/>
      <c r="AB930" s="1"/>
      <c r="AC930" s="1"/>
      <c r="AD930" s="1"/>
      <c r="AE930" s="1"/>
      <c r="AF930" s="1"/>
      <c r="AG930" s="1"/>
      <c r="AH930" s="1"/>
      <c r="AI930" s="1"/>
      <c r="AJ930" s="1"/>
      <c r="AK930" s="1"/>
    </row>
    <row r="931" spans="1:37" ht="12.75" customHeight="1">
      <c r="A931" s="1"/>
      <c r="B931" s="1"/>
      <c r="C931" s="1"/>
      <c r="D931" s="1"/>
      <c r="E931" s="1"/>
      <c r="F931" s="2"/>
      <c r="G931" s="2"/>
      <c r="H931" s="2"/>
      <c r="I931" s="2"/>
      <c r="J931" s="2"/>
      <c r="K931" s="2"/>
      <c r="L931" s="2"/>
      <c r="M931" s="2"/>
      <c r="N931" s="3"/>
      <c r="O931" s="3"/>
      <c r="P931" s="3"/>
      <c r="Q931" s="1"/>
      <c r="R931" s="1"/>
      <c r="S931" s="1"/>
      <c r="T931" s="1"/>
      <c r="U931" s="1"/>
      <c r="V931" s="1"/>
      <c r="W931" s="1"/>
      <c r="X931" s="1"/>
      <c r="Y931" s="1"/>
      <c r="Z931" s="1"/>
      <c r="AA931" s="1"/>
      <c r="AB931" s="1"/>
      <c r="AC931" s="1"/>
      <c r="AD931" s="1"/>
      <c r="AE931" s="1"/>
      <c r="AF931" s="1"/>
      <c r="AG931" s="1"/>
      <c r="AH931" s="1"/>
      <c r="AI931" s="1"/>
      <c r="AJ931" s="1"/>
      <c r="AK931" s="1"/>
    </row>
    <row r="932" spans="1:37" ht="12.75" customHeight="1">
      <c r="A932" s="1"/>
      <c r="B932" s="1"/>
      <c r="C932" s="1"/>
      <c r="D932" s="1"/>
      <c r="E932" s="1"/>
      <c r="F932" s="2"/>
      <c r="G932" s="2"/>
      <c r="H932" s="2"/>
      <c r="I932" s="2"/>
      <c r="J932" s="2"/>
      <c r="K932" s="2"/>
      <c r="L932" s="2"/>
      <c r="M932" s="2"/>
      <c r="N932" s="3"/>
      <c r="O932" s="3"/>
      <c r="P932" s="3"/>
      <c r="Q932" s="1"/>
      <c r="R932" s="1"/>
      <c r="S932" s="1"/>
      <c r="T932" s="1"/>
      <c r="U932" s="1"/>
      <c r="V932" s="1"/>
      <c r="W932" s="1"/>
      <c r="X932" s="1"/>
      <c r="Y932" s="1"/>
      <c r="Z932" s="1"/>
      <c r="AA932" s="1"/>
      <c r="AB932" s="1"/>
      <c r="AC932" s="1"/>
      <c r="AD932" s="1"/>
      <c r="AE932" s="1"/>
      <c r="AF932" s="1"/>
      <c r="AG932" s="1"/>
      <c r="AH932" s="1"/>
      <c r="AI932" s="1"/>
      <c r="AJ932" s="1"/>
      <c r="AK932" s="1"/>
    </row>
    <row r="933" spans="1:37" ht="12.75" customHeight="1">
      <c r="A933" s="1"/>
      <c r="B933" s="1"/>
      <c r="C933" s="1"/>
      <c r="D933" s="1"/>
      <c r="E933" s="1"/>
      <c r="F933" s="2"/>
      <c r="G933" s="2"/>
      <c r="H933" s="2"/>
      <c r="I933" s="2"/>
      <c r="J933" s="2"/>
      <c r="K933" s="2"/>
      <c r="L933" s="2"/>
      <c r="M933" s="2"/>
      <c r="N933" s="3"/>
      <c r="O933" s="3"/>
      <c r="P933" s="3"/>
      <c r="Q933" s="1"/>
      <c r="R933" s="1"/>
      <c r="S933" s="1"/>
      <c r="T933" s="1"/>
      <c r="U933" s="1"/>
      <c r="V933" s="1"/>
      <c r="W933" s="1"/>
      <c r="X933" s="1"/>
      <c r="Y933" s="1"/>
      <c r="Z933" s="1"/>
      <c r="AA933" s="1"/>
      <c r="AB933" s="1"/>
      <c r="AC933" s="1"/>
      <c r="AD933" s="1"/>
      <c r="AE933" s="1"/>
      <c r="AF933" s="1"/>
      <c r="AG933" s="1"/>
      <c r="AH933" s="1"/>
      <c r="AI933" s="1"/>
      <c r="AJ933" s="1"/>
      <c r="AK933" s="1"/>
    </row>
    <row r="934" spans="1:37" ht="12.75" customHeight="1">
      <c r="A934" s="1"/>
      <c r="B934" s="1"/>
      <c r="C934" s="1"/>
      <c r="D934" s="1"/>
      <c r="E934" s="1"/>
      <c r="F934" s="2"/>
      <c r="G934" s="2"/>
      <c r="H934" s="2"/>
      <c r="I934" s="2"/>
      <c r="J934" s="2"/>
      <c r="K934" s="2"/>
      <c r="L934" s="2"/>
      <c r="M934" s="2"/>
      <c r="N934" s="3"/>
      <c r="O934" s="3"/>
      <c r="P934" s="3"/>
      <c r="Q934" s="1"/>
      <c r="R934" s="1"/>
      <c r="S934" s="1"/>
      <c r="T934" s="1"/>
      <c r="U934" s="1"/>
      <c r="V934" s="1"/>
      <c r="W934" s="1"/>
      <c r="X934" s="1"/>
      <c r="Y934" s="1"/>
      <c r="Z934" s="1"/>
      <c r="AA934" s="1"/>
      <c r="AB934" s="1"/>
      <c r="AC934" s="1"/>
      <c r="AD934" s="1"/>
      <c r="AE934" s="1"/>
      <c r="AF934" s="1"/>
      <c r="AG934" s="1"/>
      <c r="AH934" s="1"/>
      <c r="AI934" s="1"/>
      <c r="AJ934" s="1"/>
      <c r="AK934" s="1"/>
    </row>
    <row r="935" spans="1:37" ht="12.75" customHeight="1">
      <c r="A935" s="1"/>
      <c r="B935" s="1"/>
      <c r="C935" s="1"/>
      <c r="D935" s="1"/>
      <c r="E935" s="1"/>
      <c r="F935" s="2"/>
      <c r="G935" s="2"/>
      <c r="H935" s="2"/>
      <c r="I935" s="2"/>
      <c r="J935" s="2"/>
      <c r="K935" s="2"/>
      <c r="L935" s="2"/>
      <c r="M935" s="2"/>
      <c r="N935" s="3"/>
      <c r="O935" s="3"/>
      <c r="P935" s="3"/>
      <c r="Q935" s="1"/>
      <c r="R935" s="1"/>
      <c r="S935" s="1"/>
      <c r="T935" s="1"/>
      <c r="U935" s="1"/>
      <c r="V935" s="1"/>
      <c r="W935" s="1"/>
      <c r="X935" s="1"/>
      <c r="Y935" s="1"/>
      <c r="Z935" s="1"/>
      <c r="AA935" s="1"/>
      <c r="AB935" s="1"/>
      <c r="AC935" s="1"/>
      <c r="AD935" s="1"/>
      <c r="AE935" s="1"/>
      <c r="AF935" s="1"/>
      <c r="AG935" s="1"/>
      <c r="AH935" s="1"/>
      <c r="AI935" s="1"/>
      <c r="AJ935" s="1"/>
      <c r="AK935" s="1"/>
    </row>
    <row r="936" spans="1:37" ht="12.75" customHeight="1">
      <c r="A936" s="1"/>
      <c r="B936" s="1"/>
      <c r="C936" s="1"/>
      <c r="D936" s="1"/>
      <c r="E936" s="1"/>
      <c r="F936" s="2"/>
      <c r="G936" s="2"/>
      <c r="H936" s="2"/>
      <c r="I936" s="2"/>
      <c r="J936" s="2"/>
      <c r="K936" s="2"/>
      <c r="L936" s="2"/>
      <c r="M936" s="2"/>
      <c r="N936" s="3"/>
      <c r="O936" s="3"/>
      <c r="P936" s="3"/>
      <c r="Q936" s="1"/>
      <c r="R936" s="1"/>
      <c r="S936" s="1"/>
      <c r="T936" s="1"/>
      <c r="U936" s="1"/>
      <c r="V936" s="1"/>
      <c r="W936" s="1"/>
      <c r="X936" s="1"/>
      <c r="Y936" s="1"/>
      <c r="Z936" s="1"/>
      <c r="AA936" s="1"/>
      <c r="AB936" s="1"/>
      <c r="AC936" s="1"/>
      <c r="AD936" s="1"/>
      <c r="AE936" s="1"/>
      <c r="AF936" s="1"/>
      <c r="AG936" s="1"/>
      <c r="AH936" s="1"/>
      <c r="AI936" s="1"/>
      <c r="AJ936" s="1"/>
      <c r="AK936" s="1"/>
    </row>
    <row r="937" spans="1:37" ht="12.75" customHeight="1">
      <c r="A937" s="1"/>
      <c r="B937" s="1"/>
      <c r="C937" s="1"/>
      <c r="D937" s="1"/>
      <c r="E937" s="1"/>
      <c r="F937" s="2"/>
      <c r="G937" s="2"/>
      <c r="H937" s="2"/>
      <c r="I937" s="2"/>
      <c r="J937" s="2"/>
      <c r="K937" s="2"/>
      <c r="L937" s="2"/>
      <c r="M937" s="2"/>
      <c r="N937" s="3"/>
      <c r="O937" s="3"/>
      <c r="P937" s="3"/>
      <c r="Q937" s="1"/>
      <c r="R937" s="1"/>
      <c r="S937" s="1"/>
      <c r="T937" s="1"/>
      <c r="U937" s="1"/>
      <c r="V937" s="1"/>
      <c r="W937" s="1"/>
      <c r="X937" s="1"/>
      <c r="Y937" s="1"/>
      <c r="Z937" s="1"/>
      <c r="AA937" s="1"/>
      <c r="AB937" s="1"/>
      <c r="AC937" s="1"/>
      <c r="AD937" s="1"/>
      <c r="AE937" s="1"/>
      <c r="AF937" s="1"/>
      <c r="AG937" s="1"/>
      <c r="AH937" s="1"/>
      <c r="AI937" s="1"/>
      <c r="AJ937" s="1"/>
      <c r="AK937" s="1"/>
    </row>
    <row r="938" spans="1:37" ht="12.75" customHeight="1">
      <c r="A938" s="1"/>
      <c r="B938" s="1"/>
      <c r="C938" s="1"/>
      <c r="D938" s="1"/>
      <c r="E938" s="1"/>
      <c r="F938" s="2"/>
      <c r="G938" s="2"/>
      <c r="H938" s="2"/>
      <c r="I938" s="2"/>
      <c r="J938" s="2"/>
      <c r="K938" s="2"/>
      <c r="L938" s="2"/>
      <c r="M938" s="2"/>
      <c r="N938" s="3"/>
      <c r="O938" s="3"/>
      <c r="P938" s="3"/>
      <c r="Q938" s="1"/>
      <c r="R938" s="1"/>
      <c r="S938" s="1"/>
      <c r="T938" s="1"/>
      <c r="U938" s="1"/>
      <c r="V938" s="1"/>
      <c r="W938" s="1"/>
      <c r="X938" s="1"/>
      <c r="Y938" s="1"/>
      <c r="Z938" s="1"/>
      <c r="AA938" s="1"/>
      <c r="AB938" s="1"/>
      <c r="AC938" s="1"/>
      <c r="AD938" s="1"/>
      <c r="AE938" s="1"/>
      <c r="AF938" s="1"/>
      <c r="AG938" s="1"/>
      <c r="AH938" s="1"/>
      <c r="AI938" s="1"/>
      <c r="AJ938" s="1"/>
      <c r="AK938" s="1"/>
    </row>
    <row r="939" spans="1:37" ht="12.75" customHeight="1">
      <c r="A939" s="1"/>
      <c r="B939" s="1"/>
      <c r="C939" s="1"/>
      <c r="D939" s="1"/>
      <c r="E939" s="1"/>
      <c r="F939" s="2"/>
      <c r="G939" s="2"/>
      <c r="H939" s="2"/>
      <c r="I939" s="2"/>
      <c r="J939" s="2"/>
      <c r="K939" s="2"/>
      <c r="L939" s="2"/>
      <c r="M939" s="2"/>
      <c r="N939" s="3"/>
      <c r="O939" s="3"/>
      <c r="P939" s="3"/>
      <c r="Q939" s="1"/>
      <c r="R939" s="1"/>
      <c r="S939" s="1"/>
      <c r="T939" s="1"/>
      <c r="U939" s="1"/>
      <c r="V939" s="1"/>
      <c r="W939" s="1"/>
      <c r="X939" s="1"/>
      <c r="Y939" s="1"/>
      <c r="Z939" s="1"/>
      <c r="AA939" s="1"/>
      <c r="AB939" s="1"/>
      <c r="AC939" s="1"/>
      <c r="AD939" s="1"/>
      <c r="AE939" s="1"/>
      <c r="AF939" s="1"/>
      <c r="AG939" s="1"/>
      <c r="AH939" s="1"/>
      <c r="AI939" s="1"/>
      <c r="AJ939" s="1"/>
      <c r="AK939" s="1"/>
    </row>
    <row r="940" spans="1:37" ht="12.75" customHeight="1">
      <c r="A940" s="1"/>
      <c r="B940" s="1"/>
      <c r="C940" s="1"/>
      <c r="D940" s="1"/>
      <c r="E940" s="1"/>
      <c r="F940" s="2"/>
      <c r="G940" s="2"/>
      <c r="H940" s="2"/>
      <c r="I940" s="2"/>
      <c r="J940" s="2"/>
      <c r="K940" s="2"/>
      <c r="L940" s="2"/>
      <c r="M940" s="2"/>
      <c r="N940" s="3"/>
      <c r="O940" s="3"/>
      <c r="P940" s="3"/>
      <c r="Q940" s="1"/>
      <c r="R940" s="1"/>
      <c r="S940" s="1"/>
      <c r="T940" s="1"/>
      <c r="U940" s="1"/>
      <c r="V940" s="1"/>
      <c r="W940" s="1"/>
      <c r="X940" s="1"/>
      <c r="Y940" s="1"/>
      <c r="Z940" s="1"/>
      <c r="AA940" s="1"/>
      <c r="AB940" s="1"/>
      <c r="AC940" s="1"/>
      <c r="AD940" s="1"/>
      <c r="AE940" s="1"/>
      <c r="AF940" s="1"/>
      <c r="AG940" s="1"/>
      <c r="AH940" s="1"/>
      <c r="AI940" s="1"/>
      <c r="AJ940" s="1"/>
      <c r="AK940" s="1"/>
    </row>
    <row r="941" spans="1:37" ht="12.75" customHeight="1">
      <c r="A941" s="1"/>
      <c r="B941" s="1"/>
      <c r="C941" s="1"/>
      <c r="D941" s="1"/>
      <c r="E941" s="1"/>
      <c r="F941" s="2"/>
      <c r="G941" s="2"/>
      <c r="H941" s="2"/>
      <c r="I941" s="2"/>
      <c r="J941" s="2"/>
      <c r="K941" s="2"/>
      <c r="L941" s="2"/>
      <c r="M941" s="2"/>
      <c r="N941" s="3"/>
      <c r="O941" s="3"/>
      <c r="P941" s="3"/>
      <c r="Q941" s="1"/>
      <c r="R941" s="1"/>
      <c r="S941" s="1"/>
      <c r="T941" s="1"/>
      <c r="U941" s="1"/>
      <c r="V941" s="1"/>
      <c r="W941" s="1"/>
      <c r="X941" s="1"/>
      <c r="Y941" s="1"/>
      <c r="Z941" s="1"/>
      <c r="AA941" s="1"/>
      <c r="AB941" s="1"/>
      <c r="AC941" s="1"/>
      <c r="AD941" s="1"/>
      <c r="AE941" s="1"/>
      <c r="AF941" s="1"/>
      <c r="AG941" s="1"/>
      <c r="AH941" s="1"/>
      <c r="AI941" s="1"/>
      <c r="AJ941" s="1"/>
      <c r="AK941" s="1"/>
    </row>
    <row r="942" spans="1:37" ht="12.75" customHeight="1">
      <c r="A942" s="1"/>
      <c r="B942" s="1"/>
      <c r="C942" s="1"/>
      <c r="D942" s="1"/>
      <c r="E942" s="1"/>
      <c r="F942" s="2"/>
      <c r="G942" s="2"/>
      <c r="H942" s="2"/>
      <c r="I942" s="2"/>
      <c r="J942" s="2"/>
      <c r="K942" s="2"/>
      <c r="L942" s="2"/>
      <c r="M942" s="2"/>
      <c r="N942" s="3"/>
      <c r="O942" s="3"/>
      <c r="P942" s="3"/>
      <c r="Q942" s="1"/>
      <c r="R942" s="1"/>
      <c r="S942" s="1"/>
      <c r="T942" s="1"/>
      <c r="U942" s="1"/>
      <c r="V942" s="1"/>
      <c r="W942" s="1"/>
      <c r="X942" s="1"/>
      <c r="Y942" s="1"/>
      <c r="Z942" s="1"/>
      <c r="AA942" s="1"/>
      <c r="AB942" s="1"/>
      <c r="AC942" s="1"/>
      <c r="AD942" s="1"/>
      <c r="AE942" s="1"/>
      <c r="AF942" s="1"/>
      <c r="AG942" s="1"/>
      <c r="AH942" s="1"/>
      <c r="AI942" s="1"/>
      <c r="AJ942" s="1"/>
      <c r="AK942" s="1"/>
    </row>
    <row r="943" spans="1:37" ht="12.75" customHeight="1">
      <c r="A943" s="1"/>
      <c r="B943" s="1"/>
      <c r="C943" s="1"/>
      <c r="D943" s="1"/>
      <c r="E943" s="1"/>
      <c r="F943" s="2"/>
      <c r="G943" s="2"/>
      <c r="H943" s="2"/>
      <c r="I943" s="2"/>
      <c r="J943" s="2"/>
      <c r="K943" s="2"/>
      <c r="L943" s="2"/>
      <c r="M943" s="2"/>
      <c r="N943" s="3"/>
      <c r="O943" s="3"/>
      <c r="P943" s="3"/>
      <c r="Q943" s="1"/>
      <c r="R943" s="1"/>
      <c r="S943" s="1"/>
      <c r="T943" s="1"/>
      <c r="U943" s="1"/>
      <c r="V943" s="1"/>
      <c r="W943" s="1"/>
      <c r="X943" s="1"/>
      <c r="Y943" s="1"/>
      <c r="Z943" s="1"/>
      <c r="AA943" s="1"/>
      <c r="AB943" s="1"/>
      <c r="AC943" s="1"/>
      <c r="AD943" s="1"/>
      <c r="AE943" s="1"/>
      <c r="AF943" s="1"/>
      <c r="AG943" s="1"/>
      <c r="AH943" s="1"/>
      <c r="AI943" s="1"/>
      <c r="AJ943" s="1"/>
      <c r="AK943" s="1"/>
    </row>
    <row r="944" spans="1:37" ht="12.75" customHeight="1">
      <c r="A944" s="1"/>
      <c r="B944" s="1"/>
      <c r="C944" s="1"/>
      <c r="D944" s="1"/>
      <c r="E944" s="1"/>
      <c r="F944" s="2"/>
      <c r="G944" s="2"/>
      <c r="H944" s="2"/>
      <c r="I944" s="2"/>
      <c r="J944" s="2"/>
      <c r="K944" s="2"/>
      <c r="L944" s="2"/>
      <c r="M944" s="2"/>
      <c r="N944" s="3"/>
      <c r="O944" s="3"/>
      <c r="P944" s="3"/>
      <c r="Q944" s="1"/>
      <c r="R944" s="1"/>
      <c r="S944" s="1"/>
      <c r="T944" s="1"/>
      <c r="U944" s="1"/>
      <c r="V944" s="1"/>
      <c r="W944" s="1"/>
      <c r="X944" s="1"/>
      <c r="Y944" s="1"/>
      <c r="Z944" s="1"/>
      <c r="AA944" s="1"/>
      <c r="AB944" s="1"/>
      <c r="AC944" s="1"/>
      <c r="AD944" s="1"/>
      <c r="AE944" s="1"/>
      <c r="AF944" s="1"/>
      <c r="AG944" s="1"/>
      <c r="AH944" s="1"/>
      <c r="AI944" s="1"/>
      <c r="AJ944" s="1"/>
      <c r="AK944" s="1"/>
    </row>
    <row r="945" spans="1:37" ht="12.75" customHeight="1">
      <c r="A945" s="1"/>
      <c r="B945" s="1"/>
      <c r="C945" s="1"/>
      <c r="D945" s="1"/>
      <c r="E945" s="1"/>
      <c r="F945" s="2"/>
      <c r="G945" s="2"/>
      <c r="H945" s="2"/>
      <c r="I945" s="2"/>
      <c r="J945" s="2"/>
      <c r="K945" s="2"/>
      <c r="L945" s="2"/>
      <c r="M945" s="2"/>
      <c r="N945" s="3"/>
      <c r="O945" s="3"/>
      <c r="P945" s="3"/>
      <c r="Q945" s="1"/>
      <c r="R945" s="1"/>
      <c r="S945" s="1"/>
      <c r="T945" s="1"/>
      <c r="U945" s="1"/>
      <c r="V945" s="1"/>
      <c r="W945" s="1"/>
      <c r="X945" s="1"/>
      <c r="Y945" s="1"/>
      <c r="Z945" s="1"/>
      <c r="AA945" s="1"/>
      <c r="AB945" s="1"/>
      <c r="AC945" s="1"/>
      <c r="AD945" s="1"/>
      <c r="AE945" s="1"/>
      <c r="AF945" s="1"/>
      <c r="AG945" s="1"/>
      <c r="AH945" s="1"/>
      <c r="AI945" s="1"/>
      <c r="AJ945" s="1"/>
      <c r="AK945" s="1"/>
    </row>
    <row r="946" spans="1:37" ht="12.75" customHeight="1">
      <c r="A946" s="1"/>
      <c r="B946" s="1"/>
      <c r="C946" s="1"/>
      <c r="D946" s="1"/>
      <c r="E946" s="1"/>
      <c r="F946" s="2"/>
      <c r="G946" s="2"/>
      <c r="H946" s="2"/>
      <c r="I946" s="2"/>
      <c r="J946" s="2"/>
      <c r="K946" s="2"/>
      <c r="L946" s="2"/>
      <c r="M946" s="2"/>
      <c r="N946" s="3"/>
      <c r="O946" s="3"/>
      <c r="P946" s="3"/>
      <c r="Q946" s="1"/>
      <c r="R946" s="1"/>
      <c r="S946" s="1"/>
      <c r="T946" s="1"/>
      <c r="U946" s="1"/>
      <c r="V946" s="1"/>
      <c r="W946" s="1"/>
      <c r="X946" s="1"/>
      <c r="Y946" s="1"/>
      <c r="Z946" s="1"/>
      <c r="AA946" s="1"/>
      <c r="AB946" s="1"/>
      <c r="AC946" s="1"/>
      <c r="AD946" s="1"/>
      <c r="AE946" s="1"/>
      <c r="AF946" s="1"/>
      <c r="AG946" s="1"/>
      <c r="AH946" s="1"/>
      <c r="AI946" s="1"/>
      <c r="AJ946" s="1"/>
      <c r="AK946" s="1"/>
    </row>
    <row r="947" spans="1:37" ht="12.75" customHeight="1">
      <c r="A947" s="1"/>
      <c r="B947" s="1"/>
      <c r="C947" s="1"/>
      <c r="D947" s="1"/>
      <c r="E947" s="1"/>
      <c r="F947" s="2"/>
      <c r="G947" s="2"/>
      <c r="H947" s="2"/>
      <c r="I947" s="2"/>
      <c r="J947" s="2"/>
      <c r="K947" s="2"/>
      <c r="L947" s="2"/>
      <c r="M947" s="2"/>
      <c r="N947" s="3"/>
      <c r="O947" s="3"/>
      <c r="P947" s="3"/>
      <c r="Q947" s="1"/>
      <c r="R947" s="1"/>
      <c r="S947" s="1"/>
      <c r="T947" s="1"/>
      <c r="U947" s="1"/>
      <c r="V947" s="1"/>
      <c r="W947" s="1"/>
      <c r="X947" s="1"/>
      <c r="Y947" s="1"/>
      <c r="Z947" s="1"/>
      <c r="AA947" s="1"/>
      <c r="AB947" s="1"/>
      <c r="AC947" s="1"/>
      <c r="AD947" s="1"/>
      <c r="AE947" s="1"/>
      <c r="AF947" s="1"/>
      <c r="AG947" s="1"/>
      <c r="AH947" s="1"/>
      <c r="AI947" s="1"/>
      <c r="AJ947" s="1"/>
      <c r="AK947" s="1"/>
    </row>
    <row r="948" spans="1:37" ht="12.75" customHeight="1">
      <c r="A948" s="1"/>
      <c r="B948" s="1"/>
      <c r="C948" s="1"/>
      <c r="D948" s="1"/>
      <c r="E948" s="1"/>
      <c r="F948" s="2"/>
      <c r="G948" s="2"/>
      <c r="H948" s="2"/>
      <c r="I948" s="2"/>
      <c r="J948" s="2"/>
      <c r="K948" s="2"/>
      <c r="L948" s="2"/>
      <c r="M948" s="2"/>
      <c r="N948" s="3"/>
      <c r="O948" s="3"/>
      <c r="P948" s="3"/>
      <c r="Q948" s="1"/>
      <c r="R948" s="1"/>
      <c r="S948" s="1"/>
      <c r="T948" s="1"/>
      <c r="U948" s="1"/>
      <c r="V948" s="1"/>
      <c r="W948" s="1"/>
      <c r="X948" s="1"/>
      <c r="Y948" s="1"/>
      <c r="Z948" s="1"/>
      <c r="AA948" s="1"/>
      <c r="AB948" s="1"/>
      <c r="AC948" s="1"/>
      <c r="AD948" s="1"/>
      <c r="AE948" s="1"/>
      <c r="AF948" s="1"/>
      <c r="AG948" s="1"/>
      <c r="AH948" s="1"/>
      <c r="AI948" s="1"/>
      <c r="AJ948" s="1"/>
      <c r="AK948" s="1"/>
    </row>
    <row r="949" spans="1:37" ht="12.75" customHeight="1">
      <c r="A949" s="1"/>
      <c r="B949" s="1"/>
      <c r="C949" s="1"/>
      <c r="D949" s="1"/>
      <c r="E949" s="1"/>
      <c r="F949" s="2"/>
      <c r="G949" s="2"/>
      <c r="H949" s="2"/>
      <c r="I949" s="2"/>
      <c r="J949" s="2"/>
      <c r="K949" s="2"/>
      <c r="L949" s="2"/>
      <c r="M949" s="2"/>
      <c r="N949" s="3"/>
      <c r="O949" s="3"/>
      <c r="P949" s="3"/>
      <c r="Q949" s="1"/>
      <c r="R949" s="1"/>
      <c r="S949" s="1"/>
      <c r="T949" s="1"/>
      <c r="U949" s="1"/>
      <c r="V949" s="1"/>
      <c r="W949" s="1"/>
      <c r="X949" s="1"/>
      <c r="Y949" s="1"/>
      <c r="Z949" s="1"/>
      <c r="AA949" s="1"/>
      <c r="AB949" s="1"/>
      <c r="AC949" s="1"/>
      <c r="AD949" s="1"/>
      <c r="AE949" s="1"/>
      <c r="AF949" s="1"/>
      <c r="AG949" s="1"/>
      <c r="AH949" s="1"/>
      <c r="AI949" s="1"/>
      <c r="AJ949" s="1"/>
      <c r="AK949" s="1"/>
    </row>
    <row r="950" spans="1:37" ht="12.75" customHeight="1">
      <c r="A950" s="1"/>
      <c r="B950" s="1"/>
      <c r="C950" s="1"/>
      <c r="D950" s="1"/>
      <c r="E950" s="1"/>
      <c r="F950" s="2"/>
      <c r="G950" s="2"/>
      <c r="H950" s="2"/>
      <c r="I950" s="2"/>
      <c r="J950" s="2"/>
      <c r="K950" s="2"/>
      <c r="L950" s="2"/>
      <c r="M950" s="2"/>
      <c r="N950" s="3"/>
      <c r="O950" s="3"/>
      <c r="P950" s="3"/>
      <c r="Q950" s="1"/>
      <c r="R950" s="1"/>
      <c r="S950" s="1"/>
      <c r="T950" s="1"/>
      <c r="U950" s="1"/>
      <c r="V950" s="1"/>
      <c r="W950" s="1"/>
      <c r="X950" s="1"/>
      <c r="Y950" s="1"/>
      <c r="Z950" s="1"/>
      <c r="AA950" s="1"/>
      <c r="AB950" s="1"/>
      <c r="AC950" s="1"/>
      <c r="AD950" s="1"/>
      <c r="AE950" s="1"/>
      <c r="AF950" s="1"/>
      <c r="AG950" s="1"/>
      <c r="AH950" s="1"/>
      <c r="AI950" s="1"/>
      <c r="AJ950" s="1"/>
      <c r="AK950" s="1"/>
    </row>
    <row r="951" spans="1:37" ht="12.75" customHeight="1">
      <c r="A951" s="1"/>
      <c r="B951" s="1"/>
      <c r="C951" s="1"/>
      <c r="D951" s="1"/>
      <c r="E951" s="1"/>
      <c r="F951" s="2"/>
      <c r="G951" s="2"/>
      <c r="H951" s="2"/>
      <c r="I951" s="2"/>
      <c r="J951" s="2"/>
      <c r="K951" s="2"/>
      <c r="L951" s="2"/>
      <c r="M951" s="2"/>
      <c r="N951" s="3"/>
      <c r="O951" s="3"/>
      <c r="P951" s="3"/>
      <c r="Q951" s="1"/>
      <c r="R951" s="1"/>
      <c r="S951" s="1"/>
      <c r="T951" s="1"/>
      <c r="U951" s="1"/>
      <c r="V951" s="1"/>
      <c r="W951" s="1"/>
      <c r="X951" s="1"/>
      <c r="Y951" s="1"/>
      <c r="Z951" s="1"/>
      <c r="AA951" s="1"/>
      <c r="AB951" s="1"/>
      <c r="AC951" s="1"/>
      <c r="AD951" s="1"/>
      <c r="AE951" s="1"/>
      <c r="AF951" s="1"/>
      <c r="AG951" s="1"/>
      <c r="AH951" s="1"/>
      <c r="AI951" s="1"/>
      <c r="AJ951" s="1"/>
      <c r="AK951" s="1"/>
    </row>
    <row r="952" spans="1:37" ht="12.75" customHeight="1">
      <c r="A952" s="1"/>
      <c r="B952" s="1"/>
      <c r="C952" s="1"/>
      <c r="D952" s="1"/>
      <c r="E952" s="1"/>
      <c r="F952" s="2"/>
      <c r="G952" s="2"/>
      <c r="H952" s="2"/>
      <c r="I952" s="2"/>
      <c r="J952" s="2"/>
      <c r="K952" s="2"/>
      <c r="L952" s="2"/>
      <c r="M952" s="2"/>
      <c r="N952" s="3"/>
      <c r="O952" s="3"/>
      <c r="P952" s="3"/>
      <c r="Q952" s="1"/>
      <c r="R952" s="1"/>
      <c r="S952" s="1"/>
      <c r="T952" s="1"/>
      <c r="U952" s="1"/>
      <c r="V952" s="1"/>
      <c r="W952" s="1"/>
      <c r="X952" s="1"/>
      <c r="Y952" s="1"/>
      <c r="Z952" s="1"/>
      <c r="AA952" s="1"/>
      <c r="AB952" s="1"/>
      <c r="AC952" s="1"/>
      <c r="AD952" s="1"/>
      <c r="AE952" s="1"/>
      <c r="AF952" s="1"/>
      <c r="AG952" s="1"/>
      <c r="AH952" s="1"/>
      <c r="AI952" s="1"/>
      <c r="AJ952" s="1"/>
      <c r="AK952" s="1"/>
    </row>
    <row r="953" spans="1:37" ht="12.75" customHeight="1">
      <c r="A953" s="1"/>
      <c r="B953" s="1"/>
      <c r="C953" s="1"/>
      <c r="D953" s="1"/>
      <c r="E953" s="1"/>
      <c r="F953" s="2"/>
      <c r="G953" s="2"/>
      <c r="H953" s="2"/>
      <c r="I953" s="2"/>
      <c r="J953" s="2"/>
      <c r="K953" s="2"/>
      <c r="L953" s="2"/>
      <c r="M953" s="2"/>
      <c r="N953" s="3"/>
      <c r="O953" s="3"/>
      <c r="P953" s="3"/>
      <c r="Q953" s="1"/>
      <c r="R953" s="1"/>
      <c r="S953" s="1"/>
      <c r="T953" s="1"/>
      <c r="U953" s="1"/>
      <c r="V953" s="1"/>
      <c r="W953" s="1"/>
      <c r="X953" s="1"/>
      <c r="Y953" s="1"/>
      <c r="Z953" s="1"/>
      <c r="AA953" s="1"/>
      <c r="AB953" s="1"/>
      <c r="AC953" s="1"/>
      <c r="AD953" s="1"/>
      <c r="AE953" s="1"/>
      <c r="AF953" s="1"/>
      <c r="AG953" s="1"/>
      <c r="AH953" s="1"/>
      <c r="AI953" s="1"/>
      <c r="AJ953" s="1"/>
      <c r="AK953" s="1"/>
    </row>
    <row r="954" spans="1:37" ht="12.75" customHeight="1">
      <c r="A954" s="1"/>
      <c r="B954" s="1"/>
      <c r="C954" s="1"/>
      <c r="D954" s="1"/>
      <c r="E954" s="1"/>
      <c r="F954" s="2"/>
      <c r="G954" s="2"/>
      <c r="H954" s="2"/>
      <c r="I954" s="2"/>
      <c r="J954" s="2"/>
      <c r="K954" s="2"/>
      <c r="L954" s="2"/>
      <c r="M954" s="2"/>
      <c r="N954" s="3"/>
      <c r="O954" s="3"/>
      <c r="P954" s="3"/>
      <c r="Q954" s="1"/>
      <c r="R954" s="1"/>
      <c r="S954" s="1"/>
      <c r="T954" s="1"/>
      <c r="U954" s="1"/>
      <c r="V954" s="1"/>
      <c r="W954" s="1"/>
      <c r="X954" s="1"/>
      <c r="Y954" s="1"/>
      <c r="Z954" s="1"/>
      <c r="AA954" s="1"/>
      <c r="AB954" s="1"/>
      <c r="AC954" s="1"/>
      <c r="AD954" s="1"/>
      <c r="AE954" s="1"/>
      <c r="AF954" s="1"/>
      <c r="AG954" s="1"/>
      <c r="AH954" s="1"/>
      <c r="AI954" s="1"/>
      <c r="AJ954" s="1"/>
      <c r="AK954" s="1"/>
    </row>
    <row r="955" spans="1:37" ht="12.75" customHeight="1">
      <c r="A955" s="1"/>
      <c r="B955" s="1"/>
      <c r="C955" s="1"/>
      <c r="D955" s="1"/>
      <c r="E955" s="1"/>
      <c r="F955" s="2"/>
      <c r="G955" s="2"/>
      <c r="H955" s="2"/>
      <c r="I955" s="2"/>
      <c r="J955" s="2"/>
      <c r="K955" s="2"/>
      <c r="L955" s="2"/>
      <c r="M955" s="2"/>
      <c r="N955" s="3"/>
      <c r="O955" s="3"/>
      <c r="P955" s="3"/>
      <c r="Q955" s="1"/>
      <c r="R955" s="1"/>
      <c r="S955" s="1"/>
      <c r="T955" s="1"/>
      <c r="U955" s="1"/>
      <c r="V955" s="1"/>
      <c r="W955" s="1"/>
      <c r="X955" s="1"/>
      <c r="Y955" s="1"/>
      <c r="Z955" s="1"/>
      <c r="AA955" s="1"/>
      <c r="AB955" s="1"/>
      <c r="AC955" s="1"/>
      <c r="AD955" s="1"/>
      <c r="AE955" s="1"/>
      <c r="AF955" s="1"/>
      <c r="AG955" s="1"/>
      <c r="AH955" s="1"/>
      <c r="AI955" s="1"/>
      <c r="AJ955" s="1"/>
      <c r="AK955" s="1"/>
    </row>
    <row r="956" spans="1:37" ht="12.75" customHeight="1">
      <c r="A956" s="1"/>
      <c r="B956" s="1"/>
      <c r="C956" s="1"/>
      <c r="D956" s="1"/>
      <c r="E956" s="1"/>
      <c r="F956" s="2"/>
      <c r="G956" s="2"/>
      <c r="H956" s="2"/>
      <c r="I956" s="2"/>
      <c r="J956" s="2"/>
      <c r="K956" s="2"/>
      <c r="L956" s="2"/>
      <c r="M956" s="2"/>
      <c r="N956" s="3"/>
      <c r="O956" s="3"/>
      <c r="P956" s="3"/>
      <c r="Q956" s="1"/>
      <c r="R956" s="1"/>
      <c r="S956" s="1"/>
      <c r="T956" s="1"/>
      <c r="U956" s="1"/>
      <c r="V956" s="1"/>
      <c r="W956" s="1"/>
      <c r="X956" s="1"/>
      <c r="Y956" s="1"/>
      <c r="Z956" s="1"/>
      <c r="AA956" s="1"/>
      <c r="AB956" s="1"/>
      <c r="AC956" s="1"/>
      <c r="AD956" s="1"/>
      <c r="AE956" s="1"/>
      <c r="AF956" s="1"/>
      <c r="AG956" s="1"/>
      <c r="AH956" s="1"/>
      <c r="AI956" s="1"/>
      <c r="AJ956" s="1"/>
      <c r="AK956" s="1"/>
    </row>
    <row r="957" spans="1:37" ht="12.75" customHeight="1">
      <c r="A957" s="1"/>
      <c r="B957" s="1"/>
      <c r="C957" s="1"/>
      <c r="D957" s="1"/>
      <c r="E957" s="1"/>
      <c r="F957" s="2"/>
      <c r="G957" s="2"/>
      <c r="H957" s="2"/>
      <c r="I957" s="2"/>
      <c r="J957" s="2"/>
      <c r="K957" s="2"/>
      <c r="L957" s="2"/>
      <c r="M957" s="2"/>
      <c r="N957" s="3"/>
      <c r="O957" s="3"/>
      <c r="P957" s="3"/>
      <c r="Q957" s="1"/>
      <c r="R957" s="1"/>
      <c r="S957" s="1"/>
      <c r="T957" s="1"/>
      <c r="U957" s="1"/>
      <c r="V957" s="1"/>
      <c r="W957" s="1"/>
      <c r="X957" s="1"/>
      <c r="Y957" s="1"/>
      <c r="Z957" s="1"/>
      <c r="AA957" s="1"/>
      <c r="AB957" s="1"/>
      <c r="AC957" s="1"/>
      <c r="AD957" s="1"/>
      <c r="AE957" s="1"/>
      <c r="AF957" s="1"/>
      <c r="AG957" s="1"/>
      <c r="AH957" s="1"/>
      <c r="AI957" s="1"/>
      <c r="AJ957" s="1"/>
      <c r="AK957" s="1"/>
    </row>
    <row r="958" spans="1:37" ht="12.75" customHeight="1">
      <c r="A958" s="1"/>
      <c r="B958" s="1"/>
      <c r="C958" s="1"/>
      <c r="D958" s="1"/>
      <c r="E958" s="1"/>
      <c r="F958" s="2"/>
      <c r="G958" s="2"/>
      <c r="H958" s="2"/>
      <c r="I958" s="2"/>
      <c r="J958" s="2"/>
      <c r="K958" s="2"/>
      <c r="L958" s="2"/>
      <c r="M958" s="2"/>
      <c r="N958" s="3"/>
      <c r="O958" s="3"/>
      <c r="P958" s="3"/>
      <c r="Q958" s="1"/>
      <c r="R958" s="1"/>
      <c r="S958" s="1"/>
      <c r="T958" s="1"/>
      <c r="U958" s="1"/>
      <c r="V958" s="1"/>
      <c r="W958" s="1"/>
      <c r="X958" s="1"/>
      <c r="Y958" s="1"/>
      <c r="Z958" s="1"/>
      <c r="AA958" s="1"/>
      <c r="AB958" s="1"/>
      <c r="AC958" s="1"/>
      <c r="AD958" s="1"/>
      <c r="AE958" s="1"/>
      <c r="AF958" s="1"/>
      <c r="AG958" s="1"/>
      <c r="AH958" s="1"/>
      <c r="AI958" s="1"/>
      <c r="AJ958" s="1"/>
      <c r="AK958" s="1"/>
    </row>
    <row r="959" spans="1:37" ht="12.75" customHeight="1">
      <c r="A959" s="1"/>
      <c r="B959" s="1"/>
      <c r="C959" s="1"/>
      <c r="D959" s="1"/>
      <c r="E959" s="1"/>
      <c r="F959" s="2"/>
      <c r="G959" s="2"/>
      <c r="H959" s="2"/>
      <c r="I959" s="2"/>
      <c r="J959" s="2"/>
      <c r="K959" s="2"/>
      <c r="L959" s="2"/>
      <c r="M959" s="2"/>
      <c r="N959" s="3"/>
      <c r="O959" s="3"/>
      <c r="P959" s="3"/>
      <c r="Q959" s="1"/>
      <c r="R959" s="1"/>
      <c r="S959" s="1"/>
      <c r="T959" s="1"/>
      <c r="U959" s="1"/>
      <c r="V959" s="1"/>
      <c r="W959" s="1"/>
      <c r="X959" s="1"/>
      <c r="Y959" s="1"/>
      <c r="Z959" s="1"/>
      <c r="AA959" s="1"/>
      <c r="AB959" s="1"/>
      <c r="AC959" s="1"/>
      <c r="AD959" s="1"/>
      <c r="AE959" s="1"/>
      <c r="AF959" s="1"/>
      <c r="AG959" s="1"/>
      <c r="AH959" s="1"/>
      <c r="AI959" s="1"/>
      <c r="AJ959" s="1"/>
      <c r="AK959" s="1"/>
    </row>
    <row r="960" spans="1:37" ht="12.75" customHeight="1">
      <c r="A960" s="1"/>
      <c r="B960" s="1"/>
      <c r="C960" s="1"/>
      <c r="D960" s="1"/>
      <c r="E960" s="1"/>
      <c r="F960" s="2"/>
      <c r="G960" s="2"/>
      <c r="H960" s="2"/>
      <c r="I960" s="2"/>
      <c r="J960" s="2"/>
      <c r="K960" s="2"/>
      <c r="L960" s="2"/>
      <c r="M960" s="2"/>
      <c r="N960" s="3"/>
      <c r="O960" s="3"/>
      <c r="P960" s="3"/>
      <c r="Q960" s="1"/>
      <c r="R960" s="1"/>
      <c r="S960" s="1"/>
      <c r="T960" s="1"/>
      <c r="U960" s="1"/>
      <c r="V960" s="1"/>
      <c r="W960" s="1"/>
      <c r="X960" s="1"/>
      <c r="Y960" s="1"/>
      <c r="Z960" s="1"/>
      <c r="AA960" s="1"/>
      <c r="AB960" s="1"/>
      <c r="AC960" s="1"/>
      <c r="AD960" s="1"/>
      <c r="AE960" s="1"/>
      <c r="AF960" s="1"/>
      <c r="AG960" s="1"/>
      <c r="AH960" s="1"/>
      <c r="AI960" s="1"/>
      <c r="AJ960" s="1"/>
      <c r="AK960" s="1"/>
    </row>
    <row r="961" spans="1:37" ht="12.75" customHeight="1">
      <c r="A961" s="1"/>
      <c r="B961" s="1"/>
      <c r="C961" s="1"/>
      <c r="D961" s="1"/>
      <c r="E961" s="1"/>
      <c r="F961" s="2"/>
      <c r="G961" s="2"/>
      <c r="H961" s="2"/>
      <c r="I961" s="2"/>
      <c r="J961" s="2"/>
      <c r="K961" s="2"/>
      <c r="L961" s="2"/>
      <c r="M961" s="2"/>
      <c r="N961" s="3"/>
      <c r="O961" s="3"/>
      <c r="P961" s="3"/>
      <c r="Q961" s="1"/>
      <c r="R961" s="1"/>
      <c r="S961" s="1"/>
      <c r="T961" s="1"/>
      <c r="U961" s="1"/>
      <c r="V961" s="1"/>
      <c r="W961" s="1"/>
      <c r="X961" s="1"/>
      <c r="Y961" s="1"/>
      <c r="Z961" s="1"/>
      <c r="AA961" s="1"/>
      <c r="AB961" s="1"/>
      <c r="AC961" s="1"/>
      <c r="AD961" s="1"/>
      <c r="AE961" s="1"/>
      <c r="AF961" s="1"/>
      <c r="AG961" s="1"/>
      <c r="AH961" s="1"/>
      <c r="AI961" s="1"/>
      <c r="AJ961" s="1"/>
      <c r="AK961" s="1"/>
    </row>
    <row r="962" spans="1:37" ht="12.75" customHeight="1">
      <c r="A962" s="1"/>
      <c r="B962" s="1"/>
      <c r="C962" s="1"/>
      <c r="D962" s="1"/>
      <c r="E962" s="1"/>
      <c r="F962" s="2"/>
      <c r="G962" s="2"/>
      <c r="H962" s="2"/>
      <c r="I962" s="2"/>
      <c r="J962" s="2"/>
      <c r="K962" s="2"/>
      <c r="L962" s="2"/>
      <c r="M962" s="2"/>
      <c r="N962" s="3"/>
      <c r="O962" s="3"/>
      <c r="P962" s="3"/>
      <c r="Q962" s="1"/>
      <c r="R962" s="1"/>
      <c r="S962" s="1"/>
      <c r="T962" s="1"/>
      <c r="U962" s="1"/>
      <c r="V962" s="1"/>
      <c r="W962" s="1"/>
      <c r="X962" s="1"/>
      <c r="Y962" s="1"/>
      <c r="Z962" s="1"/>
      <c r="AA962" s="1"/>
      <c r="AB962" s="1"/>
      <c r="AC962" s="1"/>
      <c r="AD962" s="1"/>
      <c r="AE962" s="1"/>
      <c r="AF962" s="1"/>
      <c r="AG962" s="1"/>
      <c r="AH962" s="1"/>
      <c r="AI962" s="1"/>
      <c r="AJ962" s="1"/>
      <c r="AK962" s="1"/>
    </row>
    <row r="963" spans="1:37" ht="12.75" customHeight="1">
      <c r="A963" s="1"/>
      <c r="B963" s="1"/>
      <c r="C963" s="1"/>
      <c r="D963" s="1"/>
      <c r="E963" s="1"/>
      <c r="F963" s="2"/>
      <c r="G963" s="2"/>
      <c r="H963" s="2"/>
      <c r="I963" s="2"/>
      <c r="J963" s="2"/>
      <c r="K963" s="2"/>
      <c r="L963" s="2"/>
      <c r="M963" s="2"/>
      <c r="N963" s="3"/>
      <c r="O963" s="3"/>
      <c r="P963" s="3"/>
      <c r="Q963" s="1"/>
      <c r="R963" s="1"/>
      <c r="S963" s="1"/>
      <c r="T963" s="1"/>
      <c r="U963" s="1"/>
      <c r="V963" s="1"/>
      <c r="W963" s="1"/>
      <c r="X963" s="1"/>
      <c r="Y963" s="1"/>
      <c r="Z963" s="1"/>
      <c r="AA963" s="1"/>
      <c r="AB963" s="1"/>
      <c r="AC963" s="1"/>
      <c r="AD963" s="1"/>
      <c r="AE963" s="1"/>
      <c r="AF963" s="1"/>
      <c r="AG963" s="1"/>
      <c r="AH963" s="1"/>
      <c r="AI963" s="1"/>
      <c r="AJ963" s="1"/>
      <c r="AK963" s="1"/>
    </row>
    <row r="964" spans="1:37" ht="12.75" customHeight="1">
      <c r="A964" s="1"/>
      <c r="B964" s="1"/>
      <c r="C964" s="1"/>
      <c r="D964" s="1"/>
      <c r="E964" s="1"/>
      <c r="F964" s="2"/>
      <c r="G964" s="2"/>
      <c r="H964" s="2"/>
      <c r="I964" s="2"/>
      <c r="J964" s="2"/>
      <c r="K964" s="2"/>
      <c r="L964" s="2"/>
      <c r="M964" s="2"/>
      <c r="N964" s="3"/>
      <c r="O964" s="3"/>
      <c r="P964" s="3"/>
      <c r="Q964" s="1"/>
      <c r="R964" s="1"/>
      <c r="S964" s="1"/>
      <c r="T964" s="1"/>
      <c r="U964" s="1"/>
      <c r="V964" s="1"/>
      <c r="W964" s="1"/>
      <c r="X964" s="1"/>
      <c r="Y964" s="1"/>
      <c r="Z964" s="1"/>
      <c r="AA964" s="1"/>
      <c r="AB964" s="1"/>
      <c r="AC964" s="1"/>
      <c r="AD964" s="1"/>
      <c r="AE964" s="1"/>
      <c r="AF964" s="1"/>
      <c r="AG964" s="1"/>
      <c r="AH964" s="1"/>
      <c r="AI964" s="1"/>
      <c r="AJ964" s="1"/>
      <c r="AK964" s="1"/>
    </row>
    <row r="965" spans="1:37" ht="12.75" customHeight="1">
      <c r="A965" s="1"/>
      <c r="B965" s="1"/>
      <c r="C965" s="1"/>
      <c r="D965" s="1"/>
      <c r="E965" s="1"/>
      <c r="F965" s="2"/>
      <c r="G965" s="2"/>
      <c r="H965" s="2"/>
      <c r="I965" s="2"/>
      <c r="J965" s="2"/>
      <c r="K965" s="2"/>
      <c r="L965" s="2"/>
      <c r="M965" s="2"/>
      <c r="N965" s="3"/>
      <c r="O965" s="3"/>
      <c r="P965" s="3"/>
      <c r="Q965" s="1"/>
      <c r="R965" s="1"/>
      <c r="S965" s="1"/>
      <c r="T965" s="1"/>
      <c r="U965" s="1"/>
      <c r="V965" s="1"/>
      <c r="W965" s="1"/>
      <c r="X965" s="1"/>
      <c r="Y965" s="1"/>
      <c r="Z965" s="1"/>
      <c r="AA965" s="1"/>
      <c r="AB965" s="1"/>
      <c r="AC965" s="1"/>
      <c r="AD965" s="1"/>
      <c r="AE965" s="1"/>
      <c r="AF965" s="1"/>
      <c r="AG965" s="1"/>
      <c r="AH965" s="1"/>
      <c r="AI965" s="1"/>
      <c r="AJ965" s="1"/>
      <c r="AK965" s="1"/>
    </row>
    <row r="966" spans="1:37" ht="12.75" customHeight="1">
      <c r="A966" s="1"/>
      <c r="B966" s="1"/>
      <c r="C966" s="1"/>
      <c r="D966" s="1"/>
      <c r="E966" s="1"/>
      <c r="F966" s="2"/>
      <c r="G966" s="2"/>
      <c r="H966" s="2"/>
      <c r="I966" s="2"/>
      <c r="J966" s="2"/>
      <c r="K966" s="2"/>
      <c r="L966" s="2"/>
      <c r="M966" s="2"/>
      <c r="N966" s="3"/>
      <c r="O966" s="3"/>
      <c r="P966" s="3"/>
      <c r="Q966" s="1"/>
      <c r="R966" s="1"/>
      <c r="S966" s="1"/>
      <c r="T966" s="1"/>
      <c r="U966" s="1"/>
      <c r="V966" s="1"/>
      <c r="W966" s="1"/>
      <c r="X966" s="1"/>
      <c r="Y966" s="1"/>
      <c r="Z966" s="1"/>
      <c r="AA966" s="1"/>
      <c r="AB966" s="1"/>
      <c r="AC966" s="1"/>
      <c r="AD966" s="1"/>
      <c r="AE966" s="1"/>
      <c r="AF966" s="1"/>
      <c r="AG966" s="1"/>
      <c r="AH966" s="1"/>
      <c r="AI966" s="1"/>
      <c r="AJ966" s="1"/>
      <c r="AK966" s="1"/>
    </row>
    <row r="967" spans="1:37" ht="12.75" customHeight="1">
      <c r="A967" s="1"/>
      <c r="B967" s="1"/>
      <c r="C967" s="1"/>
      <c r="D967" s="1"/>
      <c r="E967" s="1"/>
      <c r="F967" s="2"/>
      <c r="G967" s="2"/>
      <c r="H967" s="2"/>
      <c r="I967" s="2"/>
      <c r="J967" s="2"/>
      <c r="K967" s="2"/>
      <c r="L967" s="2"/>
      <c r="M967" s="2"/>
      <c r="N967" s="3"/>
      <c r="O967" s="3"/>
      <c r="P967" s="3"/>
      <c r="Q967" s="1"/>
      <c r="R967" s="1"/>
      <c r="S967" s="1"/>
      <c r="T967" s="1"/>
      <c r="U967" s="1"/>
      <c r="V967" s="1"/>
      <c r="W967" s="1"/>
      <c r="X967" s="1"/>
      <c r="Y967" s="1"/>
      <c r="Z967" s="1"/>
      <c r="AA967" s="1"/>
      <c r="AB967" s="1"/>
      <c r="AC967" s="1"/>
      <c r="AD967" s="1"/>
      <c r="AE967" s="1"/>
      <c r="AF967" s="1"/>
      <c r="AG967" s="1"/>
      <c r="AH967" s="1"/>
      <c r="AI967" s="1"/>
      <c r="AJ967" s="1"/>
      <c r="AK967" s="1"/>
    </row>
    <row r="968" spans="1:37" ht="12.75" customHeight="1">
      <c r="A968" s="1"/>
      <c r="B968" s="1"/>
      <c r="C968" s="1"/>
      <c r="D968" s="1"/>
      <c r="E968" s="1"/>
      <c r="F968" s="2"/>
      <c r="G968" s="2"/>
      <c r="H968" s="2"/>
      <c r="I968" s="2"/>
      <c r="J968" s="2"/>
      <c r="K968" s="2"/>
      <c r="L968" s="2"/>
      <c r="M968" s="2"/>
      <c r="N968" s="3"/>
      <c r="O968" s="3"/>
      <c r="P968" s="3"/>
      <c r="Q968" s="1"/>
      <c r="R968" s="1"/>
      <c r="S968" s="1"/>
      <c r="T968" s="1"/>
      <c r="U968" s="1"/>
      <c r="V968" s="1"/>
      <c r="W968" s="1"/>
      <c r="X968" s="1"/>
      <c r="Y968" s="1"/>
      <c r="Z968" s="1"/>
      <c r="AA968" s="1"/>
      <c r="AB968" s="1"/>
      <c r="AC968" s="1"/>
      <c r="AD968" s="1"/>
      <c r="AE968" s="1"/>
      <c r="AF968" s="1"/>
      <c r="AG968" s="1"/>
      <c r="AH968" s="1"/>
      <c r="AI968" s="1"/>
      <c r="AJ968" s="1"/>
      <c r="AK968" s="1"/>
    </row>
    <row r="969" spans="1:37" ht="12.75" customHeight="1">
      <c r="A969" s="1"/>
      <c r="B969" s="1"/>
      <c r="C969" s="1"/>
      <c r="D969" s="1"/>
      <c r="E969" s="1"/>
      <c r="F969" s="2"/>
      <c r="G969" s="2"/>
      <c r="H969" s="2"/>
      <c r="I969" s="2"/>
      <c r="J969" s="2"/>
      <c r="K969" s="2"/>
      <c r="L969" s="2"/>
      <c r="M969" s="2"/>
      <c r="N969" s="3"/>
      <c r="O969" s="3"/>
      <c r="P969" s="3"/>
      <c r="Q969" s="1"/>
      <c r="R969" s="1"/>
      <c r="S969" s="1"/>
      <c r="T969" s="1"/>
      <c r="U969" s="1"/>
      <c r="V969" s="1"/>
      <c r="W969" s="1"/>
      <c r="X969" s="1"/>
      <c r="Y969" s="1"/>
      <c r="Z969" s="1"/>
      <c r="AA969" s="1"/>
      <c r="AB969" s="1"/>
      <c r="AC969" s="1"/>
      <c r="AD969" s="1"/>
      <c r="AE969" s="1"/>
      <c r="AF969" s="1"/>
      <c r="AG969" s="1"/>
      <c r="AH969" s="1"/>
      <c r="AI969" s="1"/>
      <c r="AJ969" s="1"/>
      <c r="AK969" s="1"/>
    </row>
    <row r="970" spans="1:37" ht="12.75" customHeight="1">
      <c r="A970" s="1"/>
      <c r="B970" s="1"/>
      <c r="C970" s="1"/>
      <c r="D970" s="1"/>
      <c r="E970" s="1"/>
      <c r="F970" s="2"/>
      <c r="G970" s="2"/>
      <c r="H970" s="2"/>
      <c r="I970" s="2"/>
      <c r="J970" s="2"/>
      <c r="K970" s="2"/>
      <c r="L970" s="2"/>
      <c r="M970" s="2"/>
      <c r="N970" s="3"/>
      <c r="O970" s="3"/>
      <c r="P970" s="3"/>
      <c r="Q970" s="1"/>
      <c r="R970" s="1"/>
      <c r="S970" s="1"/>
      <c r="T970" s="1"/>
      <c r="U970" s="1"/>
      <c r="V970" s="1"/>
      <c r="W970" s="1"/>
      <c r="X970" s="1"/>
      <c r="Y970" s="1"/>
      <c r="Z970" s="1"/>
      <c r="AA970" s="1"/>
      <c r="AB970" s="1"/>
      <c r="AC970" s="1"/>
      <c r="AD970" s="1"/>
      <c r="AE970" s="1"/>
      <c r="AF970" s="1"/>
      <c r="AG970" s="1"/>
      <c r="AH970" s="1"/>
      <c r="AI970" s="1"/>
      <c r="AJ970" s="1"/>
      <c r="AK970" s="1"/>
    </row>
    <row r="971" spans="1:37" ht="12.75" customHeight="1">
      <c r="A971" s="1"/>
      <c r="B971" s="1"/>
      <c r="C971" s="1"/>
      <c r="D971" s="1"/>
      <c r="E971" s="1"/>
      <c r="F971" s="2"/>
      <c r="G971" s="2"/>
      <c r="H971" s="2"/>
      <c r="I971" s="2"/>
      <c r="J971" s="2"/>
      <c r="K971" s="2"/>
      <c r="L971" s="2"/>
      <c r="M971" s="2"/>
      <c r="N971" s="3"/>
      <c r="O971" s="3"/>
      <c r="P971" s="3"/>
      <c r="Q971" s="1"/>
      <c r="R971" s="1"/>
      <c r="S971" s="1"/>
      <c r="T971" s="1"/>
      <c r="U971" s="1"/>
      <c r="V971" s="1"/>
      <c r="W971" s="1"/>
      <c r="X971" s="1"/>
      <c r="Y971" s="1"/>
      <c r="Z971" s="1"/>
      <c r="AA971" s="1"/>
      <c r="AB971" s="1"/>
      <c r="AC971" s="1"/>
      <c r="AD971" s="1"/>
      <c r="AE971" s="1"/>
      <c r="AF971" s="1"/>
      <c r="AG971" s="1"/>
      <c r="AH971" s="1"/>
      <c r="AI971" s="1"/>
      <c r="AJ971" s="1"/>
      <c r="AK971" s="1"/>
    </row>
    <row r="972" spans="1:37" ht="12.75" customHeight="1">
      <c r="A972" s="1"/>
      <c r="B972" s="1"/>
      <c r="C972" s="1"/>
      <c r="D972" s="1"/>
      <c r="E972" s="1"/>
      <c r="F972" s="2"/>
      <c r="G972" s="2"/>
      <c r="H972" s="2"/>
      <c r="I972" s="2"/>
      <c r="J972" s="2"/>
      <c r="K972" s="2"/>
      <c r="L972" s="2"/>
      <c r="M972" s="2"/>
      <c r="N972" s="3"/>
      <c r="O972" s="3"/>
      <c r="P972" s="3"/>
      <c r="Q972" s="1"/>
      <c r="R972" s="1"/>
      <c r="S972" s="1"/>
      <c r="T972" s="1"/>
      <c r="U972" s="1"/>
      <c r="V972" s="1"/>
      <c r="W972" s="1"/>
      <c r="X972" s="1"/>
      <c r="Y972" s="1"/>
      <c r="Z972" s="1"/>
      <c r="AA972" s="1"/>
      <c r="AB972" s="1"/>
      <c r="AC972" s="1"/>
      <c r="AD972" s="1"/>
      <c r="AE972" s="1"/>
      <c r="AF972" s="1"/>
      <c r="AG972" s="1"/>
      <c r="AH972" s="1"/>
      <c r="AI972" s="1"/>
      <c r="AJ972" s="1"/>
      <c r="AK972" s="1"/>
    </row>
    <row r="973" spans="1:37" ht="12.75" customHeight="1">
      <c r="A973" s="1"/>
      <c r="B973" s="1"/>
      <c r="C973" s="1"/>
      <c r="D973" s="1"/>
      <c r="E973" s="1"/>
      <c r="F973" s="2"/>
      <c r="G973" s="2"/>
      <c r="H973" s="2"/>
      <c r="I973" s="2"/>
      <c r="J973" s="2"/>
      <c r="K973" s="2"/>
      <c r="L973" s="2"/>
      <c r="M973" s="2"/>
      <c r="N973" s="3"/>
      <c r="O973" s="3"/>
      <c r="P973" s="3"/>
      <c r="Q973" s="1"/>
      <c r="R973" s="1"/>
      <c r="S973" s="1"/>
      <c r="T973" s="1"/>
      <c r="U973" s="1"/>
      <c r="V973" s="1"/>
      <c r="W973" s="1"/>
      <c r="X973" s="1"/>
      <c r="Y973" s="1"/>
      <c r="Z973" s="1"/>
      <c r="AA973" s="1"/>
      <c r="AB973" s="1"/>
      <c r="AC973" s="1"/>
      <c r="AD973" s="1"/>
      <c r="AE973" s="1"/>
      <c r="AF973" s="1"/>
      <c r="AG973" s="1"/>
      <c r="AH973" s="1"/>
      <c r="AI973" s="1"/>
      <c r="AJ973" s="1"/>
      <c r="AK973" s="1"/>
    </row>
    <row r="974" spans="1:37" ht="12.75" customHeight="1">
      <c r="A974" s="1"/>
      <c r="B974" s="1"/>
      <c r="C974" s="1"/>
      <c r="D974" s="1"/>
      <c r="E974" s="1"/>
      <c r="F974" s="2"/>
      <c r="G974" s="2"/>
      <c r="H974" s="2"/>
      <c r="I974" s="2"/>
      <c r="J974" s="2"/>
      <c r="K974" s="2"/>
      <c r="L974" s="2"/>
      <c r="M974" s="2"/>
      <c r="N974" s="3"/>
      <c r="O974" s="3"/>
      <c r="P974" s="3"/>
      <c r="Q974" s="1"/>
      <c r="R974" s="1"/>
      <c r="S974" s="1"/>
      <c r="T974" s="1"/>
      <c r="U974" s="1"/>
      <c r="V974" s="1"/>
      <c r="W974" s="1"/>
      <c r="X974" s="1"/>
      <c r="Y974" s="1"/>
      <c r="Z974" s="1"/>
      <c r="AA974" s="1"/>
      <c r="AB974" s="1"/>
      <c r="AC974" s="1"/>
      <c r="AD974" s="1"/>
      <c r="AE974" s="1"/>
      <c r="AF974" s="1"/>
      <c r="AG974" s="1"/>
      <c r="AH974" s="1"/>
      <c r="AI974" s="1"/>
      <c r="AJ974" s="1"/>
      <c r="AK974" s="1"/>
    </row>
    <row r="975" spans="1:37" ht="12.75" customHeight="1">
      <c r="A975" s="1"/>
      <c r="B975" s="1"/>
      <c r="C975" s="1"/>
      <c r="D975" s="1"/>
      <c r="E975" s="1"/>
      <c r="F975" s="2"/>
      <c r="G975" s="2"/>
      <c r="H975" s="2"/>
      <c r="I975" s="2"/>
      <c r="J975" s="2"/>
      <c r="K975" s="2"/>
      <c r="L975" s="2"/>
      <c r="M975" s="2"/>
      <c r="N975" s="3"/>
      <c r="O975" s="3"/>
      <c r="P975" s="3"/>
      <c r="Q975" s="1"/>
      <c r="R975" s="1"/>
      <c r="S975" s="1"/>
      <c r="T975" s="1"/>
      <c r="U975" s="1"/>
      <c r="V975" s="1"/>
      <c r="W975" s="1"/>
      <c r="X975" s="1"/>
      <c r="Y975" s="1"/>
      <c r="Z975" s="1"/>
      <c r="AA975" s="1"/>
      <c r="AB975" s="1"/>
      <c r="AC975" s="1"/>
      <c r="AD975" s="1"/>
      <c r="AE975" s="1"/>
      <c r="AF975" s="1"/>
      <c r="AG975" s="1"/>
      <c r="AH975" s="1"/>
      <c r="AI975" s="1"/>
      <c r="AJ975" s="1"/>
      <c r="AK975" s="1"/>
    </row>
    <row r="976" spans="1:37" ht="12.75" customHeight="1">
      <c r="A976" s="1"/>
      <c r="B976" s="1"/>
      <c r="C976" s="1"/>
      <c r="D976" s="1"/>
      <c r="E976" s="1"/>
      <c r="F976" s="2"/>
      <c r="G976" s="2"/>
      <c r="H976" s="2"/>
      <c r="I976" s="2"/>
      <c r="J976" s="2"/>
      <c r="K976" s="2"/>
      <c r="L976" s="2"/>
      <c r="M976" s="2"/>
      <c r="N976" s="3"/>
      <c r="O976" s="3"/>
      <c r="P976" s="3"/>
      <c r="Q976" s="1"/>
      <c r="R976" s="1"/>
      <c r="S976" s="1"/>
      <c r="T976" s="1"/>
      <c r="U976" s="1"/>
      <c r="V976" s="1"/>
      <c r="W976" s="1"/>
      <c r="X976" s="1"/>
      <c r="Y976" s="1"/>
      <c r="Z976" s="1"/>
      <c r="AA976" s="1"/>
      <c r="AB976" s="1"/>
      <c r="AC976" s="1"/>
      <c r="AD976" s="1"/>
      <c r="AE976" s="1"/>
      <c r="AF976" s="1"/>
      <c r="AG976" s="1"/>
      <c r="AH976" s="1"/>
      <c r="AI976" s="1"/>
      <c r="AJ976" s="1"/>
      <c r="AK976" s="1"/>
    </row>
    <row r="977" spans="1:37" ht="12.75" customHeight="1">
      <c r="A977" s="1"/>
      <c r="B977" s="1"/>
      <c r="C977" s="1"/>
      <c r="D977" s="1"/>
      <c r="E977" s="1"/>
      <c r="F977" s="2"/>
      <c r="G977" s="2"/>
      <c r="H977" s="2"/>
      <c r="I977" s="2"/>
      <c r="J977" s="2"/>
      <c r="K977" s="2"/>
      <c r="L977" s="2"/>
      <c r="M977" s="2"/>
      <c r="N977" s="3"/>
      <c r="O977" s="3"/>
      <c r="P977" s="3"/>
      <c r="Q977" s="1"/>
      <c r="R977" s="1"/>
      <c r="S977" s="1"/>
      <c r="T977" s="1"/>
      <c r="U977" s="1"/>
      <c r="V977" s="1"/>
      <c r="W977" s="1"/>
      <c r="X977" s="1"/>
      <c r="Y977" s="1"/>
      <c r="Z977" s="1"/>
      <c r="AA977" s="1"/>
      <c r="AB977" s="1"/>
      <c r="AC977" s="1"/>
      <c r="AD977" s="1"/>
      <c r="AE977" s="1"/>
      <c r="AF977" s="1"/>
      <c r="AG977" s="1"/>
      <c r="AH977" s="1"/>
      <c r="AI977" s="1"/>
      <c r="AJ977" s="1"/>
      <c r="AK977" s="1"/>
    </row>
    <row r="978" spans="1:37" ht="12.75" customHeight="1">
      <c r="A978" s="1"/>
      <c r="B978" s="1"/>
      <c r="C978" s="1"/>
      <c r="D978" s="1"/>
      <c r="E978" s="1"/>
      <c r="F978" s="2"/>
      <c r="G978" s="2"/>
      <c r="H978" s="2"/>
      <c r="I978" s="2"/>
      <c r="J978" s="2"/>
      <c r="K978" s="2"/>
      <c r="L978" s="2"/>
      <c r="M978" s="2"/>
      <c r="N978" s="3"/>
      <c r="O978" s="3"/>
      <c r="P978" s="3"/>
      <c r="Q978" s="1"/>
      <c r="R978" s="1"/>
      <c r="S978" s="1"/>
      <c r="T978" s="1"/>
      <c r="U978" s="1"/>
      <c r="V978" s="1"/>
      <c r="W978" s="1"/>
      <c r="X978" s="1"/>
      <c r="Y978" s="1"/>
      <c r="Z978" s="1"/>
      <c r="AA978" s="1"/>
      <c r="AB978" s="1"/>
      <c r="AC978" s="1"/>
      <c r="AD978" s="1"/>
      <c r="AE978" s="1"/>
      <c r="AF978" s="1"/>
      <c r="AG978" s="1"/>
      <c r="AH978" s="1"/>
      <c r="AI978" s="1"/>
      <c r="AJ978" s="1"/>
      <c r="AK978" s="1"/>
    </row>
    <row r="979" spans="1:37" ht="12.75" customHeight="1">
      <c r="A979" s="1"/>
      <c r="B979" s="1"/>
      <c r="C979" s="1"/>
      <c r="D979" s="1"/>
      <c r="E979" s="1"/>
      <c r="F979" s="2"/>
      <c r="G979" s="2"/>
      <c r="H979" s="2"/>
      <c r="I979" s="2"/>
      <c r="J979" s="2"/>
      <c r="K979" s="2"/>
      <c r="L979" s="2"/>
      <c r="M979" s="2"/>
      <c r="N979" s="3"/>
      <c r="O979" s="3"/>
      <c r="P979" s="3"/>
      <c r="Q979" s="1"/>
      <c r="R979" s="1"/>
      <c r="S979" s="1"/>
      <c r="T979" s="1"/>
      <c r="U979" s="1"/>
      <c r="V979" s="1"/>
      <c r="W979" s="1"/>
      <c r="X979" s="1"/>
      <c r="Y979" s="1"/>
      <c r="Z979" s="1"/>
      <c r="AA979" s="1"/>
      <c r="AB979" s="1"/>
      <c r="AC979" s="1"/>
      <c r="AD979" s="1"/>
      <c r="AE979" s="1"/>
      <c r="AF979" s="1"/>
      <c r="AG979" s="1"/>
      <c r="AH979" s="1"/>
      <c r="AI979" s="1"/>
      <c r="AJ979" s="1"/>
      <c r="AK979" s="1"/>
    </row>
    <row r="980" spans="1:37" ht="12.75" customHeight="1">
      <c r="A980" s="1"/>
      <c r="B980" s="1"/>
      <c r="C980" s="1"/>
      <c r="D980" s="1"/>
      <c r="E980" s="1"/>
      <c r="F980" s="2"/>
      <c r="G980" s="2"/>
      <c r="H980" s="2"/>
      <c r="I980" s="2"/>
      <c r="J980" s="2"/>
      <c r="K980" s="2"/>
      <c r="L980" s="2"/>
      <c r="M980" s="2"/>
      <c r="N980" s="3"/>
      <c r="O980" s="3"/>
      <c r="P980" s="3"/>
      <c r="Q980" s="1"/>
      <c r="R980" s="1"/>
      <c r="S980" s="1"/>
      <c r="T980" s="1"/>
      <c r="U980" s="1"/>
      <c r="V980" s="1"/>
      <c r="W980" s="1"/>
      <c r="X980" s="1"/>
      <c r="Y980" s="1"/>
      <c r="Z980" s="1"/>
      <c r="AA980" s="1"/>
      <c r="AB980" s="1"/>
      <c r="AC980" s="1"/>
      <c r="AD980" s="1"/>
      <c r="AE980" s="1"/>
      <c r="AF980" s="1"/>
      <c r="AG980" s="1"/>
      <c r="AH980" s="1"/>
      <c r="AI980" s="1"/>
      <c r="AJ980" s="1"/>
      <c r="AK980" s="1"/>
    </row>
    <row r="981" spans="1:37" ht="12.75" customHeight="1">
      <c r="A981" s="1"/>
      <c r="B981" s="1"/>
      <c r="C981" s="1"/>
      <c r="D981" s="1"/>
      <c r="E981" s="1"/>
      <c r="F981" s="2"/>
      <c r="G981" s="2"/>
      <c r="H981" s="2"/>
      <c r="I981" s="2"/>
      <c r="J981" s="2"/>
      <c r="K981" s="2"/>
      <c r="L981" s="2"/>
      <c r="M981" s="2"/>
      <c r="N981" s="3"/>
      <c r="O981" s="3"/>
      <c r="P981" s="3"/>
      <c r="Q981" s="1"/>
      <c r="R981" s="1"/>
      <c r="S981" s="1"/>
      <c r="T981" s="1"/>
      <c r="U981" s="1"/>
      <c r="V981" s="1"/>
      <c r="W981" s="1"/>
      <c r="X981" s="1"/>
      <c r="Y981" s="1"/>
      <c r="Z981" s="1"/>
      <c r="AA981" s="1"/>
      <c r="AB981" s="1"/>
      <c r="AC981" s="1"/>
      <c r="AD981" s="1"/>
      <c r="AE981" s="1"/>
      <c r="AF981" s="1"/>
      <c r="AG981" s="1"/>
      <c r="AH981" s="1"/>
      <c r="AI981" s="1"/>
      <c r="AJ981" s="1"/>
      <c r="AK981" s="1"/>
    </row>
    <row r="982" spans="1:37" ht="12.75" customHeight="1">
      <c r="A982" s="1"/>
      <c r="B982" s="1"/>
      <c r="C982" s="1"/>
      <c r="D982" s="1"/>
      <c r="E982" s="1"/>
      <c r="F982" s="2"/>
      <c r="G982" s="2"/>
      <c r="H982" s="2"/>
      <c r="I982" s="2"/>
      <c r="J982" s="2"/>
      <c r="K982" s="2"/>
      <c r="L982" s="2"/>
      <c r="M982" s="2"/>
      <c r="N982" s="3"/>
      <c r="O982" s="3"/>
      <c r="P982" s="3"/>
      <c r="Q982" s="1"/>
      <c r="R982" s="1"/>
      <c r="S982" s="1"/>
      <c r="T982" s="1"/>
      <c r="U982" s="1"/>
      <c r="V982" s="1"/>
      <c r="W982" s="1"/>
      <c r="X982" s="1"/>
      <c r="Y982" s="1"/>
      <c r="Z982" s="1"/>
      <c r="AA982" s="1"/>
      <c r="AB982" s="1"/>
      <c r="AC982" s="1"/>
      <c r="AD982" s="1"/>
      <c r="AE982" s="1"/>
      <c r="AF982" s="1"/>
      <c r="AG982" s="1"/>
      <c r="AH982" s="1"/>
      <c r="AI982" s="1"/>
      <c r="AJ982" s="1"/>
      <c r="AK982" s="1"/>
    </row>
    <row r="983" spans="1:37" ht="12.75" customHeight="1">
      <c r="A983" s="1"/>
      <c r="B983" s="1"/>
      <c r="C983" s="1"/>
      <c r="D983" s="1"/>
      <c r="E983" s="1"/>
      <c r="F983" s="2"/>
      <c r="G983" s="2"/>
      <c r="H983" s="2"/>
      <c r="I983" s="2"/>
      <c r="J983" s="2"/>
      <c r="K983" s="2"/>
      <c r="L983" s="2"/>
      <c r="M983" s="2"/>
      <c r="N983" s="3"/>
      <c r="O983" s="3"/>
      <c r="P983" s="3"/>
      <c r="Q983" s="1"/>
      <c r="R983" s="1"/>
      <c r="S983" s="1"/>
      <c r="T983" s="1"/>
      <c r="U983" s="1"/>
      <c r="V983" s="1"/>
      <c r="W983" s="1"/>
      <c r="X983" s="1"/>
      <c r="Y983" s="1"/>
      <c r="Z983" s="1"/>
      <c r="AA983" s="1"/>
      <c r="AB983" s="1"/>
      <c r="AC983" s="1"/>
      <c r="AD983" s="1"/>
      <c r="AE983" s="1"/>
      <c r="AF983" s="1"/>
      <c r="AG983" s="1"/>
      <c r="AH983" s="1"/>
      <c r="AI983" s="1"/>
      <c r="AJ983" s="1"/>
      <c r="AK983" s="1"/>
    </row>
    <row r="984" spans="1:37" ht="12.75" customHeight="1">
      <c r="A984" s="1"/>
      <c r="B984" s="1"/>
      <c r="C984" s="1"/>
      <c r="D984" s="1"/>
      <c r="E984" s="1"/>
      <c r="F984" s="2"/>
      <c r="G984" s="2"/>
      <c r="H984" s="2"/>
      <c r="I984" s="2"/>
      <c r="J984" s="2"/>
      <c r="K984" s="2"/>
      <c r="L984" s="2"/>
      <c r="M984" s="2"/>
      <c r="N984" s="3"/>
      <c r="O984" s="3"/>
      <c r="P984" s="3"/>
      <c r="Q984" s="1"/>
      <c r="R984" s="1"/>
      <c r="S984" s="1"/>
      <c r="T984" s="1"/>
      <c r="U984" s="1"/>
      <c r="V984" s="1"/>
      <c r="W984" s="1"/>
      <c r="X984" s="1"/>
      <c r="Y984" s="1"/>
      <c r="Z984" s="1"/>
      <c r="AA984" s="1"/>
      <c r="AB984" s="1"/>
      <c r="AC984" s="1"/>
      <c r="AD984" s="1"/>
      <c r="AE984" s="1"/>
      <c r="AF984" s="1"/>
      <c r="AG984" s="1"/>
      <c r="AH984" s="1"/>
      <c r="AI984" s="1"/>
      <c r="AJ984" s="1"/>
      <c r="AK984" s="1"/>
    </row>
    <row r="985" spans="1:37" ht="12.75" customHeight="1">
      <c r="A985" s="1"/>
      <c r="B985" s="1"/>
      <c r="C985" s="1"/>
      <c r="D985" s="1"/>
      <c r="E985" s="1"/>
      <c r="F985" s="2"/>
      <c r="G985" s="2"/>
      <c r="H985" s="2"/>
      <c r="I985" s="2"/>
      <c r="J985" s="2"/>
      <c r="K985" s="2"/>
      <c r="L985" s="2"/>
      <c r="M985" s="2"/>
      <c r="N985" s="3"/>
      <c r="O985" s="3"/>
      <c r="P985" s="3"/>
      <c r="Q985" s="1"/>
      <c r="R985" s="1"/>
      <c r="S985" s="1"/>
      <c r="T985" s="1"/>
      <c r="U985" s="1"/>
      <c r="V985" s="1"/>
      <c r="W985" s="1"/>
      <c r="X985" s="1"/>
      <c r="Y985" s="1"/>
      <c r="Z985" s="1"/>
      <c r="AA985" s="1"/>
      <c r="AB985" s="1"/>
      <c r="AC985" s="1"/>
      <c r="AD985" s="1"/>
      <c r="AE985" s="1"/>
      <c r="AF985" s="1"/>
      <c r="AG985" s="1"/>
      <c r="AH985" s="1"/>
      <c r="AI985" s="1"/>
      <c r="AJ985" s="1"/>
      <c r="AK985" s="1"/>
    </row>
    <row r="986" spans="1:37" ht="12.75" customHeight="1">
      <c r="A986" s="1"/>
      <c r="B986" s="1"/>
      <c r="C986" s="1"/>
      <c r="D986" s="1"/>
      <c r="E986" s="1"/>
      <c r="F986" s="2"/>
      <c r="G986" s="2"/>
      <c r="H986" s="2"/>
      <c r="I986" s="2"/>
      <c r="J986" s="2"/>
      <c r="K986" s="2"/>
      <c r="L986" s="2"/>
      <c r="M986" s="2"/>
      <c r="N986" s="3"/>
      <c r="O986" s="3"/>
      <c r="P986" s="3"/>
      <c r="Q986" s="1"/>
      <c r="R986" s="1"/>
      <c r="S986" s="1"/>
      <c r="T986" s="1"/>
      <c r="U986" s="1"/>
      <c r="V986" s="1"/>
      <c r="W986" s="1"/>
      <c r="X986" s="1"/>
      <c r="Y986" s="1"/>
      <c r="Z986" s="1"/>
      <c r="AA986" s="1"/>
      <c r="AB986" s="1"/>
      <c r="AC986" s="1"/>
      <c r="AD986" s="1"/>
      <c r="AE986" s="1"/>
      <c r="AF986" s="1"/>
      <c r="AG986" s="1"/>
      <c r="AH986" s="1"/>
      <c r="AI986" s="1"/>
      <c r="AJ986" s="1"/>
      <c r="AK986" s="1"/>
    </row>
    <row r="987" spans="1:37" ht="12.75" customHeight="1">
      <c r="A987" s="1"/>
      <c r="B987" s="1"/>
      <c r="C987" s="1"/>
      <c r="D987" s="1"/>
      <c r="E987" s="1"/>
      <c r="F987" s="2"/>
      <c r="G987" s="2"/>
      <c r="H987" s="2"/>
      <c r="I987" s="2"/>
      <c r="J987" s="2"/>
      <c r="K987" s="2"/>
      <c r="L987" s="2"/>
      <c r="M987" s="2"/>
      <c r="N987" s="3"/>
      <c r="O987" s="3"/>
      <c r="P987" s="3"/>
      <c r="Q987" s="1"/>
      <c r="R987" s="1"/>
      <c r="S987" s="1"/>
      <c r="T987" s="1"/>
      <c r="U987" s="1"/>
      <c r="V987" s="1"/>
      <c r="W987" s="1"/>
      <c r="X987" s="1"/>
      <c r="Y987" s="1"/>
      <c r="Z987" s="1"/>
      <c r="AA987" s="1"/>
      <c r="AB987" s="1"/>
      <c r="AC987" s="1"/>
      <c r="AD987" s="1"/>
      <c r="AE987" s="1"/>
      <c r="AF987" s="1"/>
      <c r="AG987" s="1"/>
      <c r="AH987" s="1"/>
      <c r="AI987" s="1"/>
      <c r="AJ987" s="1"/>
      <c r="AK987" s="1"/>
    </row>
    <row r="988" spans="1:37" ht="12.75" customHeight="1">
      <c r="A988" s="1"/>
      <c r="B988" s="1"/>
      <c r="C988" s="1"/>
      <c r="D988" s="1"/>
      <c r="E988" s="1"/>
      <c r="F988" s="2"/>
      <c r="G988" s="2"/>
      <c r="H988" s="2"/>
      <c r="I988" s="2"/>
      <c r="J988" s="2"/>
      <c r="K988" s="2"/>
      <c r="L988" s="2"/>
      <c r="M988" s="2"/>
      <c r="N988" s="3"/>
      <c r="O988" s="3"/>
      <c r="P988" s="3"/>
      <c r="Q988" s="1"/>
      <c r="R988" s="1"/>
      <c r="S988" s="1"/>
      <c r="T988" s="1"/>
      <c r="U988" s="1"/>
      <c r="V988" s="1"/>
      <c r="W988" s="1"/>
      <c r="X988" s="1"/>
      <c r="Y988" s="1"/>
      <c r="Z988" s="1"/>
      <c r="AA988" s="1"/>
      <c r="AB988" s="1"/>
      <c r="AC988" s="1"/>
      <c r="AD988" s="1"/>
      <c r="AE988" s="1"/>
      <c r="AF988" s="1"/>
      <c r="AG988" s="1"/>
      <c r="AH988" s="1"/>
      <c r="AI988" s="1"/>
      <c r="AJ988" s="1"/>
      <c r="AK988" s="1"/>
    </row>
    <row r="989" spans="1:37" ht="12.75" customHeight="1">
      <c r="A989" s="1"/>
      <c r="B989" s="1"/>
      <c r="C989" s="1"/>
      <c r="D989" s="1"/>
      <c r="E989" s="1"/>
      <c r="F989" s="2"/>
      <c r="G989" s="2"/>
      <c r="H989" s="2"/>
      <c r="I989" s="2"/>
      <c r="J989" s="2"/>
      <c r="K989" s="2"/>
      <c r="L989" s="2"/>
      <c r="M989" s="2"/>
      <c r="N989" s="3"/>
      <c r="O989" s="3"/>
      <c r="P989" s="3"/>
      <c r="Q989" s="1"/>
      <c r="R989" s="1"/>
      <c r="S989" s="1"/>
      <c r="T989" s="1"/>
      <c r="U989" s="1"/>
      <c r="V989" s="1"/>
      <c r="W989" s="1"/>
      <c r="X989" s="1"/>
      <c r="Y989" s="1"/>
      <c r="Z989" s="1"/>
      <c r="AA989" s="1"/>
      <c r="AB989" s="1"/>
      <c r="AC989" s="1"/>
      <c r="AD989" s="1"/>
      <c r="AE989" s="1"/>
      <c r="AF989" s="1"/>
      <c r="AG989" s="1"/>
      <c r="AH989" s="1"/>
      <c r="AI989" s="1"/>
      <c r="AJ989" s="1"/>
      <c r="AK989" s="1"/>
    </row>
    <row r="990" spans="1:37" ht="12.75" customHeight="1">
      <c r="A990" s="1"/>
      <c r="B990" s="1"/>
      <c r="C990" s="1"/>
      <c r="D990" s="1"/>
      <c r="E990" s="1"/>
      <c r="F990" s="2"/>
      <c r="G990" s="2"/>
      <c r="H990" s="2"/>
      <c r="I990" s="2"/>
      <c r="J990" s="2"/>
      <c r="K990" s="2"/>
      <c r="L990" s="2"/>
      <c r="M990" s="2"/>
      <c r="N990" s="3"/>
      <c r="O990" s="3"/>
      <c r="P990" s="3"/>
      <c r="Q990" s="1"/>
      <c r="R990" s="1"/>
      <c r="S990" s="1"/>
      <c r="T990" s="1"/>
      <c r="U990" s="1"/>
      <c r="V990" s="1"/>
      <c r="W990" s="1"/>
      <c r="X990" s="1"/>
      <c r="Y990" s="1"/>
      <c r="Z990" s="1"/>
      <c r="AA990" s="1"/>
      <c r="AB990" s="1"/>
      <c r="AC990" s="1"/>
      <c r="AD990" s="1"/>
      <c r="AE990" s="1"/>
      <c r="AF990" s="1"/>
      <c r="AG990" s="1"/>
      <c r="AH990" s="1"/>
      <c r="AI990" s="1"/>
      <c r="AJ990" s="1"/>
      <c r="AK990" s="1"/>
    </row>
    <row r="991" spans="1:37" ht="12.75" customHeight="1">
      <c r="A991" s="1"/>
      <c r="B991" s="1"/>
      <c r="C991" s="1"/>
      <c r="D991" s="1"/>
      <c r="E991" s="1"/>
      <c r="F991" s="2"/>
      <c r="G991" s="2"/>
      <c r="H991" s="2"/>
      <c r="I991" s="2"/>
      <c r="J991" s="2"/>
      <c r="K991" s="2"/>
      <c r="L991" s="2"/>
      <c r="M991" s="2"/>
      <c r="N991" s="3"/>
      <c r="O991" s="3"/>
      <c r="P991" s="3"/>
      <c r="Q991" s="1"/>
      <c r="R991" s="1"/>
      <c r="S991" s="1"/>
      <c r="T991" s="1"/>
      <c r="U991" s="1"/>
      <c r="V991" s="1"/>
      <c r="W991" s="1"/>
      <c r="X991" s="1"/>
      <c r="Y991" s="1"/>
      <c r="Z991" s="1"/>
      <c r="AA991" s="1"/>
      <c r="AB991" s="1"/>
      <c r="AC991" s="1"/>
      <c r="AD991" s="1"/>
      <c r="AE991" s="1"/>
      <c r="AF991" s="1"/>
      <c r="AG991" s="1"/>
      <c r="AH991" s="1"/>
      <c r="AI991" s="1"/>
      <c r="AJ991" s="1"/>
      <c r="AK991" s="1"/>
    </row>
    <row r="992" spans="1:37" ht="12.75" customHeight="1">
      <c r="A992" s="1"/>
      <c r="B992" s="1"/>
      <c r="C992" s="1"/>
      <c r="D992" s="1"/>
      <c r="E992" s="1"/>
      <c r="F992" s="2"/>
      <c r="G992" s="2"/>
      <c r="H992" s="2"/>
      <c r="I992" s="2"/>
      <c r="J992" s="2"/>
      <c r="K992" s="2"/>
      <c r="L992" s="2"/>
      <c r="M992" s="2"/>
      <c r="N992" s="3"/>
      <c r="O992" s="3"/>
      <c r="P992" s="3"/>
      <c r="Q992" s="1"/>
      <c r="R992" s="1"/>
      <c r="S992" s="1"/>
      <c r="T992" s="1"/>
      <c r="U992" s="1"/>
      <c r="V992" s="1"/>
      <c r="W992" s="1"/>
      <c r="X992" s="1"/>
      <c r="Y992" s="1"/>
      <c r="Z992" s="1"/>
      <c r="AA992" s="1"/>
      <c r="AB992" s="1"/>
      <c r="AC992" s="1"/>
      <c r="AD992" s="1"/>
      <c r="AE992" s="1"/>
      <c r="AF992" s="1"/>
      <c r="AG992" s="1"/>
      <c r="AH992" s="1"/>
      <c r="AI992" s="1"/>
      <c r="AJ992" s="1"/>
      <c r="AK992" s="1"/>
    </row>
    <row r="993" spans="1:37" ht="12.75" customHeight="1">
      <c r="A993" s="1"/>
      <c r="B993" s="1"/>
      <c r="C993" s="1"/>
      <c r="D993" s="1"/>
      <c r="E993" s="1"/>
      <c r="F993" s="2"/>
      <c r="G993" s="2"/>
      <c r="H993" s="2"/>
      <c r="I993" s="2"/>
      <c r="J993" s="2"/>
      <c r="K993" s="2"/>
      <c r="L993" s="2"/>
      <c r="M993" s="2"/>
      <c r="N993" s="3"/>
      <c r="O993" s="3"/>
      <c r="P993" s="3"/>
      <c r="Q993" s="1"/>
      <c r="R993" s="1"/>
      <c r="S993" s="1"/>
      <c r="T993" s="1"/>
      <c r="U993" s="1"/>
      <c r="V993" s="1"/>
      <c r="W993" s="1"/>
      <c r="X993" s="1"/>
      <c r="Y993" s="1"/>
      <c r="Z993" s="1"/>
      <c r="AA993" s="1"/>
      <c r="AB993" s="1"/>
      <c r="AC993" s="1"/>
      <c r="AD993" s="1"/>
      <c r="AE993" s="1"/>
      <c r="AF993" s="1"/>
      <c r="AG993" s="1"/>
      <c r="AH993" s="1"/>
      <c r="AI993" s="1"/>
      <c r="AJ993" s="1"/>
      <c r="AK993" s="1"/>
    </row>
    <row r="994" spans="1:37" ht="12.75" customHeight="1">
      <c r="A994" s="1"/>
      <c r="B994" s="1"/>
      <c r="C994" s="1"/>
      <c r="D994" s="1"/>
      <c r="E994" s="1"/>
      <c r="F994" s="2"/>
      <c r="G994" s="2"/>
      <c r="H994" s="2"/>
      <c r="I994" s="2"/>
      <c r="J994" s="2"/>
      <c r="K994" s="2"/>
      <c r="L994" s="2"/>
      <c r="M994" s="2"/>
      <c r="N994" s="3"/>
      <c r="O994" s="3"/>
      <c r="P994" s="3"/>
      <c r="Q994" s="1"/>
      <c r="R994" s="1"/>
      <c r="S994" s="1"/>
      <c r="T994" s="1"/>
      <c r="U994" s="1"/>
      <c r="V994" s="1"/>
      <c r="W994" s="1"/>
      <c r="X994" s="1"/>
      <c r="Y994" s="1"/>
      <c r="Z994" s="1"/>
      <c r="AA994" s="1"/>
      <c r="AB994" s="1"/>
      <c r="AC994" s="1"/>
      <c r="AD994" s="1"/>
      <c r="AE994" s="1"/>
      <c r="AF994" s="1"/>
      <c r="AG994" s="1"/>
      <c r="AH994" s="1"/>
      <c r="AI994" s="1"/>
      <c r="AJ994" s="1"/>
      <c r="AK994" s="1"/>
    </row>
    <row r="995" spans="1:37" ht="12.75" customHeight="1">
      <c r="A995" s="1"/>
      <c r="B995" s="1"/>
      <c r="C995" s="1"/>
      <c r="D995" s="1"/>
      <c r="E995" s="1"/>
      <c r="F995" s="2"/>
      <c r="G995" s="2"/>
      <c r="H995" s="2"/>
      <c r="I995" s="2"/>
      <c r="J995" s="2"/>
      <c r="K995" s="2"/>
      <c r="L995" s="2"/>
      <c r="M995" s="2"/>
      <c r="N995" s="3"/>
      <c r="O995" s="3"/>
      <c r="P995" s="3"/>
      <c r="Q995" s="1"/>
      <c r="R995" s="1"/>
      <c r="S995" s="1"/>
      <c r="T995" s="1"/>
      <c r="U995" s="1"/>
      <c r="V995" s="1"/>
      <c r="W995" s="1"/>
      <c r="X995" s="1"/>
      <c r="Y995" s="1"/>
      <c r="Z995" s="1"/>
      <c r="AA995" s="1"/>
      <c r="AB995" s="1"/>
      <c r="AC995" s="1"/>
      <c r="AD995" s="1"/>
      <c r="AE995" s="1"/>
      <c r="AF995" s="1"/>
      <c r="AG995" s="1"/>
      <c r="AH995" s="1"/>
      <c r="AI995" s="1"/>
      <c r="AJ995" s="1"/>
      <c r="AK995" s="1"/>
    </row>
    <row r="996" spans="1:37" ht="12.75" customHeight="1">
      <c r="A996" s="1"/>
      <c r="B996" s="1"/>
      <c r="C996" s="1"/>
      <c r="D996" s="1"/>
      <c r="E996" s="1"/>
      <c r="F996" s="2"/>
      <c r="G996" s="2"/>
      <c r="H996" s="2"/>
      <c r="I996" s="2"/>
      <c r="J996" s="2"/>
      <c r="K996" s="2"/>
      <c r="L996" s="2"/>
      <c r="M996" s="2"/>
      <c r="N996" s="3"/>
      <c r="O996" s="3"/>
      <c r="P996" s="3"/>
      <c r="Q996" s="1"/>
      <c r="R996" s="1"/>
      <c r="S996" s="1"/>
      <c r="T996" s="1"/>
      <c r="U996" s="1"/>
      <c r="V996" s="1"/>
      <c r="W996" s="1"/>
      <c r="X996" s="1"/>
      <c r="Y996" s="1"/>
      <c r="Z996" s="1"/>
      <c r="AA996" s="1"/>
      <c r="AB996" s="1"/>
      <c r="AC996" s="1"/>
      <c r="AD996" s="1"/>
      <c r="AE996" s="1"/>
      <c r="AF996" s="1"/>
      <c r="AG996" s="1"/>
      <c r="AH996" s="1"/>
      <c r="AI996" s="1"/>
      <c r="AJ996" s="1"/>
      <c r="AK996" s="1"/>
    </row>
    <row r="997" spans="1:37" ht="12.75" customHeight="1">
      <c r="A997" s="1"/>
      <c r="B997" s="1"/>
      <c r="C997" s="1"/>
      <c r="D997" s="1"/>
      <c r="E997" s="1"/>
      <c r="F997" s="2"/>
      <c r="G997" s="2"/>
      <c r="H997" s="2"/>
      <c r="I997" s="2"/>
      <c r="J997" s="2"/>
      <c r="K997" s="2"/>
      <c r="L997" s="2"/>
      <c r="M997" s="2"/>
      <c r="N997" s="3"/>
      <c r="O997" s="3"/>
      <c r="P997" s="3"/>
      <c r="Q997" s="1"/>
      <c r="R997" s="1"/>
      <c r="S997" s="1"/>
      <c r="T997" s="1"/>
      <c r="U997" s="1"/>
      <c r="V997" s="1"/>
      <c r="W997" s="1"/>
      <c r="X997" s="1"/>
      <c r="Y997" s="1"/>
      <c r="Z997" s="1"/>
      <c r="AA997" s="1"/>
      <c r="AB997" s="1"/>
      <c r="AC997" s="1"/>
      <c r="AD997" s="1"/>
      <c r="AE997" s="1"/>
      <c r="AF997" s="1"/>
      <c r="AG997" s="1"/>
      <c r="AH997" s="1"/>
      <c r="AI997" s="1"/>
      <c r="AJ997" s="1"/>
      <c r="AK997" s="1"/>
    </row>
    <row r="998" spans="1:37" ht="12.75" customHeight="1">
      <c r="A998" s="1"/>
      <c r="B998" s="1"/>
      <c r="C998" s="1"/>
      <c r="D998" s="1"/>
      <c r="E998" s="1"/>
      <c r="F998" s="2"/>
      <c r="G998" s="2"/>
      <c r="H998" s="2"/>
      <c r="I998" s="2"/>
      <c r="J998" s="2"/>
      <c r="K998" s="2"/>
      <c r="L998" s="2"/>
      <c r="M998" s="2"/>
      <c r="N998" s="3"/>
      <c r="O998" s="3"/>
      <c r="P998" s="3"/>
      <c r="Q998" s="1"/>
      <c r="R998" s="1"/>
      <c r="S998" s="1"/>
      <c r="T998" s="1"/>
      <c r="U998" s="1"/>
      <c r="V998" s="1"/>
      <c r="W998" s="1"/>
      <c r="X998" s="1"/>
      <c r="Y998" s="1"/>
      <c r="Z998" s="1"/>
      <c r="AA998" s="1"/>
      <c r="AB998" s="1"/>
      <c r="AC998" s="1"/>
      <c r="AD998" s="1"/>
      <c r="AE998" s="1"/>
      <c r="AF998" s="1"/>
      <c r="AG998" s="1"/>
      <c r="AH998" s="1"/>
      <c r="AI998" s="1"/>
      <c r="AJ998" s="1"/>
      <c r="AK998" s="1"/>
    </row>
    <row r="999" spans="1:37" ht="12.75" customHeight="1">
      <c r="A999" s="1"/>
      <c r="B999" s="1"/>
      <c r="C999" s="1"/>
      <c r="D999" s="1"/>
      <c r="E999" s="1"/>
      <c r="F999" s="2"/>
      <c r="G999" s="2"/>
      <c r="H999" s="2"/>
      <c r="I999" s="2"/>
      <c r="J999" s="2"/>
      <c r="K999" s="2"/>
      <c r="L999" s="2"/>
      <c r="M999" s="2"/>
      <c r="N999" s="3"/>
      <c r="O999" s="3"/>
      <c r="P999" s="3"/>
      <c r="Q999" s="1"/>
      <c r="R999" s="1"/>
      <c r="S999" s="1"/>
      <c r="T999" s="1"/>
      <c r="U999" s="1"/>
      <c r="V999" s="1"/>
      <c r="W999" s="1"/>
      <c r="X999" s="1"/>
      <c r="Y999" s="1"/>
      <c r="Z999" s="1"/>
      <c r="AA999" s="1"/>
      <c r="AB999" s="1"/>
      <c r="AC999" s="1"/>
      <c r="AD999" s="1"/>
      <c r="AE999" s="1"/>
      <c r="AF999" s="1"/>
      <c r="AG999" s="1"/>
      <c r="AH999" s="1"/>
      <c r="AI999" s="1"/>
      <c r="AJ999" s="1"/>
      <c r="AK999" s="1"/>
    </row>
    <row r="1000" spans="1:37" ht="12.75" customHeight="1">
      <c r="A1000" s="1"/>
      <c r="B1000" s="1"/>
      <c r="C1000" s="1"/>
      <c r="D1000" s="1"/>
      <c r="E1000" s="1"/>
      <c r="F1000" s="2"/>
      <c r="G1000" s="2"/>
      <c r="H1000" s="2"/>
      <c r="I1000" s="2"/>
      <c r="J1000" s="2"/>
      <c r="K1000" s="2"/>
      <c r="L1000" s="2"/>
      <c r="M1000" s="2"/>
      <c r="N1000" s="3"/>
      <c r="O1000" s="3"/>
      <c r="P1000" s="3"/>
      <c r="Q1000" s="1"/>
      <c r="R1000" s="1"/>
      <c r="S1000" s="1"/>
      <c r="T1000" s="1"/>
      <c r="U1000" s="1"/>
      <c r="V1000" s="1"/>
      <c r="W1000" s="1"/>
      <c r="X1000" s="1"/>
      <c r="Y1000" s="1"/>
      <c r="Z1000" s="1"/>
      <c r="AA1000" s="1"/>
      <c r="AB1000" s="1"/>
      <c r="AC1000" s="1"/>
      <c r="AD1000" s="1"/>
      <c r="AE1000" s="1"/>
      <c r="AF1000" s="1"/>
      <c r="AG1000" s="1"/>
      <c r="AH1000" s="1"/>
      <c r="AI1000" s="1"/>
      <c r="AJ1000" s="1"/>
      <c r="AK1000" s="1"/>
    </row>
  </sheetData>
  <mergeCells count="32">
    <mergeCell ref="D1:P1"/>
    <mergeCell ref="B1:C1"/>
    <mergeCell ref="E6:F6"/>
    <mergeCell ref="B23:Q23"/>
    <mergeCell ref="B24:Q24"/>
    <mergeCell ref="B30:Q30"/>
    <mergeCell ref="B2:P3"/>
    <mergeCell ref="G4:H4"/>
    <mergeCell ref="I4:P4"/>
    <mergeCell ref="B5:C5"/>
    <mergeCell ref="D5:F5"/>
    <mergeCell ref="G5:K5"/>
    <mergeCell ref="B38:D38"/>
    <mergeCell ref="B39:D39"/>
    <mergeCell ref="B40:D40"/>
    <mergeCell ref="B41:D41"/>
    <mergeCell ref="B6:C6"/>
    <mergeCell ref="L5:P5"/>
    <mergeCell ref="B94:Q94"/>
    <mergeCell ref="M45:Q45"/>
    <mergeCell ref="G47:O47"/>
    <mergeCell ref="B48:Q48"/>
    <mergeCell ref="Q50:Q51"/>
    <mergeCell ref="Q52:Q54"/>
    <mergeCell ref="Q55:Q57"/>
    <mergeCell ref="Q58:Q75"/>
    <mergeCell ref="B42:D42"/>
    <mergeCell ref="B43:D43"/>
    <mergeCell ref="B44:Q44"/>
    <mergeCell ref="B45:L45"/>
    <mergeCell ref="Q76:Q93"/>
    <mergeCell ref="B37:Q37"/>
  </mergeCells>
  <conditionalFormatting sqref="H7:H22 H25:H29 H31:H36 H38:H43 H50:H93">
    <cfRule type="expression" dxfId="77" priority="1" stopIfTrue="1">
      <formula>$F7&gt;=2</formula>
    </cfRule>
  </conditionalFormatting>
  <conditionalFormatting sqref="G7:G22 G25:G29 G31:G36 G38:G43 G50:G93">
    <cfRule type="expression" dxfId="76" priority="2" stopIfTrue="1">
      <formula>$F7&gt;=1</formula>
    </cfRule>
  </conditionalFormatting>
  <conditionalFormatting sqref="I7:I22 I25:I29 I31:I36 I38:I43 I50:I93">
    <cfRule type="expression" dxfId="75" priority="3" stopIfTrue="1">
      <formula>$F7&gt;=3</formula>
    </cfRule>
  </conditionalFormatting>
  <conditionalFormatting sqref="J7:J22 J25:J29 J31:J36 J38:J43 J50:J93">
    <cfRule type="expression" dxfId="74" priority="4" stopIfTrue="1">
      <formula>$F7&gt;=4</formula>
    </cfRule>
  </conditionalFormatting>
  <conditionalFormatting sqref="K7:K22 K25:K29 K31:K36 K38:K43 K50:K93">
    <cfRule type="expression" dxfId="73" priority="5" stopIfTrue="1">
      <formula>$F7&gt;=5</formula>
    </cfRule>
  </conditionalFormatting>
  <conditionalFormatting sqref="L7:L22 L25:L29 L31:L36 L38:L43 L50:L93">
    <cfRule type="expression" dxfId="72" priority="6" stopIfTrue="1">
      <formula>$F7&gt;=6</formula>
    </cfRule>
  </conditionalFormatting>
  <conditionalFormatting sqref="M7:M22 M25:M29 M31:M36 M38:M43 M50:M93">
    <cfRule type="expression" dxfId="71" priority="7" stopIfTrue="1">
      <formula>$F7&gt;=7</formula>
    </cfRule>
  </conditionalFormatting>
  <conditionalFormatting sqref="N7:N22 N25:N29 N31:N36 N38:N43 N50:N93">
    <cfRule type="expression" dxfId="70" priority="8" stopIfTrue="1">
      <formula>$F7&gt;=8</formula>
    </cfRule>
  </conditionalFormatting>
  <conditionalFormatting sqref="O7:O22 O25:O29 O31:O36 O38:O43 O50:O93">
    <cfRule type="expression" dxfId="69" priority="9" stopIfTrue="1">
      <formula>$F7&gt;=9</formula>
    </cfRule>
  </conditionalFormatting>
  <conditionalFormatting sqref="P7:P22 P25:P29 P31:P36 P38:P43 P50:P93">
    <cfRule type="expression" dxfId="68" priority="10" stopIfTrue="1">
      <formula>$F7&gt;=10</formula>
    </cfRule>
  </conditionalFormatting>
  <conditionalFormatting sqref="Q25 Q31 Q33:Q34">
    <cfRule type="expression" dxfId="67" priority="11" stopIfTrue="1">
      <formula>F25&gt;7</formula>
    </cfRule>
  </conditionalFormatting>
  <conditionalFormatting sqref="Q50:Q51">
    <cfRule type="expression" dxfId="66" priority="12" stopIfTrue="1">
      <formula>AVERAGE(F50:F51)&gt;7</formula>
    </cfRule>
  </conditionalFormatting>
  <conditionalFormatting sqref="Q50:Q51">
    <cfRule type="expression" dxfId="65" priority="13" stopIfTrue="1">
      <formula>AVERAGE(F50:F51)&lt;4</formula>
    </cfRule>
  </conditionalFormatting>
  <conditionalFormatting sqref="D50:D93">
    <cfRule type="expression" dxfId="64" priority="14" stopIfTrue="1">
      <formula>F50&gt;7</formula>
    </cfRule>
  </conditionalFormatting>
  <conditionalFormatting sqref="D50:D93">
    <cfRule type="expression" dxfId="63" priority="15" stopIfTrue="1">
      <formula>F50&lt;4</formula>
    </cfRule>
  </conditionalFormatting>
  <conditionalFormatting sqref="D27:D28 D35:D36">
    <cfRule type="expression" dxfId="62" priority="16" stopIfTrue="1">
      <formula>F27&lt;4</formula>
    </cfRule>
  </conditionalFormatting>
  <conditionalFormatting sqref="Q16 Q26:Q28 Q32 Q35:Q36 Q38:S43 R44:S44">
    <cfRule type="expression" dxfId="61" priority="17" stopIfTrue="1">
      <formula>F16&gt;7</formula>
    </cfRule>
  </conditionalFormatting>
  <conditionalFormatting sqref="B38:D39">
    <cfRule type="expression" dxfId="60" priority="18" stopIfTrue="1">
      <formula>F38&lt;4</formula>
    </cfRule>
  </conditionalFormatting>
  <conditionalFormatting sqref="D8">
    <cfRule type="expression" dxfId="59" priority="19" stopIfTrue="1">
      <formula>F8&lt;4</formula>
    </cfRule>
  </conditionalFormatting>
  <conditionalFormatting sqref="B40:D43">
    <cfRule type="expression" dxfId="58" priority="20" stopIfTrue="1">
      <formula>F40&lt;4</formula>
    </cfRule>
  </conditionalFormatting>
  <conditionalFormatting sqref="D26 D31:D34">
    <cfRule type="expression" dxfId="57" priority="21" stopIfTrue="1">
      <formula>F26&lt;4</formula>
    </cfRule>
  </conditionalFormatting>
  <conditionalFormatting sqref="G47:O47">
    <cfRule type="expression" dxfId="56" priority="22" stopIfTrue="1">
      <formula>$G$4&gt;12</formula>
    </cfRule>
  </conditionalFormatting>
  <conditionalFormatting sqref="Q52:Q54">
    <cfRule type="expression" dxfId="55" priority="23" stopIfTrue="1">
      <formula>AVERAGE($F$52:$F$54&gt;7)</formula>
    </cfRule>
  </conditionalFormatting>
  <conditionalFormatting sqref="Q52:Q54">
    <cfRule type="expression" dxfId="54" priority="24" stopIfTrue="1">
      <formula>AVERAGE($F$52:$F$54&lt;4)</formula>
    </cfRule>
  </conditionalFormatting>
  <conditionalFormatting sqref="Q55:Q57">
    <cfRule type="expression" dxfId="53" priority="25" stopIfTrue="1">
      <formula>AVERAGE($F$55:$F$57)&gt;7</formula>
    </cfRule>
  </conditionalFormatting>
  <conditionalFormatting sqref="Q55:Q57">
    <cfRule type="expression" dxfId="52" priority="26" stopIfTrue="1">
      <formula>AVERAGE($F$55:$F$57)&lt;4</formula>
    </cfRule>
  </conditionalFormatting>
  <conditionalFormatting sqref="Q58:Q75">
    <cfRule type="expression" dxfId="51" priority="27" stopIfTrue="1">
      <formula>AVERAGE($F$58:$F$75)&gt;7</formula>
    </cfRule>
  </conditionalFormatting>
  <conditionalFormatting sqref="Q58:Q75">
    <cfRule type="expression" dxfId="50" priority="28" stopIfTrue="1">
      <formula>AVERAGE($F$58:$F$75)&lt;4</formula>
    </cfRule>
  </conditionalFormatting>
  <conditionalFormatting sqref="Q76:Q93">
    <cfRule type="expression" dxfId="49" priority="29" stopIfTrue="1">
      <formula>AVERAGE($F$76:$F$93)&gt;7</formula>
    </cfRule>
  </conditionalFormatting>
  <conditionalFormatting sqref="Q76:Q93">
    <cfRule type="expression" dxfId="48" priority="30" stopIfTrue="1">
      <formula>AVERAGE($F$76:$F$93)&lt;4</formula>
    </cfRule>
  </conditionalFormatting>
  <conditionalFormatting sqref="Q7">
    <cfRule type="expression" dxfId="47" priority="31" stopIfTrue="1">
      <formula>$F$7&gt;7</formula>
    </cfRule>
  </conditionalFormatting>
  <conditionalFormatting sqref="Q8">
    <cfRule type="expression" dxfId="46" priority="32" stopIfTrue="1">
      <formula>$F$8&gt;7</formula>
    </cfRule>
  </conditionalFormatting>
  <conditionalFormatting sqref="Q9">
    <cfRule type="expression" dxfId="45" priority="33" stopIfTrue="1">
      <formula>$F$9&gt;7</formula>
    </cfRule>
  </conditionalFormatting>
  <conditionalFormatting sqref="Q10">
    <cfRule type="expression" dxfId="44" priority="34" stopIfTrue="1">
      <formula>$F$10&gt;7</formula>
    </cfRule>
  </conditionalFormatting>
  <conditionalFormatting sqref="Q11">
    <cfRule type="expression" dxfId="43" priority="35" stopIfTrue="1">
      <formula>$F$11&gt;7</formula>
    </cfRule>
  </conditionalFormatting>
  <conditionalFormatting sqref="D7">
    <cfRule type="expression" dxfId="42" priority="36" stopIfTrue="1">
      <formula>$F$7&lt;4</formula>
    </cfRule>
  </conditionalFormatting>
  <conditionalFormatting sqref="Q12">
    <cfRule type="expression" dxfId="41" priority="37" stopIfTrue="1">
      <formula>$F$12&gt;7</formula>
    </cfRule>
  </conditionalFormatting>
  <conditionalFormatting sqref="Q13">
    <cfRule type="expression" dxfId="40" priority="38" stopIfTrue="1">
      <formula>$F$13&gt;7</formula>
    </cfRule>
  </conditionalFormatting>
  <conditionalFormatting sqref="Q15">
    <cfRule type="expression" dxfId="39" priority="39" stopIfTrue="1">
      <formula>$F$15&gt;7</formula>
    </cfRule>
  </conditionalFormatting>
  <conditionalFormatting sqref="Q17">
    <cfRule type="expression" dxfId="38" priority="40" stopIfTrue="1">
      <formula>$F$17&gt;7</formula>
    </cfRule>
  </conditionalFormatting>
  <conditionalFormatting sqref="Q18">
    <cfRule type="expression" dxfId="37" priority="41" stopIfTrue="1">
      <formula>$F$18&gt;7</formula>
    </cfRule>
  </conditionalFormatting>
  <conditionalFormatting sqref="Q14">
    <cfRule type="expression" dxfId="36" priority="42" stopIfTrue="1">
      <formula>$F$14&gt;7</formula>
    </cfRule>
  </conditionalFormatting>
  <conditionalFormatting sqref="Q19">
    <cfRule type="expression" dxfId="35" priority="43" stopIfTrue="1">
      <formula>$F$19&gt;7</formula>
    </cfRule>
  </conditionalFormatting>
  <conditionalFormatting sqref="Q20">
    <cfRule type="expression" dxfId="34" priority="44" stopIfTrue="1">
      <formula>$F$20&gt;7</formula>
    </cfRule>
  </conditionalFormatting>
  <conditionalFormatting sqref="Q21">
    <cfRule type="expression" dxfId="33" priority="45" stopIfTrue="1">
      <formula>$F$21&gt;7</formula>
    </cfRule>
  </conditionalFormatting>
  <conditionalFormatting sqref="Q22">
    <cfRule type="expression" dxfId="32" priority="46" stopIfTrue="1">
      <formula>$F$22&gt;7</formula>
    </cfRule>
  </conditionalFormatting>
  <conditionalFormatting sqref="D10">
    <cfRule type="expression" dxfId="31" priority="47" stopIfTrue="1">
      <formula>$F$10&lt;4</formula>
    </cfRule>
  </conditionalFormatting>
  <conditionalFormatting sqref="D11">
    <cfRule type="expression" dxfId="30" priority="48" stopIfTrue="1">
      <formula>$F$11&lt;4</formula>
    </cfRule>
  </conditionalFormatting>
  <conditionalFormatting sqref="D12">
    <cfRule type="expression" dxfId="29" priority="49" stopIfTrue="1">
      <formula>$F$12&lt;4</formula>
    </cfRule>
  </conditionalFormatting>
  <conditionalFormatting sqref="D13">
    <cfRule type="expression" dxfId="28" priority="50" stopIfTrue="1">
      <formula>$F$13&lt;4</formula>
    </cfRule>
  </conditionalFormatting>
  <conditionalFormatting sqref="D14">
    <cfRule type="expression" dxfId="27" priority="51" stopIfTrue="1">
      <formula>$F$14&lt;4</formula>
    </cfRule>
  </conditionalFormatting>
  <conditionalFormatting sqref="D15">
    <cfRule type="expression" dxfId="26" priority="52" stopIfTrue="1">
      <formula>$F$15&lt;4</formula>
    </cfRule>
  </conditionalFormatting>
  <conditionalFormatting sqref="D16">
    <cfRule type="expression" dxfId="25" priority="53" stopIfTrue="1">
      <formula>$F$16&lt;4</formula>
    </cfRule>
  </conditionalFormatting>
  <conditionalFormatting sqref="D17">
    <cfRule type="expression" dxfId="24" priority="54" stopIfTrue="1">
      <formula>$F$17&lt;4</formula>
    </cfRule>
  </conditionalFormatting>
  <conditionalFormatting sqref="D18">
    <cfRule type="expression" dxfId="23" priority="55" stopIfTrue="1">
      <formula>$F$18&lt;4</formula>
    </cfRule>
  </conditionalFormatting>
  <conditionalFormatting sqref="D19">
    <cfRule type="expression" dxfId="22" priority="56" stopIfTrue="1">
      <formula>$F$19&lt;4</formula>
    </cfRule>
  </conditionalFormatting>
  <conditionalFormatting sqref="D21">
    <cfRule type="expression" dxfId="21" priority="57" stopIfTrue="1">
      <formula>$F$21&lt;4</formula>
    </cfRule>
  </conditionalFormatting>
  <conditionalFormatting sqref="D20">
    <cfRule type="expression" dxfId="20" priority="58" stopIfTrue="1">
      <formula>$F$20&lt;4</formula>
    </cfRule>
  </conditionalFormatting>
  <conditionalFormatting sqref="D9">
    <cfRule type="expression" dxfId="19" priority="59" stopIfTrue="1">
      <formula>$F$9&lt;4</formula>
    </cfRule>
  </conditionalFormatting>
  <conditionalFormatting sqref="B7:B22">
    <cfRule type="expression" dxfId="18" priority="60" stopIfTrue="1">
      <formula>#REF!=1</formula>
    </cfRule>
  </conditionalFormatting>
  <conditionalFormatting sqref="D22">
    <cfRule type="expression" dxfId="17" priority="61" stopIfTrue="1">
      <formula>$F$22&lt;4</formula>
    </cfRule>
  </conditionalFormatting>
  <conditionalFormatting sqref="D25">
    <cfRule type="expression" dxfId="16" priority="62" stopIfTrue="1">
      <formula>$F$25&lt;4</formula>
    </cfRule>
  </conditionalFormatting>
  <conditionalFormatting sqref="Q29">
    <cfRule type="expression" dxfId="15" priority="63" stopIfTrue="1">
      <formula>$F$29&gt;7</formula>
    </cfRule>
  </conditionalFormatting>
  <conditionalFormatting sqref="D29">
    <cfRule type="expression" dxfId="14" priority="64" stopIfTrue="1">
      <formula>$F$29&lt;4</formula>
    </cfRule>
  </conditionalFormatting>
  <conditionalFormatting sqref="A24:A25">
    <cfRule type="expression" dxfId="13" priority="65" stopIfTrue="1">
      <formula>$A$11=0</formula>
    </cfRule>
  </conditionalFormatting>
  <conditionalFormatting sqref="A22:A23">
    <cfRule type="expression" dxfId="12" priority="66" stopIfTrue="1">
      <formula>$A$11=1</formula>
    </cfRule>
  </conditionalFormatting>
  <conditionalFormatting sqref="A12:A21">
    <cfRule type="expression" dxfId="11" priority="67" stopIfTrue="1">
      <formula>$A$11=0</formula>
    </cfRule>
  </conditionalFormatting>
  <conditionalFormatting sqref="A12:A21">
    <cfRule type="expression" dxfId="10" priority="68" stopIfTrue="1">
      <formula>$A$11=1</formula>
    </cfRule>
  </conditionalFormatting>
  <conditionalFormatting sqref="I4:P4">
    <cfRule type="expression" dxfId="9" priority="69" stopIfTrue="1">
      <formula>$F$4&gt;12</formula>
    </cfRule>
  </conditionalFormatting>
  <printOptions horizontalCentered="1" verticalCentered="1"/>
  <pageMargins left="0.47244094488188981" right="0.31496062992125984" top="0.35433070866141736" bottom="0.74" header="0" footer="0"/>
  <pageSetup pageOrder="overThenDown" orientation="portrait"/>
  <headerFooter>
    <oddHeader>&amp;LPrograma de Textos Interpretativos del 16PF &amp;C PTI-16©&amp;R©Octavio Escobar , 2007</oddHeader>
    <oddFooter>&amp;LPrograma protegido  por la ley de derechos de autor.&amp;Roctavioescobar@gmail.com</oddFooter>
  </headerFooter>
  <rowBreaks count="1" manualBreakCount="1">
    <brk id="45"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M996"/>
  <sheetViews>
    <sheetView showGridLines="0" workbookViewId="0">
      <selection activeCell="M21" sqref="M21"/>
    </sheetView>
  </sheetViews>
  <sheetFormatPr baseColWidth="10" defaultColWidth="14.42578125" defaultRowHeight="15" customHeight="1"/>
  <cols>
    <col min="1" max="1" width="122.85546875" customWidth="1"/>
    <col min="2" max="12" width="0" hidden="1" customWidth="1"/>
  </cols>
  <sheetData>
    <row r="1" spans="1:5" ht="18.95" customHeight="1">
      <c r="A1" s="251" t="s">
        <v>96</v>
      </c>
    </row>
    <row r="2" spans="1:5" ht="29.1" customHeight="1">
      <c r="A2" s="252" t="str" cm="1">
        <f t="array" ref="A2:C2">'PTI-16'!D5:F5</f>
        <v>Digite un nombre</v>
      </c>
      <c r="B2">
        <v>0</v>
      </c>
      <c r="C2">
        <v>0</v>
      </c>
    </row>
    <row r="3" spans="1:5" ht="12.75" customHeight="1">
      <c r="A3" s="253" t="str" cm="1">
        <f t="array" ref="A3:E3">"Edad: " &amp; 'PTI-16'!L5:P5</f>
        <v>Edad: 18</v>
      </c>
      <c r="B3" t="str">
        <v xml:space="preserve">Edad: </v>
      </c>
      <c r="C3" t="str">
        <v xml:space="preserve">Edad: </v>
      </c>
      <c r="D3" t="str">
        <v xml:space="preserve">Edad: </v>
      </c>
      <c r="E3" t="str">
        <v xml:space="preserve">Edad: </v>
      </c>
    </row>
    <row r="4" spans="1:5" ht="12.75" customHeight="1">
      <c r="A4" s="254">
        <f>'PTI-16'!Q5</f>
        <v>46326</v>
      </c>
    </row>
    <row r="5" spans="1:5" ht="12.75" customHeight="1">
      <c r="A5" s="254" t="str">
        <f>"Manejo de la imágen: " &amp; HLOOKUP(F4,Cálculos!AZ10:BE11,2,TRUE)</f>
        <v>Manejo de la imágen: Muy Sincero</v>
      </c>
    </row>
    <row r="6" spans="1:5" ht="12.75" customHeight="1">
      <c r="A6" s="255" t="s">
        <v>97</v>
      </c>
    </row>
    <row r="7" spans="1:5" ht="12.75" customHeight="1">
      <c r="A7" s="251" t="s">
        <v>98</v>
      </c>
    </row>
    <row r="8" spans="1:5" ht="12.75" customHeight="1">
      <c r="A8" s="256"/>
    </row>
    <row r="9" spans="1:5" ht="12.75" customHeight="1">
      <c r="A9" s="256" t="str">
        <f>Textos!B30 &amp; ": " &amp; IF(B &lt;= Textos!$E$5,Textos!C30,IF(B &gt;= Textos!$G$5,Textos!F30,Textos!$C$68))</f>
        <v>B: Bajo nivel intelectual y comprensión.</v>
      </c>
    </row>
    <row r="10" spans="1:5" ht="12.75" customHeight="1">
      <c r="A10" s="256" t="str">
        <f>Textos!B31 &amp; ": " &amp; IF(_F &lt;= Textos!$E$5,Textos!C31,IF(_F &gt;= Textos!$G$5,Textos!F31,Textos!$C$68))</f>
        <v>F: Es mas lógico, prudente, da mucha vuelta a las cosas y no logra facilmente llegar a algo concreto, reflexivo, analítico.</v>
      </c>
    </row>
    <row r="11" spans="1:5" ht="12.75" customHeight="1">
      <c r="A11" s="256" t="str">
        <f>Textos!B32 &amp; ": " &amp; IF(H &lt;= Textos!$E$5,Textos!C32,IF(H &gt;= Textos!$G$5,Textos!F32,Textos!$C$68))</f>
        <v>H: Se concentra mucho en su trabajo, en su tarea.</v>
      </c>
    </row>
    <row r="12" spans="1:5" ht="12.75" customHeight="1">
      <c r="A12" s="256" t="str">
        <f>Textos!B33 &amp; ": " &amp; IF(M &lt;= Textos!$E$5,Textos!C33,IF(M &gt;= Textos!$G$5,Textos!F33,Textos!$C$68))</f>
        <v>M: Inteligencia práctica.</v>
      </c>
    </row>
    <row r="13" spans="1:5" ht="12.75" customHeight="1">
      <c r="A13" s="256" t="str">
        <f>Textos!B34 &amp; ": " &amp; IF(Q1_ &lt;= Textos!$E$5,Textos!C34,IF(Q1_ &gt;= Textos!$G$5,Textos!F34,Textos!$C$68))</f>
        <v>Q1: Conservador, tradicionalista, cuadriculado, psicorigido.</v>
      </c>
    </row>
    <row r="14" spans="1:5" ht="12.75" customHeight="1">
      <c r="A14" s="256"/>
    </row>
    <row r="15" spans="1:5" ht="12.75" customHeight="1">
      <c r="A15" s="251" t="s">
        <v>102</v>
      </c>
    </row>
    <row r="16" spans="1:5" s="64" customFormat="1" ht="12.75" customHeight="1">
      <c r="A16" s="256"/>
    </row>
    <row r="17" spans="1:1" s="64" customFormat="1" ht="12.75" customHeight="1">
      <c r="A17" s="256" t="str">
        <f>Textos!B15 &amp; ": " &amp; IF(C_ &lt;= Textos!$E$5,Textos!C15,IF(C_ &gt;= Textos!$G$5,Textos!F15,Textos!$C$68))</f>
        <v>C: Poca fortaleza interior, inconstante, poca energia, infiel.</v>
      </c>
    </row>
    <row r="18" spans="1:1" s="64" customFormat="1" ht="12.75" customHeight="1">
      <c r="A18" s="256" t="str">
        <f>Textos!B16 &amp; ": " &amp; IF(I &lt;= Textos!$E$5,Textos!C16,IF(I &gt;= Textos!$G$5,Textos!F16,Textos!$C$68))</f>
        <v>I: Dificultad para lograr empatía, puede mostrarse duro ya que no logra ponerse en el lugar del otro.</v>
      </c>
    </row>
    <row r="19" spans="1:1" s="64" customFormat="1" ht="12.75" customHeight="1">
      <c r="A19" s="256" t="str">
        <f>Textos!B17 &amp; ": " &amp; IF(O &lt;= Textos!$E$5,Textos!C17,IF(O &gt;= Textos!$G$5,Textos!F17,Textos!$C$68))</f>
        <v>O: Dificultad para preocuparse, bajo compromiso.</v>
      </c>
    </row>
    <row r="20" spans="1:1" s="64" customFormat="1" ht="12.75" customHeight="1">
      <c r="A20" s="256" t="str">
        <f>Textos!B18 &amp; ": " &amp; IF(Q4_ &lt;= Textos!$E$5,Textos!C18,IF(Q4_ &gt;= Textos!$G$5,Textos!F18,Textos!$C$68))</f>
        <v>Q4: Dificil de motivar, indiferente, sin miedo especifico, vive el presente, pasivo, poco ambicioso, sin tensiones.</v>
      </c>
    </row>
    <row r="21" spans="1:1" s="64" customFormat="1" ht="12.75" customHeight="1">
      <c r="A21" s="261" t="str">
        <f>Textos!B19 &amp; ": " &amp; IF('PTI-16'!F25 &lt;= Textos!$E$5,Textos!C19,IF('PTI-16'!F25 &gt;= Textos!$G$5,Textos!F19,Textos!$C$68))</f>
        <v>ANS: Dentro de los márgenes intermedios.</v>
      </c>
    </row>
    <row r="22" spans="1:1" s="64" customFormat="1" ht="12.75" customHeight="1">
      <c r="A22" s="261" t="str">
        <f>Textos!B20 &amp; ": " &amp; IF('PTI-16'!F33 &lt;= Textos!$E$5,Textos!C20,IF('PTI-16'!F33 &gt;= Textos!$G$5,Textos!F20,Textos!$C$68))</f>
        <v>NEU: Dentro de los márgenes intermedios.</v>
      </c>
    </row>
    <row r="23" spans="1:1" s="64" customFormat="1" ht="12.75" customHeight="1">
      <c r="A23" s="256"/>
    </row>
    <row r="24" spans="1:1" ht="12.75" customHeight="1">
      <c r="A24" s="251" t="s">
        <v>109</v>
      </c>
    </row>
    <row r="25" spans="1:1" ht="12.75" customHeight="1">
      <c r="A25" s="256"/>
    </row>
    <row r="26" spans="1:1" s="64" customFormat="1" ht="12.75" customHeight="1">
      <c r="A26" s="256" t="str">
        <f>Textos!B43 &amp; ": " &amp; IF(A &lt;= Textos!$E$5,Textos!C43,IF(A &gt;= Textos!$G$5,Textos!F43,Textos!$C$68))</f>
        <v>A: Se mantiene en sus ideas, evita el contacto humano, poco afectuoso, prefiere el trabajo individual, reservado, distante.</v>
      </c>
    </row>
    <row r="27" spans="1:1" s="64" customFormat="1" ht="12.75" customHeight="1">
      <c r="A27" s="256" t="str">
        <f>Textos!B44 &amp; ": " &amp; IF(E &lt;= Textos!$E$5,Textos!C44,IF(E &gt;= Textos!$G$5,Textos!F44,Textos!$C$68))</f>
        <v>E: Sumiso, poco exigente, se acomoda a los deseos de los demás, evita el conflicto y hace sentir bien a los demás.</v>
      </c>
    </row>
    <row r="28" spans="1:1" s="64" customFormat="1" ht="12.75" customHeight="1">
      <c r="A28" s="256" t="str">
        <f>Textos!B45 &amp; ": " &amp; IF(H &lt;= Textos!$E$5,Textos!C45,IF(H &gt;= Textos!$G$5,Textos!F45,Textos!$C$68))</f>
        <v>H: Tímido, retraído, busca lo seguro, le teme a lo nuevo y no gusta de ambientes agresivos.</v>
      </c>
    </row>
    <row r="29" spans="1:1" s="64" customFormat="1" ht="12.75" customHeight="1">
      <c r="A29" s="256" t="str">
        <f>Textos!B46 &amp; ": " &amp; IF(_l &lt;= Textos!$E$5,Textos!C46,IF(_l &gt;= Textos!$G$5,Textos!F46,Textos!$C$68))</f>
        <v>L: Perdonador profesional, ingenuo, no competitivo a nivel social.</v>
      </c>
    </row>
    <row r="30" spans="1:1" s="64" customFormat="1" ht="12.75" customHeight="1">
      <c r="A30" s="256" t="str">
        <f>Textos!B47 &amp; ": " &amp; IF(N &lt;= Textos!$E$5,Textos!C47,IF(N &gt;= Textos!$G$5,Textos!F47,Textos!$C$68))</f>
        <v>N: Ingenuo, social, silvestre, socialmente no asertivo, transparente, franco, no prevee el impacto de sus palabras en el otro.</v>
      </c>
    </row>
    <row r="31" spans="1:1" s="64" customFormat="1" ht="12.75" customHeight="1">
      <c r="A31" s="256" t="str">
        <f>Textos!B48 &amp; ": " &amp; IF(Q2_ &lt;= Textos!$E$5,Textos!C48,IF(Q2_ &gt;= Textos!$G$5,Textos!F48,Textos!$C$68))</f>
        <v>Q2: Dependiente del grupo, es influenciable, no toma una decisión sin saber que piensan otros, poco criterio, es presionado.</v>
      </c>
    </row>
    <row r="32" spans="1:1" s="64" customFormat="1" ht="12.75" customHeight="1">
      <c r="A32" s="256" t="str">
        <f>Textos!B49 &amp; ": " &amp; IF(Q3_ &lt;= Textos!$E$5,Textos!C49,IF(Q3_ &gt;= Textos!$G$5,Textos!F49,Textos!$C$68))</f>
        <v>Q3: Le falta fuera interior, no logra las metas, descuidado socialmente.</v>
      </c>
    </row>
    <row r="33" spans="1:1" s="64" customFormat="1" ht="12.75" customHeight="1">
      <c r="A33" s="261" t="str">
        <f>Textos!B50 &amp; ": " &amp; IF('PTI-16'!F26 &lt;= Textos!$E$5,Textos!C50,IF('PTI-16'!F26 &gt;= Textos!$G$5,Textos!F50,Textos!$C$68))</f>
        <v>EXT: Participa poco en su ambiente y poco contacto social, introvertido. Bueno para trabajo individual, como investigador, o encargado de stmas.</v>
      </c>
    </row>
    <row r="34" spans="1:1" s="64" customFormat="1" ht="12.75" customHeight="1">
      <c r="A34" s="261" t="str">
        <f>Textos!B51 &amp; ": " &amp; IF('PTI-16'!F28 &lt;= Textos!$E$5,Textos!C51,IF('PTI-16'!F28 &gt;= Textos!$G$5,Textos!F51,Textos!$C$68))</f>
        <v>IND: Actúa siguiendo normas, depende de modelos convencionales, poca seguridad.</v>
      </c>
    </row>
    <row r="35" spans="1:1" s="64" customFormat="1" ht="12.75" customHeight="1">
      <c r="A35" s="261" t="str">
        <f>Textos!B52 &amp; ": " &amp; IF('PTI-16'!F35 &lt;= Textos!$E$5,Textos!C52,IF('PTI-16'!F35 &gt;= Textos!$G$5,Textos!F52,Textos!$C$68))</f>
        <v>LID: Presenta deficientemente competencias de liderazgo.</v>
      </c>
    </row>
    <row r="36" spans="1:1" ht="12.75" customHeight="1">
      <c r="A36" s="256"/>
    </row>
    <row r="37" spans="1:1" ht="12.75" customHeight="1">
      <c r="A37" s="251" t="s">
        <v>117</v>
      </c>
    </row>
    <row r="38" spans="1:1" ht="12.75" customHeight="1">
      <c r="A38" s="256"/>
    </row>
    <row r="39" spans="1:1" ht="12.75" customHeight="1">
      <c r="A39" s="256" t="str">
        <f>Textos!B61 &amp; ": " &amp; IF(G &lt;= Textos!$E$5,Textos!C61,IF(G &gt;= Textos!$G$5,Textos!F61,Textos!$C$68))</f>
        <v>G: Inconstante, abandonador, descuida sus obligaciones, poco perseverante, casi no cumple la norma, poco eficiente laboralmente.</v>
      </c>
    </row>
    <row r="40" spans="1:1" ht="12.75" customHeight="1">
      <c r="A40" s="256" t="str">
        <f>Textos!B62 &amp; ": " &amp; IF(C_ &lt;= Textos!$E$5,Textos!C62,IF(C_ &gt;= Textos!$G$5,Textos!F62,Textos!$C$68))</f>
        <v>C: Baja estabilidad emocional que perjudica sus compromisos morales.</v>
      </c>
    </row>
    <row r="41" spans="1:1" ht="12.75" customHeight="1">
      <c r="A41" s="256" t="str">
        <f>Textos!B63 &amp; ": " &amp; IF(O &lt;= Textos!$E$5,Textos!C63,IF(O &gt;= Textos!$G$5,Textos!F63,Textos!$C$68))</f>
        <v>O: No sufre por las faltas.</v>
      </c>
    </row>
    <row r="42" spans="1:1" ht="12.75" customHeight="1">
      <c r="A42" s="256" t="str">
        <f>Textos!B64 &amp; ": " &amp; IF(B &lt;= Textos!$E$5,Textos!C64,IF(B &gt;= Textos!$G$5,Textos!F64,Textos!$C$68))</f>
        <v>B: Su pensamiento concreto no le ayuda en las competencias para interpretar las normas.</v>
      </c>
    </row>
    <row r="43" spans="1:1" ht="12.75" customHeight="1">
      <c r="A43" s="256" t="str">
        <f>Textos!B65 &amp; ": " &amp; IF(H &lt;= Textos!$E$5,Textos!C65,IF(H &gt;= Textos!$G$5,Textos!F65,Textos!$C$68))</f>
        <v>H: Buena concentración.</v>
      </c>
    </row>
    <row r="44" spans="1:1" ht="12.75" customHeight="1">
      <c r="A44" s="256"/>
    </row>
    <row r="45" spans="1:1" ht="12.75" customHeight="1">
      <c r="A45" s="256"/>
    </row>
    <row r="46" spans="1:1" ht="12.75" customHeight="1">
      <c r="A46" s="256"/>
    </row>
    <row r="47" spans="1:1" ht="12.75" customHeight="1">
      <c r="A47" s="256"/>
    </row>
    <row r="48" spans="1:1" ht="12.75" customHeight="1">
      <c r="A48" s="256"/>
    </row>
    <row r="49" spans="1:13" ht="12.75" customHeight="1">
      <c r="A49" s="256"/>
    </row>
    <row r="50" spans="1:13" ht="12.75" customHeight="1">
      <c r="A50" s="260" t="str" cm="1">
        <f t="array" ref="A50:M50">'PTI-16'!D1:P1</f>
        <v>Digite el nombre de quién dirige la prueba</v>
      </c>
      <c r="B50">
        <v>0</v>
      </c>
      <c r="C50">
        <v>0</v>
      </c>
      <c r="D50">
        <v>0</v>
      </c>
      <c r="E50">
        <v>0</v>
      </c>
      <c r="F50">
        <v>0</v>
      </c>
      <c r="G50">
        <v>0</v>
      </c>
      <c r="H50">
        <v>0</v>
      </c>
      <c r="I50">
        <v>0</v>
      </c>
      <c r="J50">
        <v>0</v>
      </c>
      <c r="K50">
        <v>0</v>
      </c>
      <c r="L50">
        <v>0</v>
      </c>
      <c r="M50">
        <v>0</v>
      </c>
    </row>
    <row r="51" spans="1:13" ht="12.75" customHeight="1">
      <c r="A51" s="64"/>
    </row>
    <row r="52" spans="1:13" ht="12.75" customHeight="1">
      <c r="A52" s="64"/>
    </row>
    <row r="53" spans="1:13" ht="12.75" customHeight="1">
      <c r="A53" s="64"/>
    </row>
    <row r="54" spans="1:13" ht="12.75" customHeight="1">
      <c r="A54" s="64"/>
    </row>
    <row r="55" spans="1:13" ht="12.75" customHeight="1">
      <c r="A55" s="64"/>
    </row>
    <row r="56" spans="1:13" ht="12.75" customHeight="1">
      <c r="A56" s="64"/>
    </row>
    <row r="57" spans="1:13" ht="12.75" customHeight="1">
      <c r="A57" s="64"/>
    </row>
    <row r="58" spans="1:13" ht="12.75" customHeight="1">
      <c r="A58" s="64"/>
    </row>
    <row r="59" spans="1:13" ht="12.75" customHeight="1">
      <c r="A59" s="64"/>
    </row>
    <row r="60" spans="1:13" ht="12.75" customHeight="1">
      <c r="A60" s="64"/>
    </row>
    <row r="61" spans="1:13" ht="12.75" customHeight="1">
      <c r="A61" s="64"/>
    </row>
    <row r="62" spans="1:13" ht="12.75" customHeight="1">
      <c r="A62" s="64"/>
    </row>
    <row r="63" spans="1:13" ht="12.75" customHeight="1">
      <c r="A63" s="64"/>
    </row>
    <row r="64" spans="1:13" ht="12.75" customHeight="1">
      <c r="A64" s="64"/>
    </row>
    <row r="65" spans="1:1" ht="12.75" customHeight="1">
      <c r="A65" s="64"/>
    </row>
    <row r="66" spans="1:1" ht="12.75" customHeight="1">
      <c r="A66" s="64"/>
    </row>
    <row r="67" spans="1:1" ht="12.75" customHeight="1">
      <c r="A67" s="64"/>
    </row>
    <row r="68" spans="1:1" ht="12.75" customHeight="1">
      <c r="A68" s="64"/>
    </row>
    <row r="69" spans="1:1" ht="12.75" customHeight="1">
      <c r="A69" s="64"/>
    </row>
    <row r="70" spans="1:1" ht="12.75" customHeight="1">
      <c r="A70" s="64"/>
    </row>
    <row r="71" spans="1:1" ht="12.75" customHeight="1">
      <c r="A71" s="64"/>
    </row>
    <row r="72" spans="1:1" ht="12.75" customHeight="1">
      <c r="A72" s="64"/>
    </row>
    <row r="73" spans="1:1" ht="12.75" customHeight="1">
      <c r="A73" s="64"/>
    </row>
    <row r="74" spans="1:1" ht="12.75" customHeight="1">
      <c r="A74" s="64"/>
    </row>
    <row r="75" spans="1:1" ht="12.75" customHeight="1">
      <c r="A75" s="64"/>
    </row>
    <row r="76" spans="1:1" ht="12.75" customHeight="1">
      <c r="A76" s="64"/>
    </row>
    <row r="77" spans="1:1" ht="12.75" customHeight="1">
      <c r="A77" s="64"/>
    </row>
    <row r="78" spans="1:1" ht="12.75" customHeight="1">
      <c r="A78" s="64"/>
    </row>
    <row r="79" spans="1:1" ht="12.75" customHeight="1">
      <c r="A79" s="64"/>
    </row>
    <row r="80" spans="1:1" ht="12.75" customHeight="1">
      <c r="A80" s="64"/>
    </row>
    <row r="81" spans="1:1" ht="12.75" customHeight="1">
      <c r="A81" s="64"/>
    </row>
    <row r="82" spans="1:1" ht="12.75" customHeight="1">
      <c r="A82" s="64"/>
    </row>
    <row r="83" spans="1:1" ht="12.75" customHeight="1">
      <c r="A83" s="64"/>
    </row>
    <row r="84" spans="1:1" ht="12.75" customHeight="1">
      <c r="A84" s="64"/>
    </row>
    <row r="85" spans="1:1" ht="12.75" customHeight="1">
      <c r="A85" s="64"/>
    </row>
    <row r="86" spans="1:1" ht="12.75" customHeight="1">
      <c r="A86" s="64"/>
    </row>
    <row r="87" spans="1:1" ht="12.75" customHeight="1">
      <c r="A87" s="64"/>
    </row>
    <row r="88" spans="1:1" ht="12.75" customHeight="1">
      <c r="A88" s="64"/>
    </row>
    <row r="89" spans="1:1" ht="12.75" customHeight="1">
      <c r="A89" s="64"/>
    </row>
    <row r="90" spans="1:1" ht="12.75" customHeight="1">
      <c r="A90" s="64"/>
    </row>
    <row r="91" spans="1:1" ht="12.75" customHeight="1">
      <c r="A91" s="64"/>
    </row>
    <row r="92" spans="1:1" ht="12.75" customHeight="1">
      <c r="A92" s="64"/>
    </row>
    <row r="93" spans="1:1" ht="12.75" customHeight="1">
      <c r="A93" s="64"/>
    </row>
    <row r="94" spans="1:1" ht="12.75" customHeight="1">
      <c r="A94" s="64"/>
    </row>
    <row r="95" spans="1:1" ht="12.75" customHeight="1">
      <c r="A95" s="64"/>
    </row>
    <row r="96" spans="1:1" ht="12.75" customHeight="1">
      <c r="A96" s="64"/>
    </row>
    <row r="97" spans="1:1" ht="12.75" customHeight="1">
      <c r="A97" s="64"/>
    </row>
    <row r="98" spans="1:1" ht="12.75" customHeight="1">
      <c r="A98" s="64"/>
    </row>
    <row r="99" spans="1:1" ht="12.75" customHeight="1">
      <c r="A99" s="64"/>
    </row>
    <row r="100" spans="1:1" ht="12.75" customHeight="1">
      <c r="A100" s="64"/>
    </row>
    <row r="101" spans="1:1" ht="12.75" customHeight="1">
      <c r="A101" s="64"/>
    </row>
    <row r="102" spans="1:1" ht="12.75" customHeight="1">
      <c r="A102" s="64"/>
    </row>
    <row r="103" spans="1:1" ht="12.75" customHeight="1">
      <c r="A103" s="64"/>
    </row>
    <row r="104" spans="1:1" ht="12.75" customHeight="1">
      <c r="A104" s="64"/>
    </row>
    <row r="105" spans="1:1" ht="12.75" customHeight="1">
      <c r="A105" s="64"/>
    </row>
    <row r="106" spans="1:1" ht="12.75" customHeight="1">
      <c r="A106" s="64"/>
    </row>
    <row r="107" spans="1:1" ht="12.75" customHeight="1">
      <c r="A107" s="64"/>
    </row>
    <row r="108" spans="1:1" ht="12.75" customHeight="1">
      <c r="A108" s="64"/>
    </row>
    <row r="109" spans="1:1" ht="12.75" customHeight="1">
      <c r="A109" s="64"/>
    </row>
    <row r="110" spans="1:1" ht="12.75" customHeight="1">
      <c r="A110" s="64"/>
    </row>
    <row r="111" spans="1:1" ht="12.75" customHeight="1">
      <c r="A111" s="64"/>
    </row>
    <row r="112" spans="1:1" ht="12.75" customHeight="1">
      <c r="A112" s="64"/>
    </row>
    <row r="113" spans="1:1" ht="12.75" customHeight="1">
      <c r="A113" s="64"/>
    </row>
    <row r="114" spans="1:1" ht="12.75" customHeight="1">
      <c r="A114" s="64"/>
    </row>
    <row r="115" spans="1:1" ht="12.75" customHeight="1">
      <c r="A115" s="64"/>
    </row>
    <row r="116" spans="1:1" ht="12.75" customHeight="1">
      <c r="A116" s="64"/>
    </row>
    <row r="117" spans="1:1" ht="12.75" customHeight="1">
      <c r="A117" s="64"/>
    </row>
    <row r="118" spans="1:1" ht="12.75" customHeight="1">
      <c r="A118" s="64"/>
    </row>
    <row r="119" spans="1:1" ht="12.75" customHeight="1">
      <c r="A119" s="64"/>
    </row>
    <row r="120" spans="1:1" ht="12.75" customHeight="1">
      <c r="A120" s="64"/>
    </row>
    <row r="121" spans="1:1" ht="12.75" customHeight="1">
      <c r="A121" s="64"/>
    </row>
    <row r="122" spans="1:1" ht="12.75" customHeight="1">
      <c r="A122" s="64"/>
    </row>
    <row r="123" spans="1:1" ht="12.75" customHeight="1">
      <c r="A123" s="64"/>
    </row>
    <row r="124" spans="1:1" ht="12.75" customHeight="1">
      <c r="A124" s="64"/>
    </row>
    <row r="125" spans="1:1" ht="12.75" customHeight="1">
      <c r="A125" s="64"/>
    </row>
    <row r="126" spans="1:1" ht="12.75" customHeight="1">
      <c r="A126" s="64"/>
    </row>
    <row r="127" spans="1:1" ht="12.75" customHeight="1">
      <c r="A127" s="64"/>
    </row>
    <row r="128" spans="1:1" ht="12.75" customHeight="1">
      <c r="A128" s="64"/>
    </row>
    <row r="129" spans="1:1" ht="12.75" customHeight="1">
      <c r="A129" s="64"/>
    </row>
    <row r="130" spans="1:1" ht="12.75" customHeight="1">
      <c r="A130" s="64"/>
    </row>
    <row r="131" spans="1:1" ht="12.75" customHeight="1">
      <c r="A131" s="64"/>
    </row>
    <row r="132" spans="1:1" ht="12.75" customHeight="1">
      <c r="A132" s="64"/>
    </row>
    <row r="133" spans="1:1" ht="12.75" customHeight="1">
      <c r="A133" s="64"/>
    </row>
    <row r="134" spans="1:1" ht="12.75" customHeight="1">
      <c r="A134" s="64"/>
    </row>
    <row r="135" spans="1:1" ht="12.75" customHeight="1">
      <c r="A135" s="64"/>
    </row>
    <row r="136" spans="1:1" ht="12.75" customHeight="1">
      <c r="A136" s="64"/>
    </row>
    <row r="137" spans="1:1" ht="12.75" customHeight="1">
      <c r="A137" s="64"/>
    </row>
    <row r="138" spans="1:1" ht="12.75" customHeight="1">
      <c r="A138" s="64"/>
    </row>
    <row r="139" spans="1:1" ht="12.75" customHeight="1">
      <c r="A139" s="64"/>
    </row>
    <row r="140" spans="1:1" ht="12.75" customHeight="1">
      <c r="A140" s="64"/>
    </row>
    <row r="141" spans="1:1" ht="12.75" customHeight="1">
      <c r="A141" s="64"/>
    </row>
    <row r="142" spans="1:1" ht="12.75" customHeight="1">
      <c r="A142" s="64"/>
    </row>
    <row r="143" spans="1:1" ht="12.75" customHeight="1">
      <c r="A143" s="64"/>
    </row>
    <row r="144" spans="1:1" ht="12.75" customHeight="1">
      <c r="A144" s="64"/>
    </row>
    <row r="145" spans="1:1" ht="12.75" customHeight="1">
      <c r="A145" s="64"/>
    </row>
    <row r="146" spans="1:1" ht="12.75" customHeight="1">
      <c r="A146" s="64"/>
    </row>
    <row r="147" spans="1:1" ht="12.75" customHeight="1">
      <c r="A147" s="64"/>
    </row>
    <row r="148" spans="1:1" ht="12.75" customHeight="1">
      <c r="A148" s="64"/>
    </row>
    <row r="149" spans="1:1" ht="12.75" customHeight="1">
      <c r="A149" s="64"/>
    </row>
    <row r="150" spans="1:1" ht="12.75" customHeight="1">
      <c r="A150" s="64"/>
    </row>
    <row r="151" spans="1:1" ht="12.75" customHeight="1">
      <c r="A151" s="64"/>
    </row>
    <row r="152" spans="1:1" ht="12.75" customHeight="1">
      <c r="A152" s="64"/>
    </row>
    <row r="153" spans="1:1" ht="12.75" customHeight="1">
      <c r="A153" s="64"/>
    </row>
    <row r="154" spans="1:1" ht="12.75" customHeight="1">
      <c r="A154" s="64"/>
    </row>
    <row r="155" spans="1:1" ht="12.75" customHeight="1">
      <c r="A155" s="64"/>
    </row>
    <row r="156" spans="1:1" ht="12.75" customHeight="1">
      <c r="A156" s="64"/>
    </row>
    <row r="157" spans="1:1" ht="12.75" customHeight="1">
      <c r="A157" s="64"/>
    </row>
    <row r="158" spans="1:1" ht="12.75" customHeight="1">
      <c r="A158" s="64"/>
    </row>
    <row r="159" spans="1:1" ht="12.75" customHeight="1">
      <c r="A159" s="64"/>
    </row>
    <row r="160" spans="1:1" ht="12.75" customHeight="1">
      <c r="A160" s="64"/>
    </row>
    <row r="161" spans="1:1" ht="12.75" customHeight="1">
      <c r="A161" s="64"/>
    </row>
    <row r="162" spans="1:1" ht="12.75" customHeight="1">
      <c r="A162" s="64"/>
    </row>
    <row r="163" spans="1:1" ht="12.75" customHeight="1">
      <c r="A163" s="64"/>
    </row>
    <row r="164" spans="1:1" ht="12.75" customHeight="1">
      <c r="A164" s="64"/>
    </row>
    <row r="165" spans="1:1" ht="12.75" customHeight="1">
      <c r="A165" s="64"/>
    </row>
    <row r="166" spans="1:1" ht="12.75" customHeight="1">
      <c r="A166" s="64"/>
    </row>
    <row r="167" spans="1:1" ht="12.75" customHeight="1">
      <c r="A167" s="64"/>
    </row>
    <row r="168" spans="1:1" ht="12.75" customHeight="1">
      <c r="A168" s="64"/>
    </row>
    <row r="169" spans="1:1" ht="12.75" customHeight="1">
      <c r="A169" s="64"/>
    </row>
    <row r="170" spans="1:1" ht="12.75" customHeight="1">
      <c r="A170" s="64"/>
    </row>
    <row r="171" spans="1:1" ht="12.75" customHeight="1">
      <c r="A171" s="64"/>
    </row>
    <row r="172" spans="1:1" ht="12.75" customHeight="1">
      <c r="A172" s="64"/>
    </row>
    <row r="173" spans="1:1" ht="12.75" customHeight="1">
      <c r="A173" s="64"/>
    </row>
    <row r="174" spans="1:1" ht="12.75" customHeight="1">
      <c r="A174" s="64"/>
    </row>
    <row r="175" spans="1:1" ht="12.75" customHeight="1">
      <c r="A175" s="64"/>
    </row>
    <row r="176" spans="1:1" ht="12.75" customHeight="1">
      <c r="A176" s="64"/>
    </row>
    <row r="177" spans="1:1" ht="12.75" customHeight="1">
      <c r="A177" s="64"/>
    </row>
    <row r="178" spans="1:1" ht="12.75" customHeight="1">
      <c r="A178" s="64"/>
    </row>
    <row r="179" spans="1:1" ht="12.75" customHeight="1">
      <c r="A179" s="64"/>
    </row>
    <row r="180" spans="1:1" ht="12.75" customHeight="1">
      <c r="A180" s="64"/>
    </row>
    <row r="181" spans="1:1" ht="12.75" customHeight="1">
      <c r="A181" s="64"/>
    </row>
    <row r="182" spans="1:1" ht="12.75" customHeight="1">
      <c r="A182" s="64"/>
    </row>
    <row r="183" spans="1:1" ht="12.75" customHeight="1">
      <c r="A183" s="64"/>
    </row>
    <row r="184" spans="1:1" ht="12.75" customHeight="1">
      <c r="A184" s="64"/>
    </row>
    <row r="185" spans="1:1" ht="12.75" customHeight="1">
      <c r="A185" s="64"/>
    </row>
    <row r="186" spans="1:1" ht="12.75" customHeight="1">
      <c r="A186" s="64"/>
    </row>
    <row r="187" spans="1:1" ht="12.75" customHeight="1">
      <c r="A187" s="64"/>
    </row>
    <row r="188" spans="1:1" ht="12.75" customHeight="1">
      <c r="A188" s="64"/>
    </row>
    <row r="189" spans="1:1" ht="12.75" customHeight="1">
      <c r="A189" s="64"/>
    </row>
    <row r="190" spans="1:1" ht="12.75" customHeight="1">
      <c r="A190" s="64"/>
    </row>
    <row r="191" spans="1:1" ht="12.75" customHeight="1">
      <c r="A191" s="64"/>
    </row>
    <row r="192" spans="1:1" ht="12.75" customHeight="1">
      <c r="A192" s="64"/>
    </row>
    <row r="193" spans="1:1" ht="12.75" customHeight="1">
      <c r="A193" s="64"/>
    </row>
    <row r="194" spans="1:1" ht="12.75" customHeight="1">
      <c r="A194" s="64"/>
    </row>
    <row r="195" spans="1:1" ht="12.75" customHeight="1">
      <c r="A195" s="64"/>
    </row>
    <row r="196" spans="1:1" ht="12.75" customHeight="1">
      <c r="A196" s="64"/>
    </row>
    <row r="197" spans="1:1" ht="12.75" customHeight="1">
      <c r="A197" s="64"/>
    </row>
    <row r="198" spans="1:1" ht="12.75" customHeight="1">
      <c r="A198" s="64"/>
    </row>
    <row r="199" spans="1:1" ht="12.75" customHeight="1">
      <c r="A199" s="64"/>
    </row>
    <row r="200" spans="1:1" ht="12.75" customHeight="1">
      <c r="A200" s="64"/>
    </row>
    <row r="201" spans="1:1" ht="12.75" customHeight="1">
      <c r="A201" s="64"/>
    </row>
    <row r="202" spans="1:1" ht="12.75" customHeight="1">
      <c r="A202" s="64"/>
    </row>
    <row r="203" spans="1:1" ht="12.75" customHeight="1">
      <c r="A203" s="64"/>
    </row>
    <row r="204" spans="1:1" ht="12.75" customHeight="1">
      <c r="A204" s="64"/>
    </row>
    <row r="205" spans="1:1" ht="12.75" customHeight="1">
      <c r="A205" s="64"/>
    </row>
    <row r="206" spans="1:1" ht="12.75" customHeight="1">
      <c r="A206" s="64"/>
    </row>
    <row r="207" spans="1:1" ht="12.75" customHeight="1">
      <c r="A207" s="64"/>
    </row>
    <row r="208" spans="1:1" ht="12.75" customHeight="1">
      <c r="A208" s="64"/>
    </row>
    <row r="209" spans="1:1" ht="12.75" customHeight="1">
      <c r="A209" s="64"/>
    </row>
    <row r="210" spans="1:1" ht="12.75" customHeight="1">
      <c r="A210" s="64"/>
    </row>
    <row r="211" spans="1:1" ht="12.75" customHeight="1">
      <c r="A211" s="64"/>
    </row>
    <row r="212" spans="1:1" ht="12.75" customHeight="1">
      <c r="A212" s="64"/>
    </row>
    <row r="213" spans="1:1" ht="12.75" customHeight="1">
      <c r="A213" s="64"/>
    </row>
    <row r="214" spans="1:1" ht="12.75" customHeight="1">
      <c r="A214" s="64"/>
    </row>
    <row r="215" spans="1:1" ht="12.75" customHeight="1">
      <c r="A215" s="64"/>
    </row>
    <row r="216" spans="1:1" ht="12.75" customHeight="1">
      <c r="A216" s="64"/>
    </row>
    <row r="217" spans="1:1" ht="12.75" customHeight="1">
      <c r="A217" s="64"/>
    </row>
    <row r="218" spans="1:1" ht="12.75" customHeight="1">
      <c r="A218" s="64"/>
    </row>
    <row r="219" spans="1:1" ht="12.75" customHeight="1">
      <c r="A219" s="64"/>
    </row>
    <row r="220" spans="1:1" ht="12.75" customHeight="1">
      <c r="A220" s="64"/>
    </row>
    <row r="221" spans="1:1" ht="12.75" customHeight="1">
      <c r="A221" s="64"/>
    </row>
    <row r="222" spans="1:1" ht="12.75" customHeight="1">
      <c r="A222" s="64"/>
    </row>
    <row r="223" spans="1:1" ht="12.75" customHeight="1">
      <c r="A223" s="64"/>
    </row>
    <row r="224" spans="1:1" ht="12.75" customHeight="1">
      <c r="A224" s="64"/>
    </row>
    <row r="225" spans="1:1" ht="12.75" customHeight="1">
      <c r="A225" s="64"/>
    </row>
    <row r="226" spans="1:1" ht="12.75" customHeight="1">
      <c r="A226" s="64"/>
    </row>
    <row r="227" spans="1:1" ht="12.75" customHeight="1">
      <c r="A227" s="64"/>
    </row>
    <row r="228" spans="1:1" ht="12.75" customHeight="1">
      <c r="A228" s="64"/>
    </row>
    <row r="229" spans="1:1" ht="12.75" customHeight="1">
      <c r="A229" s="64"/>
    </row>
    <row r="230" spans="1:1" ht="12.75" customHeight="1">
      <c r="A230" s="64"/>
    </row>
    <row r="231" spans="1:1" ht="12.75" customHeight="1">
      <c r="A231" s="64"/>
    </row>
    <row r="232" spans="1:1" ht="12.75" customHeight="1">
      <c r="A232" s="64"/>
    </row>
    <row r="233" spans="1:1" ht="12.75" customHeight="1">
      <c r="A233" s="64"/>
    </row>
    <row r="234" spans="1:1" ht="12.75" customHeight="1">
      <c r="A234" s="64"/>
    </row>
    <row r="235" spans="1:1" ht="12.75" customHeight="1">
      <c r="A235" s="64"/>
    </row>
    <row r="236" spans="1:1" ht="12.75" customHeight="1">
      <c r="A236" s="64"/>
    </row>
    <row r="237" spans="1:1" ht="12.75" customHeight="1">
      <c r="A237" s="64"/>
    </row>
    <row r="238" spans="1:1" ht="12.75" customHeight="1">
      <c r="A238" s="64"/>
    </row>
    <row r="239" spans="1:1" ht="12.75" customHeight="1">
      <c r="A239" s="64"/>
    </row>
    <row r="240" spans="1:1" ht="12.75" customHeight="1">
      <c r="A240" s="64"/>
    </row>
    <row r="241" spans="1:1" ht="12.75" customHeight="1">
      <c r="A241" s="64"/>
    </row>
    <row r="242" spans="1:1" ht="12.75" customHeight="1">
      <c r="A242" s="64"/>
    </row>
    <row r="243" spans="1:1" ht="12.75" customHeight="1">
      <c r="A243" s="64"/>
    </row>
    <row r="244" spans="1:1" ht="12.75" customHeight="1">
      <c r="A244" s="64"/>
    </row>
    <row r="245" spans="1:1" ht="12.75" customHeight="1">
      <c r="A245" s="64"/>
    </row>
    <row r="246" spans="1:1" ht="12.75" customHeight="1">
      <c r="A246" s="64"/>
    </row>
    <row r="247" spans="1:1" ht="12.75" customHeight="1">
      <c r="A247" s="64"/>
    </row>
    <row r="248" spans="1:1" ht="12.75" customHeight="1">
      <c r="A248" s="64"/>
    </row>
    <row r="249" spans="1:1" ht="12.75" customHeight="1">
      <c r="A249" s="64"/>
    </row>
    <row r="250" spans="1:1" ht="12.75" customHeight="1">
      <c r="A250" s="64"/>
    </row>
    <row r="251" spans="1:1" ht="12.75" customHeight="1">
      <c r="A251" s="64"/>
    </row>
    <row r="252" spans="1:1" ht="12.75" customHeight="1">
      <c r="A252" s="64"/>
    </row>
    <row r="253" spans="1:1" ht="12.75" customHeight="1">
      <c r="A253" s="64"/>
    </row>
    <row r="254" spans="1:1" ht="12.75" customHeight="1">
      <c r="A254" s="64"/>
    </row>
    <row r="255" spans="1:1" ht="12.75" customHeight="1">
      <c r="A255" s="64"/>
    </row>
    <row r="256" spans="1:1" ht="12.75" customHeight="1">
      <c r="A256" s="64"/>
    </row>
    <row r="257" spans="1:1" ht="12.75" customHeight="1">
      <c r="A257" s="64"/>
    </row>
    <row r="258" spans="1:1" ht="12.75" customHeight="1">
      <c r="A258" s="64"/>
    </row>
    <row r="259" spans="1:1" ht="12.75" customHeight="1">
      <c r="A259" s="64"/>
    </row>
    <row r="260" spans="1:1" ht="12.75" customHeight="1">
      <c r="A260" s="64"/>
    </row>
    <row r="261" spans="1:1" ht="12.75" customHeight="1">
      <c r="A261" s="64"/>
    </row>
    <row r="262" spans="1:1" ht="12.75" customHeight="1">
      <c r="A262" s="64"/>
    </row>
    <row r="263" spans="1:1" ht="12.75" customHeight="1">
      <c r="A263" s="64"/>
    </row>
    <row r="264" spans="1:1" ht="12.75" customHeight="1">
      <c r="A264" s="64"/>
    </row>
    <row r="265" spans="1:1" ht="12.75" customHeight="1">
      <c r="A265" s="64"/>
    </row>
    <row r="266" spans="1:1" ht="12.75" customHeight="1">
      <c r="A266" s="64"/>
    </row>
    <row r="267" spans="1:1" ht="12.75" customHeight="1">
      <c r="A267" s="64"/>
    </row>
    <row r="268" spans="1:1" ht="12.75" customHeight="1">
      <c r="A268" s="64"/>
    </row>
    <row r="269" spans="1:1" ht="12.75" customHeight="1">
      <c r="A269" s="64"/>
    </row>
    <row r="270" spans="1:1" ht="12.75" customHeight="1">
      <c r="A270" s="64"/>
    </row>
    <row r="271" spans="1:1" ht="12.75" customHeight="1">
      <c r="A271" s="64"/>
    </row>
    <row r="272" spans="1:1" ht="12.75" customHeight="1">
      <c r="A272" s="64"/>
    </row>
    <row r="273" spans="1:1" ht="12.75" customHeight="1">
      <c r="A273" s="64"/>
    </row>
    <row r="274" spans="1:1" ht="12.75" customHeight="1">
      <c r="A274" s="64"/>
    </row>
    <row r="275" spans="1:1" ht="12.75" customHeight="1">
      <c r="A275" s="64"/>
    </row>
    <row r="276" spans="1:1" ht="12.75" customHeight="1">
      <c r="A276" s="64"/>
    </row>
    <row r="277" spans="1:1" ht="12.75" customHeight="1">
      <c r="A277" s="64"/>
    </row>
    <row r="278" spans="1:1" ht="12.75" customHeight="1">
      <c r="A278" s="64"/>
    </row>
    <row r="279" spans="1:1" ht="12.75" customHeight="1">
      <c r="A279" s="64"/>
    </row>
    <row r="280" spans="1:1" ht="12.75" customHeight="1">
      <c r="A280" s="64"/>
    </row>
    <row r="281" spans="1:1" ht="12.75" customHeight="1">
      <c r="A281" s="64"/>
    </row>
    <row r="282" spans="1:1" ht="12.75" customHeight="1">
      <c r="A282" s="64"/>
    </row>
    <row r="283" spans="1:1" ht="12.75" customHeight="1">
      <c r="A283" s="64"/>
    </row>
    <row r="284" spans="1:1" ht="12.75" customHeight="1">
      <c r="A284" s="64"/>
    </row>
    <row r="285" spans="1:1" ht="12.75" customHeight="1">
      <c r="A285" s="64"/>
    </row>
    <row r="286" spans="1:1" ht="12.75" customHeight="1">
      <c r="A286" s="64"/>
    </row>
    <row r="287" spans="1:1" ht="12.75" customHeight="1">
      <c r="A287" s="64"/>
    </row>
    <row r="288" spans="1:1" ht="12.75" customHeight="1">
      <c r="A288" s="64"/>
    </row>
    <row r="289" spans="1:1" ht="12.75" customHeight="1">
      <c r="A289" s="64"/>
    </row>
    <row r="290" spans="1:1" ht="12.75" customHeight="1">
      <c r="A290" s="64"/>
    </row>
    <row r="291" spans="1:1" ht="12.75" customHeight="1">
      <c r="A291" s="64"/>
    </row>
    <row r="292" spans="1:1" ht="12.75" customHeight="1">
      <c r="A292" s="64"/>
    </row>
    <row r="293" spans="1:1" ht="12.75" customHeight="1">
      <c r="A293" s="64"/>
    </row>
    <row r="294" spans="1:1" ht="12.75" customHeight="1">
      <c r="A294" s="64"/>
    </row>
    <row r="295" spans="1:1" ht="12.75" customHeight="1">
      <c r="A295" s="64"/>
    </row>
    <row r="296" spans="1:1" ht="12.75" customHeight="1">
      <c r="A296" s="64"/>
    </row>
    <row r="297" spans="1:1" ht="12.75" customHeight="1">
      <c r="A297" s="64"/>
    </row>
    <row r="298" spans="1:1" ht="12.75" customHeight="1">
      <c r="A298" s="64"/>
    </row>
    <row r="299" spans="1:1" ht="12.75" customHeight="1">
      <c r="A299" s="64"/>
    </row>
    <row r="300" spans="1:1" ht="12.75" customHeight="1">
      <c r="A300" s="64"/>
    </row>
    <row r="301" spans="1:1" ht="12.75" customHeight="1">
      <c r="A301" s="64"/>
    </row>
    <row r="302" spans="1:1" ht="12.75" customHeight="1">
      <c r="A302" s="64"/>
    </row>
    <row r="303" spans="1:1" ht="12.75" customHeight="1">
      <c r="A303" s="64"/>
    </row>
    <row r="304" spans="1:1" ht="12.75" customHeight="1">
      <c r="A304" s="64"/>
    </row>
    <row r="305" spans="1:1" ht="12.75" customHeight="1">
      <c r="A305" s="64"/>
    </row>
    <row r="306" spans="1:1" ht="12.75" customHeight="1">
      <c r="A306" s="64"/>
    </row>
    <row r="307" spans="1:1" ht="12.75" customHeight="1">
      <c r="A307" s="64"/>
    </row>
    <row r="308" spans="1:1" ht="12.75" customHeight="1">
      <c r="A308" s="64"/>
    </row>
    <row r="309" spans="1:1" ht="12.75" customHeight="1">
      <c r="A309" s="64"/>
    </row>
    <row r="310" spans="1:1" ht="12.75" customHeight="1">
      <c r="A310" s="64"/>
    </row>
    <row r="311" spans="1:1" ht="12.75" customHeight="1">
      <c r="A311" s="64"/>
    </row>
    <row r="312" spans="1:1" ht="12.75" customHeight="1">
      <c r="A312" s="64"/>
    </row>
    <row r="313" spans="1:1" ht="12.75" customHeight="1">
      <c r="A313" s="64"/>
    </row>
    <row r="314" spans="1:1" ht="12.75" customHeight="1">
      <c r="A314" s="64"/>
    </row>
    <row r="315" spans="1:1" ht="12.75" customHeight="1">
      <c r="A315" s="64"/>
    </row>
    <row r="316" spans="1:1" ht="12.75" customHeight="1">
      <c r="A316" s="64"/>
    </row>
    <row r="317" spans="1:1" ht="12.75" customHeight="1">
      <c r="A317" s="64"/>
    </row>
    <row r="318" spans="1:1" ht="12.75" customHeight="1">
      <c r="A318" s="64"/>
    </row>
    <row r="319" spans="1:1" ht="12.75" customHeight="1">
      <c r="A319" s="64"/>
    </row>
    <row r="320" spans="1:1" ht="12.75" customHeight="1">
      <c r="A320" s="64"/>
    </row>
    <row r="321" spans="1:1" ht="12.75" customHeight="1">
      <c r="A321" s="64"/>
    </row>
    <row r="322" spans="1:1" ht="12.75" customHeight="1">
      <c r="A322" s="64"/>
    </row>
    <row r="323" spans="1:1" ht="12.75" customHeight="1">
      <c r="A323" s="64"/>
    </row>
    <row r="324" spans="1:1" ht="12.75" customHeight="1">
      <c r="A324" s="64"/>
    </row>
    <row r="325" spans="1:1" ht="12.75" customHeight="1">
      <c r="A325" s="64"/>
    </row>
    <row r="326" spans="1:1" ht="12.75" customHeight="1">
      <c r="A326" s="64"/>
    </row>
    <row r="327" spans="1:1" ht="12.75" customHeight="1">
      <c r="A327" s="64"/>
    </row>
    <row r="328" spans="1:1" ht="12.75" customHeight="1">
      <c r="A328" s="64"/>
    </row>
    <row r="329" spans="1:1" ht="12.75" customHeight="1">
      <c r="A329" s="64"/>
    </row>
    <row r="330" spans="1:1" ht="12.75" customHeight="1">
      <c r="A330" s="64"/>
    </row>
    <row r="331" spans="1:1" ht="12.75" customHeight="1">
      <c r="A331" s="64"/>
    </row>
    <row r="332" spans="1:1" ht="12.75" customHeight="1">
      <c r="A332" s="64"/>
    </row>
    <row r="333" spans="1:1" ht="12.75" customHeight="1">
      <c r="A333" s="64"/>
    </row>
    <row r="334" spans="1:1" ht="12.75" customHeight="1">
      <c r="A334" s="64"/>
    </row>
    <row r="335" spans="1:1" ht="12.75" customHeight="1">
      <c r="A335" s="64"/>
    </row>
    <row r="336" spans="1:1" ht="12.75" customHeight="1">
      <c r="A336" s="64"/>
    </row>
    <row r="337" spans="1:1" ht="12.75" customHeight="1">
      <c r="A337" s="64"/>
    </row>
    <row r="338" spans="1:1" ht="12.75" customHeight="1">
      <c r="A338" s="64"/>
    </row>
    <row r="339" spans="1:1" ht="12.75" customHeight="1">
      <c r="A339" s="64"/>
    </row>
    <row r="340" spans="1:1" ht="12.75" customHeight="1">
      <c r="A340" s="64"/>
    </row>
    <row r="341" spans="1:1" ht="12.75" customHeight="1">
      <c r="A341" s="64"/>
    </row>
    <row r="342" spans="1:1" ht="12.75" customHeight="1">
      <c r="A342" s="64"/>
    </row>
    <row r="343" spans="1:1" ht="12.75" customHeight="1">
      <c r="A343" s="64"/>
    </row>
    <row r="344" spans="1:1" ht="12.75" customHeight="1">
      <c r="A344" s="64"/>
    </row>
    <row r="345" spans="1:1" ht="12.75" customHeight="1">
      <c r="A345" s="64"/>
    </row>
    <row r="346" spans="1:1" ht="12.75" customHeight="1">
      <c r="A346" s="64"/>
    </row>
    <row r="347" spans="1:1" ht="12.75" customHeight="1">
      <c r="A347" s="64"/>
    </row>
    <row r="348" spans="1:1" ht="12.75" customHeight="1">
      <c r="A348" s="64"/>
    </row>
    <row r="349" spans="1:1" ht="12.75" customHeight="1">
      <c r="A349" s="64"/>
    </row>
    <row r="350" spans="1:1" ht="12.75" customHeight="1">
      <c r="A350" s="64"/>
    </row>
    <row r="351" spans="1:1" ht="12.75" customHeight="1">
      <c r="A351" s="64"/>
    </row>
    <row r="352" spans="1:1" ht="12.75" customHeight="1">
      <c r="A352" s="64"/>
    </row>
    <row r="353" spans="1:1" ht="12.75" customHeight="1">
      <c r="A353" s="64"/>
    </row>
    <row r="354" spans="1:1" ht="12.75" customHeight="1">
      <c r="A354" s="64"/>
    </row>
    <row r="355" spans="1:1" ht="12.75" customHeight="1">
      <c r="A355" s="64"/>
    </row>
    <row r="356" spans="1:1" ht="12.75" customHeight="1">
      <c r="A356" s="64"/>
    </row>
    <row r="357" spans="1:1" ht="12.75" customHeight="1">
      <c r="A357" s="64"/>
    </row>
    <row r="358" spans="1:1" ht="12.75" customHeight="1">
      <c r="A358" s="64"/>
    </row>
    <row r="359" spans="1:1" ht="12.75" customHeight="1">
      <c r="A359" s="64"/>
    </row>
    <row r="360" spans="1:1" ht="12.75" customHeight="1">
      <c r="A360" s="64"/>
    </row>
    <row r="361" spans="1:1" ht="12.75" customHeight="1">
      <c r="A361" s="64"/>
    </row>
    <row r="362" spans="1:1" ht="12.75" customHeight="1">
      <c r="A362" s="64"/>
    </row>
    <row r="363" spans="1:1" ht="12.75" customHeight="1">
      <c r="A363" s="64"/>
    </row>
    <row r="364" spans="1:1" ht="12.75" customHeight="1">
      <c r="A364" s="64"/>
    </row>
    <row r="365" spans="1:1" ht="12.75" customHeight="1">
      <c r="A365" s="64"/>
    </row>
    <row r="366" spans="1:1" ht="12.75" customHeight="1">
      <c r="A366" s="64"/>
    </row>
    <row r="367" spans="1:1" ht="12.75" customHeight="1">
      <c r="A367" s="64"/>
    </row>
    <row r="368" spans="1:1" ht="12.75" customHeight="1">
      <c r="A368" s="64"/>
    </row>
    <row r="369" spans="1:1" ht="12.75" customHeight="1">
      <c r="A369" s="64"/>
    </row>
    <row r="370" spans="1:1" ht="12.75" customHeight="1">
      <c r="A370" s="64"/>
    </row>
    <row r="371" spans="1:1" ht="12.75" customHeight="1">
      <c r="A371" s="64"/>
    </row>
    <row r="372" spans="1:1" ht="12.75" customHeight="1">
      <c r="A372" s="64"/>
    </row>
    <row r="373" spans="1:1" ht="12.75" customHeight="1">
      <c r="A373" s="64"/>
    </row>
    <row r="374" spans="1:1" ht="12.75" customHeight="1">
      <c r="A374" s="64"/>
    </row>
    <row r="375" spans="1:1" ht="12.75" customHeight="1">
      <c r="A375" s="64"/>
    </row>
    <row r="376" spans="1:1" ht="12.75" customHeight="1">
      <c r="A376" s="64"/>
    </row>
    <row r="377" spans="1:1" ht="12.75" customHeight="1">
      <c r="A377" s="64"/>
    </row>
    <row r="378" spans="1:1" ht="12.75" customHeight="1">
      <c r="A378" s="64"/>
    </row>
    <row r="379" spans="1:1" ht="12.75" customHeight="1">
      <c r="A379" s="64"/>
    </row>
    <row r="380" spans="1:1" ht="12.75" customHeight="1">
      <c r="A380" s="64"/>
    </row>
    <row r="381" spans="1:1" ht="12.75" customHeight="1">
      <c r="A381" s="64"/>
    </row>
    <row r="382" spans="1:1" ht="12.75" customHeight="1">
      <c r="A382" s="64"/>
    </row>
    <row r="383" spans="1:1" ht="12.75" customHeight="1">
      <c r="A383" s="64"/>
    </row>
    <row r="384" spans="1:1" ht="12.75" customHeight="1">
      <c r="A384" s="64"/>
    </row>
    <row r="385" spans="1:1" ht="12.75" customHeight="1">
      <c r="A385" s="64"/>
    </row>
    <row r="386" spans="1:1" ht="12.75" customHeight="1">
      <c r="A386" s="64"/>
    </row>
    <row r="387" spans="1:1" ht="12.75" customHeight="1">
      <c r="A387" s="64"/>
    </row>
    <row r="388" spans="1:1" ht="12.75" customHeight="1">
      <c r="A388" s="64"/>
    </row>
    <row r="389" spans="1:1" ht="12.75" customHeight="1">
      <c r="A389" s="64"/>
    </row>
    <row r="390" spans="1:1" ht="12.75" customHeight="1">
      <c r="A390" s="64"/>
    </row>
    <row r="391" spans="1:1" ht="12.75" customHeight="1">
      <c r="A391" s="64"/>
    </row>
    <row r="392" spans="1:1" ht="12.75" customHeight="1">
      <c r="A392" s="64"/>
    </row>
    <row r="393" spans="1:1" ht="12.75" customHeight="1">
      <c r="A393" s="64"/>
    </row>
    <row r="394" spans="1:1" ht="12.75" customHeight="1">
      <c r="A394" s="64"/>
    </row>
    <row r="395" spans="1:1" ht="12.75" customHeight="1">
      <c r="A395" s="64"/>
    </row>
    <row r="396" spans="1:1" ht="12.75" customHeight="1">
      <c r="A396" s="64"/>
    </row>
    <row r="397" spans="1:1" ht="12.75" customHeight="1">
      <c r="A397" s="64"/>
    </row>
    <row r="398" spans="1:1" ht="12.75" customHeight="1">
      <c r="A398" s="64"/>
    </row>
    <row r="399" spans="1:1" ht="12.75" customHeight="1">
      <c r="A399" s="64"/>
    </row>
    <row r="400" spans="1:1" ht="12.75" customHeight="1">
      <c r="A400" s="64"/>
    </row>
    <row r="401" spans="1:1" ht="12.75" customHeight="1">
      <c r="A401" s="64"/>
    </row>
    <row r="402" spans="1:1" ht="12.75" customHeight="1">
      <c r="A402" s="64"/>
    </row>
    <row r="403" spans="1:1" ht="12.75" customHeight="1">
      <c r="A403" s="64"/>
    </row>
    <row r="404" spans="1:1" ht="12.75" customHeight="1">
      <c r="A404" s="64"/>
    </row>
    <row r="405" spans="1:1" ht="12.75" customHeight="1">
      <c r="A405" s="64"/>
    </row>
    <row r="406" spans="1:1" ht="12.75" customHeight="1">
      <c r="A406" s="64"/>
    </row>
    <row r="407" spans="1:1" ht="12.75" customHeight="1">
      <c r="A407" s="64"/>
    </row>
    <row r="408" spans="1:1" ht="12.75" customHeight="1">
      <c r="A408" s="64"/>
    </row>
    <row r="409" spans="1:1" ht="12.75" customHeight="1">
      <c r="A409" s="64"/>
    </row>
    <row r="410" spans="1:1" ht="12.75" customHeight="1">
      <c r="A410" s="64"/>
    </row>
    <row r="411" spans="1:1" ht="12.75" customHeight="1">
      <c r="A411" s="64"/>
    </row>
    <row r="412" spans="1:1" ht="12.75" customHeight="1">
      <c r="A412" s="64"/>
    </row>
    <row r="413" spans="1:1" ht="12.75" customHeight="1">
      <c r="A413" s="64"/>
    </row>
    <row r="414" spans="1:1" ht="12.75" customHeight="1">
      <c r="A414" s="64"/>
    </row>
    <row r="415" spans="1:1" ht="12.75" customHeight="1">
      <c r="A415" s="64"/>
    </row>
    <row r="416" spans="1:1" ht="12.75" customHeight="1">
      <c r="A416" s="64"/>
    </row>
    <row r="417" spans="1:1" ht="12.75" customHeight="1">
      <c r="A417" s="64"/>
    </row>
    <row r="418" spans="1:1" ht="12.75" customHeight="1">
      <c r="A418" s="64"/>
    </row>
    <row r="419" spans="1:1" ht="12.75" customHeight="1">
      <c r="A419" s="64"/>
    </row>
    <row r="420" spans="1:1" ht="12.75" customHeight="1">
      <c r="A420" s="64"/>
    </row>
    <row r="421" spans="1:1" ht="12.75" customHeight="1">
      <c r="A421" s="64"/>
    </row>
    <row r="422" spans="1:1" ht="12.75" customHeight="1">
      <c r="A422" s="64"/>
    </row>
    <row r="423" spans="1:1" ht="12.75" customHeight="1">
      <c r="A423" s="64"/>
    </row>
    <row r="424" spans="1:1" ht="12.75" customHeight="1">
      <c r="A424" s="64"/>
    </row>
    <row r="425" spans="1:1" ht="12.75" customHeight="1">
      <c r="A425" s="64"/>
    </row>
    <row r="426" spans="1:1" ht="12.75" customHeight="1">
      <c r="A426" s="64"/>
    </row>
    <row r="427" spans="1:1" ht="12.75" customHeight="1">
      <c r="A427" s="64"/>
    </row>
    <row r="428" spans="1:1" ht="12.75" customHeight="1">
      <c r="A428" s="64"/>
    </row>
    <row r="429" spans="1:1" ht="12.75" customHeight="1">
      <c r="A429" s="64"/>
    </row>
    <row r="430" spans="1:1" ht="12.75" customHeight="1">
      <c r="A430" s="64"/>
    </row>
    <row r="431" spans="1:1" ht="12.75" customHeight="1">
      <c r="A431" s="64"/>
    </row>
    <row r="432" spans="1:1" ht="12.75" customHeight="1">
      <c r="A432" s="64"/>
    </row>
    <row r="433" spans="1:1" ht="12.75" customHeight="1">
      <c r="A433" s="64"/>
    </row>
    <row r="434" spans="1:1" ht="12.75" customHeight="1">
      <c r="A434" s="64"/>
    </row>
    <row r="435" spans="1:1" ht="12.75" customHeight="1">
      <c r="A435" s="64"/>
    </row>
    <row r="436" spans="1:1" ht="12.75" customHeight="1">
      <c r="A436" s="64"/>
    </row>
    <row r="437" spans="1:1" ht="12.75" customHeight="1">
      <c r="A437" s="64"/>
    </row>
    <row r="438" spans="1:1" ht="12.75" customHeight="1">
      <c r="A438" s="64"/>
    </row>
    <row r="439" spans="1:1" ht="12.75" customHeight="1">
      <c r="A439" s="64"/>
    </row>
    <row r="440" spans="1:1" ht="12.75" customHeight="1">
      <c r="A440" s="64"/>
    </row>
    <row r="441" spans="1:1" ht="12.75" customHeight="1">
      <c r="A441" s="64"/>
    </row>
    <row r="442" spans="1:1" ht="12.75" customHeight="1">
      <c r="A442" s="64"/>
    </row>
    <row r="443" spans="1:1" ht="12.75" customHeight="1">
      <c r="A443" s="64"/>
    </row>
    <row r="444" spans="1:1" ht="12.75" customHeight="1">
      <c r="A444" s="64"/>
    </row>
    <row r="445" spans="1:1" ht="12.75" customHeight="1">
      <c r="A445" s="64"/>
    </row>
    <row r="446" spans="1:1" ht="12.75" customHeight="1">
      <c r="A446" s="64"/>
    </row>
    <row r="447" spans="1:1" ht="12.75" customHeight="1">
      <c r="A447" s="64"/>
    </row>
    <row r="448" spans="1:1" ht="12.75" customHeight="1">
      <c r="A448" s="64"/>
    </row>
    <row r="449" spans="1:1" ht="12.75" customHeight="1">
      <c r="A449" s="64"/>
    </row>
    <row r="450" spans="1:1" ht="12.75" customHeight="1">
      <c r="A450" s="64"/>
    </row>
    <row r="451" spans="1:1" ht="12.75" customHeight="1">
      <c r="A451" s="64"/>
    </row>
    <row r="452" spans="1:1" ht="12.75" customHeight="1">
      <c r="A452" s="64"/>
    </row>
    <row r="453" spans="1:1" ht="12.75" customHeight="1">
      <c r="A453" s="64"/>
    </row>
    <row r="454" spans="1:1" ht="12.75" customHeight="1">
      <c r="A454" s="64"/>
    </row>
    <row r="455" spans="1:1" ht="12.75" customHeight="1">
      <c r="A455" s="64"/>
    </row>
    <row r="456" spans="1:1" ht="12.75" customHeight="1">
      <c r="A456" s="64"/>
    </row>
    <row r="457" spans="1:1" ht="12.75" customHeight="1">
      <c r="A457" s="64"/>
    </row>
    <row r="458" spans="1:1" ht="12.75" customHeight="1">
      <c r="A458" s="64"/>
    </row>
    <row r="459" spans="1:1" ht="12.75" customHeight="1">
      <c r="A459" s="64"/>
    </row>
    <row r="460" spans="1:1" ht="12.75" customHeight="1">
      <c r="A460" s="64"/>
    </row>
    <row r="461" spans="1:1" ht="12.75" customHeight="1">
      <c r="A461" s="64"/>
    </row>
    <row r="462" spans="1:1" ht="12.75" customHeight="1">
      <c r="A462" s="64"/>
    </row>
    <row r="463" spans="1:1" ht="12.75" customHeight="1">
      <c r="A463" s="64"/>
    </row>
    <row r="464" spans="1:1" ht="12.75" customHeight="1">
      <c r="A464" s="64"/>
    </row>
    <row r="465" spans="1:1" ht="12.75" customHeight="1">
      <c r="A465" s="64"/>
    </row>
    <row r="466" spans="1:1" ht="12.75" customHeight="1">
      <c r="A466" s="64"/>
    </row>
    <row r="467" spans="1:1" ht="12.75" customHeight="1">
      <c r="A467" s="64"/>
    </row>
    <row r="468" spans="1:1" ht="12.75" customHeight="1">
      <c r="A468" s="64"/>
    </row>
    <row r="469" spans="1:1" ht="12.75" customHeight="1">
      <c r="A469" s="64"/>
    </row>
    <row r="470" spans="1:1" ht="12.75" customHeight="1">
      <c r="A470" s="64"/>
    </row>
    <row r="471" spans="1:1" ht="12.75" customHeight="1">
      <c r="A471" s="64"/>
    </row>
    <row r="472" spans="1:1" ht="12.75" customHeight="1">
      <c r="A472" s="64"/>
    </row>
    <row r="473" spans="1:1" ht="12.75" customHeight="1">
      <c r="A473" s="64"/>
    </row>
    <row r="474" spans="1:1" ht="12.75" customHeight="1">
      <c r="A474" s="64"/>
    </row>
    <row r="475" spans="1:1" ht="12.75" customHeight="1">
      <c r="A475" s="64"/>
    </row>
    <row r="476" spans="1:1" ht="12.75" customHeight="1">
      <c r="A476" s="64"/>
    </row>
    <row r="477" spans="1:1" ht="12.75" customHeight="1">
      <c r="A477" s="64"/>
    </row>
    <row r="478" spans="1:1" ht="12.75" customHeight="1">
      <c r="A478" s="64"/>
    </row>
    <row r="479" spans="1:1" ht="12.75" customHeight="1">
      <c r="A479" s="64"/>
    </row>
    <row r="480" spans="1:1" ht="12.75" customHeight="1">
      <c r="A480" s="64"/>
    </row>
    <row r="481" spans="1:1" ht="12.75" customHeight="1">
      <c r="A481" s="64"/>
    </row>
    <row r="482" spans="1:1" ht="12.75" customHeight="1">
      <c r="A482" s="64"/>
    </row>
    <row r="483" spans="1:1" ht="12.75" customHeight="1">
      <c r="A483" s="64"/>
    </row>
    <row r="484" spans="1:1" ht="12.75" customHeight="1">
      <c r="A484" s="64"/>
    </row>
    <row r="485" spans="1:1" ht="12.75" customHeight="1">
      <c r="A485" s="64"/>
    </row>
    <row r="486" spans="1:1" ht="12.75" customHeight="1">
      <c r="A486" s="64"/>
    </row>
    <row r="487" spans="1:1" ht="12.75" customHeight="1">
      <c r="A487" s="64"/>
    </row>
    <row r="488" spans="1:1" ht="12.75" customHeight="1">
      <c r="A488" s="64"/>
    </row>
    <row r="489" spans="1:1" ht="12.75" customHeight="1">
      <c r="A489" s="64"/>
    </row>
    <row r="490" spans="1:1" ht="12.75" customHeight="1">
      <c r="A490" s="64"/>
    </row>
    <row r="491" spans="1:1" ht="12.75" customHeight="1">
      <c r="A491" s="64"/>
    </row>
    <row r="492" spans="1:1" ht="12.75" customHeight="1">
      <c r="A492" s="64"/>
    </row>
    <row r="493" spans="1:1" ht="12.75" customHeight="1">
      <c r="A493" s="64"/>
    </row>
    <row r="494" spans="1:1" ht="12.75" customHeight="1">
      <c r="A494" s="64"/>
    </row>
    <row r="495" spans="1:1" ht="12.75" customHeight="1">
      <c r="A495" s="64"/>
    </row>
    <row r="496" spans="1:1" ht="12.75" customHeight="1">
      <c r="A496" s="64"/>
    </row>
    <row r="497" spans="1:1" ht="12.75" customHeight="1">
      <c r="A497" s="64"/>
    </row>
    <row r="498" spans="1:1" ht="12.75" customHeight="1">
      <c r="A498" s="64"/>
    </row>
    <row r="499" spans="1:1" ht="12.75" customHeight="1">
      <c r="A499" s="64"/>
    </row>
    <row r="500" spans="1:1" ht="12.75" customHeight="1">
      <c r="A500" s="64"/>
    </row>
    <row r="501" spans="1:1" ht="12.75" customHeight="1">
      <c r="A501" s="64"/>
    </row>
    <row r="502" spans="1:1" ht="12.75" customHeight="1">
      <c r="A502" s="64"/>
    </row>
    <row r="503" spans="1:1" ht="12.75" customHeight="1">
      <c r="A503" s="64"/>
    </row>
    <row r="504" spans="1:1" ht="12.75" customHeight="1">
      <c r="A504" s="64"/>
    </row>
    <row r="505" spans="1:1" ht="12.75" customHeight="1">
      <c r="A505" s="64"/>
    </row>
    <row r="506" spans="1:1" ht="12.75" customHeight="1">
      <c r="A506" s="64"/>
    </row>
    <row r="507" spans="1:1" ht="12.75" customHeight="1">
      <c r="A507" s="64"/>
    </row>
    <row r="508" spans="1:1" ht="12.75" customHeight="1">
      <c r="A508" s="64"/>
    </row>
    <row r="509" spans="1:1" ht="12.75" customHeight="1">
      <c r="A509" s="64"/>
    </row>
    <row r="510" spans="1:1" ht="12.75" customHeight="1">
      <c r="A510" s="64"/>
    </row>
    <row r="511" spans="1:1" ht="12.75" customHeight="1">
      <c r="A511" s="64"/>
    </row>
    <row r="512" spans="1:1" ht="12.75" customHeight="1">
      <c r="A512" s="64"/>
    </row>
    <row r="513" spans="1:1" ht="12.75" customHeight="1">
      <c r="A513" s="64"/>
    </row>
    <row r="514" spans="1:1" ht="12.75" customHeight="1">
      <c r="A514" s="64"/>
    </row>
    <row r="515" spans="1:1" ht="12.75" customHeight="1">
      <c r="A515" s="64"/>
    </row>
    <row r="516" spans="1:1" ht="12.75" customHeight="1">
      <c r="A516" s="64"/>
    </row>
    <row r="517" spans="1:1" ht="12.75" customHeight="1">
      <c r="A517" s="64"/>
    </row>
    <row r="518" spans="1:1" ht="12.75" customHeight="1">
      <c r="A518" s="64"/>
    </row>
    <row r="519" spans="1:1" ht="12.75" customHeight="1">
      <c r="A519" s="64"/>
    </row>
    <row r="520" spans="1:1" ht="12.75" customHeight="1">
      <c r="A520" s="64"/>
    </row>
    <row r="521" spans="1:1" ht="12.75" customHeight="1">
      <c r="A521" s="64"/>
    </row>
    <row r="522" spans="1:1" ht="12.75" customHeight="1">
      <c r="A522" s="64"/>
    </row>
    <row r="523" spans="1:1" ht="12.75" customHeight="1">
      <c r="A523" s="64"/>
    </row>
    <row r="524" spans="1:1" ht="12.75" customHeight="1">
      <c r="A524" s="64"/>
    </row>
    <row r="525" spans="1:1" ht="12.75" customHeight="1">
      <c r="A525" s="64"/>
    </row>
    <row r="526" spans="1:1" ht="12.75" customHeight="1">
      <c r="A526" s="64"/>
    </row>
    <row r="527" spans="1:1" ht="12.75" customHeight="1">
      <c r="A527" s="64"/>
    </row>
    <row r="528" spans="1:1" ht="12.75" customHeight="1">
      <c r="A528" s="64"/>
    </row>
    <row r="529" spans="1:1" ht="12.75" customHeight="1">
      <c r="A529" s="64"/>
    </row>
    <row r="530" spans="1:1" ht="12.75" customHeight="1">
      <c r="A530" s="64"/>
    </row>
    <row r="531" spans="1:1" ht="12.75" customHeight="1">
      <c r="A531" s="64"/>
    </row>
    <row r="532" spans="1:1" ht="12.75" customHeight="1">
      <c r="A532" s="64"/>
    </row>
    <row r="533" spans="1:1" ht="12.75" customHeight="1">
      <c r="A533" s="64"/>
    </row>
    <row r="534" spans="1:1" ht="12.75" customHeight="1">
      <c r="A534" s="64"/>
    </row>
    <row r="535" spans="1:1" ht="12.75" customHeight="1">
      <c r="A535" s="64"/>
    </row>
    <row r="536" spans="1:1" ht="12.75" customHeight="1">
      <c r="A536" s="64"/>
    </row>
    <row r="537" spans="1:1" ht="12.75" customHeight="1">
      <c r="A537" s="64"/>
    </row>
    <row r="538" spans="1:1" ht="12.75" customHeight="1">
      <c r="A538" s="64"/>
    </row>
    <row r="539" spans="1:1" ht="12.75" customHeight="1">
      <c r="A539" s="64"/>
    </row>
    <row r="540" spans="1:1" ht="12.75" customHeight="1">
      <c r="A540" s="64"/>
    </row>
    <row r="541" spans="1:1" ht="12.75" customHeight="1">
      <c r="A541" s="64"/>
    </row>
    <row r="542" spans="1:1" ht="12.75" customHeight="1">
      <c r="A542" s="64"/>
    </row>
    <row r="543" spans="1:1" ht="12.75" customHeight="1">
      <c r="A543" s="64"/>
    </row>
    <row r="544" spans="1:1" ht="12.75" customHeight="1">
      <c r="A544" s="64"/>
    </row>
    <row r="545" spans="1:1" ht="12.75" customHeight="1">
      <c r="A545" s="64"/>
    </row>
    <row r="546" spans="1:1" ht="12.75" customHeight="1">
      <c r="A546" s="64"/>
    </row>
    <row r="547" spans="1:1" ht="12.75" customHeight="1">
      <c r="A547" s="64"/>
    </row>
    <row r="548" spans="1:1" ht="12.75" customHeight="1">
      <c r="A548" s="64"/>
    </row>
    <row r="549" spans="1:1" ht="12.75" customHeight="1">
      <c r="A549" s="64"/>
    </row>
    <row r="550" spans="1:1" ht="12.75" customHeight="1">
      <c r="A550" s="64"/>
    </row>
    <row r="551" spans="1:1" ht="12.75" customHeight="1">
      <c r="A551" s="64"/>
    </row>
    <row r="552" spans="1:1" ht="12.75" customHeight="1">
      <c r="A552" s="64"/>
    </row>
    <row r="553" spans="1:1" ht="12.75" customHeight="1">
      <c r="A553" s="64"/>
    </row>
    <row r="554" spans="1:1" ht="12.75" customHeight="1">
      <c r="A554" s="64"/>
    </row>
    <row r="555" spans="1:1" ht="12.75" customHeight="1">
      <c r="A555" s="64"/>
    </row>
    <row r="556" spans="1:1" ht="12.75" customHeight="1">
      <c r="A556" s="64"/>
    </row>
    <row r="557" spans="1:1" ht="12.75" customHeight="1">
      <c r="A557" s="64"/>
    </row>
    <row r="558" spans="1:1" ht="12.75" customHeight="1">
      <c r="A558" s="64"/>
    </row>
    <row r="559" spans="1:1" ht="12.75" customHeight="1">
      <c r="A559" s="64"/>
    </row>
    <row r="560" spans="1:1" ht="12.75" customHeight="1">
      <c r="A560" s="64"/>
    </row>
    <row r="561" spans="1:1" ht="12.75" customHeight="1">
      <c r="A561" s="64"/>
    </row>
    <row r="562" spans="1:1" ht="12.75" customHeight="1">
      <c r="A562" s="64"/>
    </row>
    <row r="563" spans="1:1" ht="12.75" customHeight="1">
      <c r="A563" s="64"/>
    </row>
    <row r="564" spans="1:1" ht="12.75" customHeight="1">
      <c r="A564" s="64"/>
    </row>
    <row r="565" spans="1:1" ht="12.75" customHeight="1">
      <c r="A565" s="64"/>
    </row>
    <row r="566" spans="1:1" ht="12.75" customHeight="1">
      <c r="A566" s="64"/>
    </row>
    <row r="567" spans="1:1" ht="12.75" customHeight="1">
      <c r="A567" s="64"/>
    </row>
    <row r="568" spans="1:1" ht="12.75" customHeight="1">
      <c r="A568" s="64"/>
    </row>
    <row r="569" spans="1:1" ht="12.75" customHeight="1">
      <c r="A569" s="64"/>
    </row>
    <row r="570" spans="1:1" ht="12.75" customHeight="1">
      <c r="A570" s="64"/>
    </row>
    <row r="571" spans="1:1" ht="12.75" customHeight="1">
      <c r="A571" s="64"/>
    </row>
    <row r="572" spans="1:1" ht="12.75" customHeight="1">
      <c r="A572" s="64"/>
    </row>
    <row r="573" spans="1:1" ht="12.75" customHeight="1">
      <c r="A573" s="64"/>
    </row>
    <row r="574" spans="1:1" ht="12.75" customHeight="1">
      <c r="A574" s="64"/>
    </row>
    <row r="575" spans="1:1" ht="12.75" customHeight="1">
      <c r="A575" s="64"/>
    </row>
    <row r="576" spans="1:1" ht="12.75" customHeight="1">
      <c r="A576" s="64"/>
    </row>
    <row r="577" spans="1:1" ht="12.75" customHeight="1">
      <c r="A577" s="64"/>
    </row>
    <row r="578" spans="1:1" ht="12.75" customHeight="1">
      <c r="A578" s="64"/>
    </row>
    <row r="579" spans="1:1" ht="12.75" customHeight="1">
      <c r="A579" s="64"/>
    </row>
    <row r="580" spans="1:1" ht="12.75" customHeight="1">
      <c r="A580" s="64"/>
    </row>
    <row r="581" spans="1:1" ht="12.75" customHeight="1">
      <c r="A581" s="64"/>
    </row>
    <row r="582" spans="1:1" ht="12.75" customHeight="1">
      <c r="A582" s="64"/>
    </row>
    <row r="583" spans="1:1" ht="12.75" customHeight="1">
      <c r="A583" s="64"/>
    </row>
    <row r="584" spans="1:1" ht="12.75" customHeight="1">
      <c r="A584" s="64"/>
    </row>
    <row r="585" spans="1:1" ht="12.75" customHeight="1">
      <c r="A585" s="64"/>
    </row>
    <row r="586" spans="1:1" ht="12.75" customHeight="1">
      <c r="A586" s="64"/>
    </row>
    <row r="587" spans="1:1" ht="12.75" customHeight="1">
      <c r="A587" s="64"/>
    </row>
    <row r="588" spans="1:1" ht="12.75" customHeight="1">
      <c r="A588" s="64"/>
    </row>
    <row r="589" spans="1:1" ht="12.75" customHeight="1">
      <c r="A589" s="64"/>
    </row>
    <row r="590" spans="1:1" ht="12.75" customHeight="1">
      <c r="A590" s="64"/>
    </row>
    <row r="591" spans="1:1" ht="12.75" customHeight="1">
      <c r="A591" s="64"/>
    </row>
    <row r="592" spans="1:1" ht="12.75" customHeight="1">
      <c r="A592" s="64"/>
    </row>
    <row r="593" spans="1:1" ht="12.75" customHeight="1">
      <c r="A593" s="64"/>
    </row>
    <row r="594" spans="1:1" ht="12.75" customHeight="1">
      <c r="A594" s="64"/>
    </row>
    <row r="595" spans="1:1" ht="12.75" customHeight="1">
      <c r="A595" s="64"/>
    </row>
    <row r="596" spans="1:1" ht="12.75" customHeight="1">
      <c r="A596" s="64"/>
    </row>
    <row r="597" spans="1:1" ht="12.75" customHeight="1">
      <c r="A597" s="64"/>
    </row>
    <row r="598" spans="1:1" ht="12.75" customHeight="1">
      <c r="A598" s="64"/>
    </row>
    <row r="599" spans="1:1" ht="12.75" customHeight="1">
      <c r="A599" s="64"/>
    </row>
    <row r="600" spans="1:1" ht="12.75" customHeight="1">
      <c r="A600" s="64"/>
    </row>
    <row r="601" spans="1:1" ht="12.75" customHeight="1">
      <c r="A601" s="64"/>
    </row>
    <row r="602" spans="1:1" ht="12.75" customHeight="1">
      <c r="A602" s="64"/>
    </row>
    <row r="603" spans="1:1" ht="12.75" customHeight="1">
      <c r="A603" s="64"/>
    </row>
    <row r="604" spans="1:1" ht="12.75" customHeight="1">
      <c r="A604" s="64"/>
    </row>
    <row r="605" spans="1:1" ht="12.75" customHeight="1">
      <c r="A605" s="64"/>
    </row>
    <row r="606" spans="1:1" ht="12.75" customHeight="1">
      <c r="A606" s="64"/>
    </row>
    <row r="607" spans="1:1" ht="12.75" customHeight="1">
      <c r="A607" s="64"/>
    </row>
    <row r="608" spans="1:1" ht="12.75" customHeight="1">
      <c r="A608" s="64"/>
    </row>
    <row r="609" spans="1:1" ht="12.75" customHeight="1">
      <c r="A609" s="64"/>
    </row>
    <row r="610" spans="1:1" ht="12.75" customHeight="1">
      <c r="A610" s="64"/>
    </row>
    <row r="611" spans="1:1" ht="12.75" customHeight="1">
      <c r="A611" s="64"/>
    </row>
    <row r="612" spans="1:1" ht="12.75" customHeight="1">
      <c r="A612" s="64"/>
    </row>
    <row r="613" spans="1:1" ht="12.75" customHeight="1">
      <c r="A613" s="64"/>
    </row>
    <row r="614" spans="1:1" ht="12.75" customHeight="1">
      <c r="A614" s="64"/>
    </row>
    <row r="615" spans="1:1" ht="12.75" customHeight="1">
      <c r="A615" s="64"/>
    </row>
    <row r="616" spans="1:1" ht="12.75" customHeight="1">
      <c r="A616" s="64"/>
    </row>
    <row r="617" spans="1:1" ht="12.75" customHeight="1">
      <c r="A617" s="64"/>
    </row>
    <row r="618" spans="1:1" ht="12.75" customHeight="1">
      <c r="A618" s="64"/>
    </row>
    <row r="619" spans="1:1" ht="12.75" customHeight="1">
      <c r="A619" s="64"/>
    </row>
    <row r="620" spans="1:1" ht="12.75" customHeight="1">
      <c r="A620" s="64"/>
    </row>
    <row r="621" spans="1:1" ht="12.75" customHeight="1">
      <c r="A621" s="64"/>
    </row>
    <row r="622" spans="1:1" ht="12.75" customHeight="1">
      <c r="A622" s="64"/>
    </row>
    <row r="623" spans="1:1" ht="12.75" customHeight="1">
      <c r="A623" s="64"/>
    </row>
    <row r="624" spans="1:1" ht="12.75" customHeight="1">
      <c r="A624" s="64"/>
    </row>
    <row r="625" spans="1:1" ht="12.75" customHeight="1">
      <c r="A625" s="64"/>
    </row>
    <row r="626" spans="1:1" ht="12.75" customHeight="1">
      <c r="A626" s="64"/>
    </row>
    <row r="627" spans="1:1" ht="12.75" customHeight="1">
      <c r="A627" s="64"/>
    </row>
    <row r="628" spans="1:1" ht="12.75" customHeight="1">
      <c r="A628" s="64"/>
    </row>
    <row r="629" spans="1:1" ht="12.75" customHeight="1">
      <c r="A629" s="64"/>
    </row>
    <row r="630" spans="1:1" ht="12.75" customHeight="1">
      <c r="A630" s="64"/>
    </row>
    <row r="631" spans="1:1" ht="12.75" customHeight="1">
      <c r="A631" s="64"/>
    </row>
    <row r="632" spans="1:1" ht="12.75" customHeight="1">
      <c r="A632" s="64"/>
    </row>
    <row r="633" spans="1:1" ht="12.75" customHeight="1">
      <c r="A633" s="64"/>
    </row>
    <row r="634" spans="1:1" ht="12.75" customHeight="1">
      <c r="A634" s="64"/>
    </row>
    <row r="635" spans="1:1" ht="12.75" customHeight="1">
      <c r="A635" s="64"/>
    </row>
    <row r="636" spans="1:1" ht="12.75" customHeight="1">
      <c r="A636" s="64"/>
    </row>
    <row r="637" spans="1:1" ht="12.75" customHeight="1">
      <c r="A637" s="64"/>
    </row>
    <row r="638" spans="1:1" ht="12.75" customHeight="1">
      <c r="A638" s="64"/>
    </row>
    <row r="639" spans="1:1" ht="12.75" customHeight="1">
      <c r="A639" s="64"/>
    </row>
    <row r="640" spans="1:1" ht="12.75" customHeight="1">
      <c r="A640" s="64"/>
    </row>
    <row r="641" spans="1:1" ht="12.75" customHeight="1">
      <c r="A641" s="64"/>
    </row>
    <row r="642" spans="1:1" ht="12.75" customHeight="1">
      <c r="A642" s="64"/>
    </row>
    <row r="643" spans="1:1" ht="12.75" customHeight="1">
      <c r="A643" s="64"/>
    </row>
    <row r="644" spans="1:1" ht="12.75" customHeight="1">
      <c r="A644" s="64"/>
    </row>
    <row r="645" spans="1:1" ht="12.75" customHeight="1">
      <c r="A645" s="64"/>
    </row>
    <row r="646" spans="1:1" ht="12.75" customHeight="1">
      <c r="A646" s="64"/>
    </row>
    <row r="647" spans="1:1" ht="12.75" customHeight="1">
      <c r="A647" s="64"/>
    </row>
    <row r="648" spans="1:1" ht="12.75" customHeight="1">
      <c r="A648" s="64"/>
    </row>
    <row r="649" spans="1:1" ht="12.75" customHeight="1">
      <c r="A649" s="64"/>
    </row>
    <row r="650" spans="1:1" ht="12.75" customHeight="1">
      <c r="A650" s="64"/>
    </row>
    <row r="651" spans="1:1" ht="12.75" customHeight="1">
      <c r="A651" s="64"/>
    </row>
    <row r="652" spans="1:1" ht="12.75" customHeight="1">
      <c r="A652" s="64"/>
    </row>
    <row r="653" spans="1:1" ht="12.75" customHeight="1">
      <c r="A653" s="64"/>
    </row>
    <row r="654" spans="1:1" ht="12.75" customHeight="1">
      <c r="A654" s="64"/>
    </row>
    <row r="655" spans="1:1" ht="12.75" customHeight="1">
      <c r="A655" s="64"/>
    </row>
    <row r="656" spans="1:1" ht="12.75" customHeight="1">
      <c r="A656" s="64"/>
    </row>
    <row r="657" spans="1:1" ht="12.75" customHeight="1">
      <c r="A657" s="64"/>
    </row>
    <row r="658" spans="1:1" ht="12.75" customHeight="1">
      <c r="A658" s="64"/>
    </row>
    <row r="659" spans="1:1" ht="12.75" customHeight="1">
      <c r="A659" s="64"/>
    </row>
    <row r="660" spans="1:1" ht="12.75" customHeight="1">
      <c r="A660" s="64"/>
    </row>
    <row r="661" spans="1:1" ht="12.75" customHeight="1">
      <c r="A661" s="64"/>
    </row>
    <row r="662" spans="1:1" ht="12.75" customHeight="1">
      <c r="A662" s="64"/>
    </row>
    <row r="663" spans="1:1" ht="12.75" customHeight="1">
      <c r="A663" s="64"/>
    </row>
    <row r="664" spans="1:1" ht="12.75" customHeight="1">
      <c r="A664" s="64"/>
    </row>
    <row r="665" spans="1:1" ht="12.75" customHeight="1">
      <c r="A665" s="64"/>
    </row>
    <row r="666" spans="1:1" ht="12.75" customHeight="1">
      <c r="A666" s="64"/>
    </row>
    <row r="667" spans="1:1" ht="12.75" customHeight="1">
      <c r="A667" s="64"/>
    </row>
    <row r="668" spans="1:1" ht="12.75" customHeight="1">
      <c r="A668" s="64"/>
    </row>
    <row r="669" spans="1:1" ht="12.75" customHeight="1">
      <c r="A669" s="64"/>
    </row>
    <row r="670" spans="1:1" ht="12.75" customHeight="1">
      <c r="A670" s="64"/>
    </row>
    <row r="671" spans="1:1" ht="12.75" customHeight="1">
      <c r="A671" s="64"/>
    </row>
    <row r="672" spans="1:1" ht="12.75" customHeight="1">
      <c r="A672" s="64"/>
    </row>
    <row r="673" spans="1:1" ht="12.75" customHeight="1">
      <c r="A673" s="64"/>
    </row>
    <row r="674" spans="1:1" ht="12.75" customHeight="1">
      <c r="A674" s="64"/>
    </row>
    <row r="675" spans="1:1" ht="12.75" customHeight="1">
      <c r="A675" s="64"/>
    </row>
    <row r="676" spans="1:1" ht="12.75" customHeight="1">
      <c r="A676" s="64"/>
    </row>
    <row r="677" spans="1:1" ht="12.75" customHeight="1">
      <c r="A677" s="64"/>
    </row>
    <row r="678" spans="1:1" ht="12.75" customHeight="1">
      <c r="A678" s="64"/>
    </row>
    <row r="679" spans="1:1" ht="12.75" customHeight="1">
      <c r="A679" s="64"/>
    </row>
    <row r="680" spans="1:1" ht="12.75" customHeight="1">
      <c r="A680" s="64"/>
    </row>
    <row r="681" spans="1:1" ht="12.75" customHeight="1">
      <c r="A681" s="64"/>
    </row>
    <row r="682" spans="1:1" ht="12.75" customHeight="1">
      <c r="A682" s="64"/>
    </row>
    <row r="683" spans="1:1" ht="12.75" customHeight="1">
      <c r="A683" s="64"/>
    </row>
    <row r="684" spans="1:1" ht="12.75" customHeight="1">
      <c r="A684" s="64"/>
    </row>
    <row r="685" spans="1:1" ht="12.75" customHeight="1">
      <c r="A685" s="64"/>
    </row>
    <row r="686" spans="1:1" ht="12.75" customHeight="1">
      <c r="A686" s="64"/>
    </row>
    <row r="687" spans="1:1" ht="12.75" customHeight="1">
      <c r="A687" s="64"/>
    </row>
    <row r="688" spans="1:1" ht="12.75" customHeight="1">
      <c r="A688" s="64"/>
    </row>
    <row r="689" spans="1:1" ht="12.75" customHeight="1">
      <c r="A689" s="64"/>
    </row>
    <row r="690" spans="1:1" ht="12.75" customHeight="1">
      <c r="A690" s="64"/>
    </row>
    <row r="691" spans="1:1" ht="12.75" customHeight="1">
      <c r="A691" s="64"/>
    </row>
    <row r="692" spans="1:1" ht="12.75" customHeight="1">
      <c r="A692" s="64"/>
    </row>
    <row r="693" spans="1:1" ht="12.75" customHeight="1">
      <c r="A693" s="64"/>
    </row>
    <row r="694" spans="1:1" ht="12.75" customHeight="1">
      <c r="A694" s="64"/>
    </row>
    <row r="695" spans="1:1" ht="12.75" customHeight="1">
      <c r="A695" s="64"/>
    </row>
    <row r="696" spans="1:1" ht="12.75" customHeight="1">
      <c r="A696" s="64"/>
    </row>
    <row r="697" spans="1:1" ht="12.75" customHeight="1">
      <c r="A697" s="64"/>
    </row>
    <row r="698" spans="1:1" ht="12.75" customHeight="1">
      <c r="A698" s="64"/>
    </row>
    <row r="699" spans="1:1" ht="12.75" customHeight="1">
      <c r="A699" s="64"/>
    </row>
    <row r="700" spans="1:1" ht="12.75" customHeight="1">
      <c r="A700" s="64"/>
    </row>
    <row r="701" spans="1:1" ht="12.75" customHeight="1">
      <c r="A701" s="64"/>
    </row>
    <row r="702" spans="1:1" ht="12.75" customHeight="1">
      <c r="A702" s="64"/>
    </row>
    <row r="703" spans="1:1" ht="12.75" customHeight="1">
      <c r="A703" s="64"/>
    </row>
    <row r="704" spans="1:1" ht="12.75" customHeight="1">
      <c r="A704" s="64"/>
    </row>
    <row r="705" spans="1:1" ht="12.75" customHeight="1">
      <c r="A705" s="64"/>
    </row>
    <row r="706" spans="1:1" ht="12.75" customHeight="1">
      <c r="A706" s="64"/>
    </row>
    <row r="707" spans="1:1" ht="12.75" customHeight="1">
      <c r="A707" s="64"/>
    </row>
    <row r="708" spans="1:1" ht="12.75" customHeight="1">
      <c r="A708" s="64"/>
    </row>
    <row r="709" spans="1:1" ht="12.75" customHeight="1">
      <c r="A709" s="64"/>
    </row>
    <row r="710" spans="1:1" ht="12.75" customHeight="1">
      <c r="A710" s="64"/>
    </row>
    <row r="711" spans="1:1" ht="12.75" customHeight="1">
      <c r="A711" s="64"/>
    </row>
    <row r="712" spans="1:1" ht="12.75" customHeight="1">
      <c r="A712" s="64"/>
    </row>
    <row r="713" spans="1:1" ht="12.75" customHeight="1">
      <c r="A713" s="64"/>
    </row>
    <row r="714" spans="1:1" ht="12.75" customHeight="1">
      <c r="A714" s="64"/>
    </row>
    <row r="715" spans="1:1" ht="12.75" customHeight="1">
      <c r="A715" s="64"/>
    </row>
    <row r="716" spans="1:1" ht="12.75" customHeight="1">
      <c r="A716" s="64"/>
    </row>
    <row r="717" spans="1:1" ht="12.75" customHeight="1">
      <c r="A717" s="64"/>
    </row>
    <row r="718" spans="1:1" ht="12.75" customHeight="1">
      <c r="A718" s="64"/>
    </row>
    <row r="719" spans="1:1" ht="12.75" customHeight="1">
      <c r="A719" s="64"/>
    </row>
    <row r="720" spans="1:1" ht="12.75" customHeight="1">
      <c r="A720" s="64"/>
    </row>
    <row r="721" spans="1:1" ht="12.75" customHeight="1">
      <c r="A721" s="64"/>
    </row>
    <row r="722" spans="1:1" ht="12.75" customHeight="1">
      <c r="A722" s="64"/>
    </row>
    <row r="723" spans="1:1" ht="12.75" customHeight="1">
      <c r="A723" s="64"/>
    </row>
    <row r="724" spans="1:1" ht="12.75" customHeight="1">
      <c r="A724" s="64"/>
    </row>
    <row r="725" spans="1:1" ht="12.75" customHeight="1">
      <c r="A725" s="64"/>
    </row>
    <row r="726" spans="1:1" ht="12.75" customHeight="1">
      <c r="A726" s="64"/>
    </row>
    <row r="727" spans="1:1" ht="12.75" customHeight="1">
      <c r="A727" s="64"/>
    </row>
    <row r="728" spans="1:1" ht="12.75" customHeight="1">
      <c r="A728" s="64"/>
    </row>
    <row r="729" spans="1:1" ht="12.75" customHeight="1">
      <c r="A729" s="64"/>
    </row>
    <row r="730" spans="1:1" ht="12.75" customHeight="1">
      <c r="A730" s="64"/>
    </row>
    <row r="731" spans="1:1" ht="12.75" customHeight="1">
      <c r="A731" s="64"/>
    </row>
    <row r="732" spans="1:1" ht="12.75" customHeight="1">
      <c r="A732" s="64"/>
    </row>
    <row r="733" spans="1:1" ht="12.75" customHeight="1">
      <c r="A733" s="64"/>
    </row>
    <row r="734" spans="1:1" ht="12.75" customHeight="1">
      <c r="A734" s="64"/>
    </row>
    <row r="735" spans="1:1" ht="12.75" customHeight="1">
      <c r="A735" s="64"/>
    </row>
    <row r="736" spans="1:1" ht="12.75" customHeight="1">
      <c r="A736" s="64"/>
    </row>
    <row r="737" spans="1:1" ht="12.75" customHeight="1">
      <c r="A737" s="64"/>
    </row>
    <row r="738" spans="1:1" ht="12.75" customHeight="1">
      <c r="A738" s="64"/>
    </row>
    <row r="739" spans="1:1" ht="12.75" customHeight="1">
      <c r="A739" s="64"/>
    </row>
    <row r="740" spans="1:1" ht="12.75" customHeight="1">
      <c r="A740" s="64"/>
    </row>
    <row r="741" spans="1:1" ht="12.75" customHeight="1">
      <c r="A741" s="64"/>
    </row>
    <row r="742" spans="1:1" ht="12.75" customHeight="1">
      <c r="A742" s="64"/>
    </row>
    <row r="743" spans="1:1" ht="12.75" customHeight="1">
      <c r="A743" s="64"/>
    </row>
    <row r="744" spans="1:1" ht="12.75" customHeight="1">
      <c r="A744" s="64"/>
    </row>
    <row r="745" spans="1:1" ht="12.75" customHeight="1">
      <c r="A745" s="64"/>
    </row>
    <row r="746" spans="1:1" ht="12.75" customHeight="1">
      <c r="A746" s="64"/>
    </row>
    <row r="747" spans="1:1" ht="12.75" customHeight="1">
      <c r="A747" s="64"/>
    </row>
    <row r="748" spans="1:1" ht="12.75" customHeight="1">
      <c r="A748" s="64"/>
    </row>
    <row r="749" spans="1:1" ht="12.75" customHeight="1">
      <c r="A749" s="64"/>
    </row>
    <row r="750" spans="1:1" ht="12.75" customHeight="1">
      <c r="A750" s="64"/>
    </row>
    <row r="751" spans="1:1" ht="12.75" customHeight="1">
      <c r="A751" s="64"/>
    </row>
    <row r="752" spans="1:1" ht="12.75" customHeight="1">
      <c r="A752" s="64"/>
    </row>
    <row r="753" spans="1:1" ht="12.75" customHeight="1">
      <c r="A753" s="64"/>
    </row>
    <row r="754" spans="1:1" ht="12.75" customHeight="1">
      <c r="A754" s="64"/>
    </row>
    <row r="755" spans="1:1" ht="12.75" customHeight="1">
      <c r="A755" s="64"/>
    </row>
    <row r="756" spans="1:1" ht="12.75" customHeight="1">
      <c r="A756" s="64"/>
    </row>
    <row r="757" spans="1:1" ht="12.75" customHeight="1">
      <c r="A757" s="64"/>
    </row>
    <row r="758" spans="1:1" ht="12.75" customHeight="1">
      <c r="A758" s="64"/>
    </row>
    <row r="759" spans="1:1" ht="12.75" customHeight="1">
      <c r="A759" s="64"/>
    </row>
    <row r="760" spans="1:1" ht="12.75" customHeight="1">
      <c r="A760" s="64"/>
    </row>
    <row r="761" spans="1:1" ht="12.75" customHeight="1">
      <c r="A761" s="64"/>
    </row>
    <row r="762" spans="1:1" ht="12.75" customHeight="1">
      <c r="A762" s="64"/>
    </row>
    <row r="763" spans="1:1" ht="12.75" customHeight="1">
      <c r="A763" s="64"/>
    </row>
    <row r="764" spans="1:1" ht="12.75" customHeight="1">
      <c r="A764" s="64"/>
    </row>
    <row r="765" spans="1:1" ht="12.75" customHeight="1">
      <c r="A765" s="64"/>
    </row>
    <row r="766" spans="1:1" ht="12.75" customHeight="1">
      <c r="A766" s="64"/>
    </row>
    <row r="767" spans="1:1" ht="12.75" customHeight="1">
      <c r="A767" s="64"/>
    </row>
    <row r="768" spans="1:1" ht="12.75" customHeight="1">
      <c r="A768" s="64"/>
    </row>
    <row r="769" spans="1:1" ht="12.75" customHeight="1">
      <c r="A769" s="64"/>
    </row>
    <row r="770" spans="1:1" ht="12.75" customHeight="1">
      <c r="A770" s="64"/>
    </row>
    <row r="771" spans="1:1" ht="12.75" customHeight="1">
      <c r="A771" s="64"/>
    </row>
    <row r="772" spans="1:1" ht="12.75" customHeight="1">
      <c r="A772" s="64"/>
    </row>
    <row r="773" spans="1:1" ht="12.75" customHeight="1">
      <c r="A773" s="64"/>
    </row>
    <row r="774" spans="1:1" ht="12.75" customHeight="1">
      <c r="A774" s="64"/>
    </row>
    <row r="775" spans="1:1" ht="12.75" customHeight="1">
      <c r="A775" s="64"/>
    </row>
    <row r="776" spans="1:1" ht="12.75" customHeight="1">
      <c r="A776" s="64"/>
    </row>
    <row r="777" spans="1:1" ht="12.75" customHeight="1">
      <c r="A777" s="64"/>
    </row>
    <row r="778" spans="1:1" ht="12.75" customHeight="1">
      <c r="A778" s="64"/>
    </row>
    <row r="779" spans="1:1" ht="12.75" customHeight="1">
      <c r="A779" s="64"/>
    </row>
    <row r="780" spans="1:1" ht="12.75" customHeight="1">
      <c r="A780" s="64"/>
    </row>
    <row r="781" spans="1:1" ht="12.75" customHeight="1">
      <c r="A781" s="64"/>
    </row>
    <row r="782" spans="1:1" ht="12.75" customHeight="1">
      <c r="A782" s="64"/>
    </row>
    <row r="783" spans="1:1" ht="12.75" customHeight="1">
      <c r="A783" s="64"/>
    </row>
    <row r="784" spans="1:1" ht="12.75" customHeight="1">
      <c r="A784" s="64"/>
    </row>
    <row r="785" spans="1:1" ht="12.75" customHeight="1">
      <c r="A785" s="64"/>
    </row>
    <row r="786" spans="1:1" ht="12.75" customHeight="1">
      <c r="A786" s="64"/>
    </row>
    <row r="787" spans="1:1" ht="12.75" customHeight="1">
      <c r="A787" s="64"/>
    </row>
    <row r="788" spans="1:1" ht="12.75" customHeight="1">
      <c r="A788" s="64"/>
    </row>
    <row r="789" spans="1:1" ht="12.75" customHeight="1">
      <c r="A789" s="64"/>
    </row>
    <row r="790" spans="1:1" ht="12.75" customHeight="1">
      <c r="A790" s="64"/>
    </row>
    <row r="791" spans="1:1" ht="12.75" customHeight="1">
      <c r="A791" s="64"/>
    </row>
    <row r="792" spans="1:1" ht="12.75" customHeight="1">
      <c r="A792" s="64"/>
    </row>
    <row r="793" spans="1:1" ht="12.75" customHeight="1">
      <c r="A793" s="64"/>
    </row>
    <row r="794" spans="1:1" ht="12.75" customHeight="1">
      <c r="A794" s="64"/>
    </row>
    <row r="795" spans="1:1" ht="12.75" customHeight="1">
      <c r="A795" s="64"/>
    </row>
    <row r="796" spans="1:1" ht="12.75" customHeight="1">
      <c r="A796" s="64"/>
    </row>
    <row r="797" spans="1:1" ht="12.75" customHeight="1">
      <c r="A797" s="64"/>
    </row>
    <row r="798" spans="1:1" ht="12.75" customHeight="1">
      <c r="A798" s="64"/>
    </row>
    <row r="799" spans="1:1" ht="12.75" customHeight="1">
      <c r="A799" s="64"/>
    </row>
    <row r="800" spans="1:1" ht="12.75" customHeight="1">
      <c r="A800" s="64"/>
    </row>
    <row r="801" spans="1:1" ht="12.75" customHeight="1">
      <c r="A801" s="64"/>
    </row>
    <row r="802" spans="1:1" ht="12.75" customHeight="1">
      <c r="A802" s="64"/>
    </row>
    <row r="803" spans="1:1" ht="12.75" customHeight="1">
      <c r="A803" s="64"/>
    </row>
    <row r="804" spans="1:1" ht="12.75" customHeight="1">
      <c r="A804" s="64"/>
    </row>
    <row r="805" spans="1:1" ht="12.75" customHeight="1">
      <c r="A805" s="64"/>
    </row>
    <row r="806" spans="1:1" ht="12.75" customHeight="1">
      <c r="A806" s="64"/>
    </row>
    <row r="807" spans="1:1" ht="12.75" customHeight="1">
      <c r="A807" s="64"/>
    </row>
    <row r="808" spans="1:1" ht="12.75" customHeight="1">
      <c r="A808" s="64"/>
    </row>
    <row r="809" spans="1:1" ht="12.75" customHeight="1">
      <c r="A809" s="64"/>
    </row>
    <row r="810" spans="1:1" ht="12.75" customHeight="1">
      <c r="A810" s="64"/>
    </row>
    <row r="811" spans="1:1" ht="12.75" customHeight="1">
      <c r="A811" s="64"/>
    </row>
    <row r="812" spans="1:1" ht="12.75" customHeight="1">
      <c r="A812" s="64"/>
    </row>
    <row r="813" spans="1:1" ht="12.75" customHeight="1">
      <c r="A813" s="64"/>
    </row>
    <row r="814" spans="1:1" ht="12.75" customHeight="1">
      <c r="A814" s="64"/>
    </row>
    <row r="815" spans="1:1" ht="12.75" customHeight="1">
      <c r="A815" s="64"/>
    </row>
    <row r="816" spans="1:1" ht="12.75" customHeight="1">
      <c r="A816" s="64"/>
    </row>
    <row r="817" spans="1:1" ht="12.75" customHeight="1">
      <c r="A817" s="64"/>
    </row>
    <row r="818" spans="1:1" ht="12.75" customHeight="1">
      <c r="A818" s="64"/>
    </row>
    <row r="819" spans="1:1" ht="12.75" customHeight="1">
      <c r="A819" s="64"/>
    </row>
    <row r="820" spans="1:1" ht="12.75" customHeight="1">
      <c r="A820" s="64"/>
    </row>
    <row r="821" spans="1:1" ht="12.75" customHeight="1">
      <c r="A821" s="64"/>
    </row>
    <row r="822" spans="1:1" ht="12.75" customHeight="1">
      <c r="A822" s="64"/>
    </row>
    <row r="823" spans="1:1" ht="12.75" customHeight="1">
      <c r="A823" s="64"/>
    </row>
    <row r="824" spans="1:1" ht="12.75" customHeight="1">
      <c r="A824" s="64"/>
    </row>
    <row r="825" spans="1:1" ht="12.75" customHeight="1">
      <c r="A825" s="64"/>
    </row>
    <row r="826" spans="1:1" ht="12.75" customHeight="1">
      <c r="A826" s="64"/>
    </row>
    <row r="827" spans="1:1" ht="12.75" customHeight="1">
      <c r="A827" s="64"/>
    </row>
    <row r="828" spans="1:1" ht="12.75" customHeight="1">
      <c r="A828" s="64"/>
    </row>
    <row r="829" spans="1:1" ht="12.75" customHeight="1">
      <c r="A829" s="64"/>
    </row>
    <row r="830" spans="1:1" ht="12.75" customHeight="1">
      <c r="A830" s="64"/>
    </row>
    <row r="831" spans="1:1" ht="12.75" customHeight="1">
      <c r="A831" s="64"/>
    </row>
    <row r="832" spans="1:1" ht="12.75" customHeight="1">
      <c r="A832" s="64"/>
    </row>
    <row r="833" spans="1:1" ht="12.75" customHeight="1">
      <c r="A833" s="64"/>
    </row>
    <row r="834" spans="1:1" ht="12.75" customHeight="1">
      <c r="A834" s="64"/>
    </row>
    <row r="835" spans="1:1" ht="12.75" customHeight="1">
      <c r="A835" s="64"/>
    </row>
    <row r="836" spans="1:1" ht="12.75" customHeight="1">
      <c r="A836" s="64"/>
    </row>
    <row r="837" spans="1:1" ht="12.75" customHeight="1">
      <c r="A837" s="64"/>
    </row>
    <row r="838" spans="1:1" ht="12.75" customHeight="1">
      <c r="A838" s="64"/>
    </row>
    <row r="839" spans="1:1" ht="12.75" customHeight="1">
      <c r="A839" s="64"/>
    </row>
    <row r="840" spans="1:1" ht="12.75" customHeight="1">
      <c r="A840" s="64"/>
    </row>
    <row r="841" spans="1:1" ht="12.75" customHeight="1">
      <c r="A841" s="64"/>
    </row>
    <row r="842" spans="1:1" ht="12.75" customHeight="1">
      <c r="A842" s="64"/>
    </row>
    <row r="843" spans="1:1" ht="12.75" customHeight="1">
      <c r="A843" s="64"/>
    </row>
    <row r="844" spans="1:1" ht="12.75" customHeight="1">
      <c r="A844" s="64"/>
    </row>
    <row r="845" spans="1:1" ht="12.75" customHeight="1">
      <c r="A845" s="64"/>
    </row>
    <row r="846" spans="1:1" ht="12.75" customHeight="1">
      <c r="A846" s="64"/>
    </row>
    <row r="847" spans="1:1" ht="12.75" customHeight="1">
      <c r="A847" s="64"/>
    </row>
    <row r="848" spans="1:1" ht="12.75" customHeight="1">
      <c r="A848" s="64"/>
    </row>
    <row r="849" spans="1:1" ht="12.75" customHeight="1">
      <c r="A849" s="64"/>
    </row>
    <row r="850" spans="1:1" ht="12.75" customHeight="1">
      <c r="A850" s="64"/>
    </row>
    <row r="851" spans="1:1" ht="12.75" customHeight="1">
      <c r="A851" s="64"/>
    </row>
    <row r="852" spans="1:1" ht="12.75" customHeight="1">
      <c r="A852" s="64"/>
    </row>
    <row r="853" spans="1:1" ht="12.75" customHeight="1">
      <c r="A853" s="64"/>
    </row>
    <row r="854" spans="1:1" ht="12.75" customHeight="1">
      <c r="A854" s="64"/>
    </row>
    <row r="855" spans="1:1" ht="12.75" customHeight="1">
      <c r="A855" s="64"/>
    </row>
    <row r="856" spans="1:1" ht="12.75" customHeight="1">
      <c r="A856" s="64"/>
    </row>
    <row r="857" spans="1:1" ht="12.75" customHeight="1">
      <c r="A857" s="64"/>
    </row>
    <row r="858" spans="1:1" ht="12.75" customHeight="1">
      <c r="A858" s="64"/>
    </row>
    <row r="859" spans="1:1" ht="12.75" customHeight="1">
      <c r="A859" s="64"/>
    </row>
    <row r="860" spans="1:1" ht="12.75" customHeight="1">
      <c r="A860" s="64"/>
    </row>
    <row r="861" spans="1:1" ht="12.75" customHeight="1">
      <c r="A861" s="64"/>
    </row>
    <row r="862" spans="1:1" ht="12.75" customHeight="1">
      <c r="A862" s="64"/>
    </row>
    <row r="863" spans="1:1" ht="12.75" customHeight="1">
      <c r="A863" s="64"/>
    </row>
    <row r="864" spans="1:1" ht="12.75" customHeight="1">
      <c r="A864" s="64"/>
    </row>
    <row r="865" spans="1:1" ht="12.75" customHeight="1">
      <c r="A865" s="64"/>
    </row>
    <row r="866" spans="1:1" ht="12.75" customHeight="1">
      <c r="A866" s="64"/>
    </row>
    <row r="867" spans="1:1" ht="12.75" customHeight="1">
      <c r="A867" s="64"/>
    </row>
    <row r="868" spans="1:1" ht="12.75" customHeight="1">
      <c r="A868" s="64"/>
    </row>
    <row r="869" spans="1:1" ht="12.75" customHeight="1">
      <c r="A869" s="64"/>
    </row>
    <row r="870" spans="1:1" ht="12.75" customHeight="1">
      <c r="A870" s="64"/>
    </row>
    <row r="871" spans="1:1" ht="12.75" customHeight="1">
      <c r="A871" s="64"/>
    </row>
    <row r="872" spans="1:1" ht="12.75" customHeight="1">
      <c r="A872" s="64"/>
    </row>
    <row r="873" spans="1:1" ht="12.75" customHeight="1">
      <c r="A873" s="64"/>
    </row>
    <row r="874" spans="1:1" ht="12.75" customHeight="1">
      <c r="A874" s="64"/>
    </row>
    <row r="875" spans="1:1" ht="12.75" customHeight="1">
      <c r="A875" s="64"/>
    </row>
    <row r="876" spans="1:1" ht="12.75" customHeight="1">
      <c r="A876" s="64"/>
    </row>
    <row r="877" spans="1:1" ht="12.75" customHeight="1">
      <c r="A877" s="64"/>
    </row>
    <row r="878" spans="1:1" ht="12.75" customHeight="1">
      <c r="A878" s="64"/>
    </row>
    <row r="879" spans="1:1" ht="12.75" customHeight="1">
      <c r="A879" s="64"/>
    </row>
    <row r="880" spans="1:1" ht="12.75" customHeight="1">
      <c r="A880" s="64"/>
    </row>
    <row r="881" spans="1:1" ht="12.75" customHeight="1">
      <c r="A881" s="64"/>
    </row>
    <row r="882" spans="1:1" ht="12.75" customHeight="1">
      <c r="A882" s="64"/>
    </row>
    <row r="883" spans="1:1" ht="12.75" customHeight="1">
      <c r="A883" s="64"/>
    </row>
    <row r="884" spans="1:1" ht="12.75" customHeight="1">
      <c r="A884" s="64"/>
    </row>
    <row r="885" spans="1:1" ht="12.75" customHeight="1">
      <c r="A885" s="64"/>
    </row>
    <row r="886" spans="1:1" ht="12.75" customHeight="1">
      <c r="A886" s="64"/>
    </row>
    <row r="887" spans="1:1" ht="12.75" customHeight="1">
      <c r="A887" s="64"/>
    </row>
    <row r="888" spans="1:1" ht="12.75" customHeight="1">
      <c r="A888" s="64"/>
    </row>
    <row r="889" spans="1:1" ht="12.75" customHeight="1">
      <c r="A889" s="64"/>
    </row>
    <row r="890" spans="1:1" ht="12.75" customHeight="1">
      <c r="A890" s="64"/>
    </row>
    <row r="891" spans="1:1" ht="12.75" customHeight="1">
      <c r="A891" s="64"/>
    </row>
    <row r="892" spans="1:1" ht="12.75" customHeight="1">
      <c r="A892" s="64"/>
    </row>
    <row r="893" spans="1:1" ht="12.75" customHeight="1">
      <c r="A893" s="64"/>
    </row>
    <row r="894" spans="1:1" ht="12.75" customHeight="1">
      <c r="A894" s="64"/>
    </row>
    <row r="895" spans="1:1" ht="12.75" customHeight="1">
      <c r="A895" s="64"/>
    </row>
    <row r="896" spans="1:1" ht="12.75" customHeight="1">
      <c r="A896" s="64"/>
    </row>
    <row r="897" spans="1:1" ht="12.75" customHeight="1">
      <c r="A897" s="64"/>
    </row>
    <row r="898" spans="1:1" ht="12.75" customHeight="1">
      <c r="A898" s="64"/>
    </row>
    <row r="899" spans="1:1" ht="12.75" customHeight="1">
      <c r="A899" s="64"/>
    </row>
    <row r="900" spans="1:1" ht="12.75" customHeight="1">
      <c r="A900" s="64"/>
    </row>
    <row r="901" spans="1:1" ht="12.75" customHeight="1">
      <c r="A901" s="64"/>
    </row>
    <row r="902" spans="1:1" ht="12.75" customHeight="1">
      <c r="A902" s="64"/>
    </row>
    <row r="903" spans="1:1" ht="12.75" customHeight="1">
      <c r="A903" s="64"/>
    </row>
    <row r="904" spans="1:1" ht="12.75" customHeight="1">
      <c r="A904" s="64"/>
    </row>
    <row r="905" spans="1:1" ht="12.75" customHeight="1">
      <c r="A905" s="64"/>
    </row>
    <row r="906" spans="1:1" ht="12.75" customHeight="1">
      <c r="A906" s="64"/>
    </row>
    <row r="907" spans="1:1" ht="12.75" customHeight="1">
      <c r="A907" s="64"/>
    </row>
    <row r="908" spans="1:1" ht="12.75" customHeight="1">
      <c r="A908" s="64"/>
    </row>
    <row r="909" spans="1:1" ht="12.75" customHeight="1">
      <c r="A909" s="64"/>
    </row>
    <row r="910" spans="1:1" ht="12.75" customHeight="1">
      <c r="A910" s="64"/>
    </row>
    <row r="911" spans="1:1" ht="12.75" customHeight="1">
      <c r="A911" s="64"/>
    </row>
    <row r="912" spans="1:1" ht="12.75" customHeight="1">
      <c r="A912" s="64"/>
    </row>
    <row r="913" spans="1:1" ht="12.75" customHeight="1">
      <c r="A913" s="64"/>
    </row>
    <row r="914" spans="1:1" ht="12.75" customHeight="1">
      <c r="A914" s="64"/>
    </row>
    <row r="915" spans="1:1" ht="12.75" customHeight="1">
      <c r="A915" s="64"/>
    </row>
    <row r="916" spans="1:1" ht="12.75" customHeight="1">
      <c r="A916" s="64"/>
    </row>
    <row r="917" spans="1:1" ht="12.75" customHeight="1">
      <c r="A917" s="64"/>
    </row>
    <row r="918" spans="1:1" ht="12.75" customHeight="1">
      <c r="A918" s="64"/>
    </row>
    <row r="919" spans="1:1" ht="12.75" customHeight="1">
      <c r="A919" s="64"/>
    </row>
    <row r="920" spans="1:1" ht="12.75" customHeight="1">
      <c r="A920" s="64"/>
    </row>
    <row r="921" spans="1:1" ht="12.75" customHeight="1">
      <c r="A921" s="64"/>
    </row>
    <row r="922" spans="1:1" ht="12.75" customHeight="1">
      <c r="A922" s="64"/>
    </row>
    <row r="923" spans="1:1" ht="12.75" customHeight="1">
      <c r="A923" s="64"/>
    </row>
    <row r="924" spans="1:1" ht="12.75" customHeight="1">
      <c r="A924" s="64"/>
    </row>
    <row r="925" spans="1:1" ht="12.75" customHeight="1">
      <c r="A925" s="64"/>
    </row>
    <row r="926" spans="1:1" ht="12.75" customHeight="1">
      <c r="A926" s="64"/>
    </row>
    <row r="927" spans="1:1" ht="12.75" customHeight="1">
      <c r="A927" s="64"/>
    </row>
    <row r="928" spans="1:1" ht="12.75" customHeight="1">
      <c r="A928" s="64"/>
    </row>
    <row r="929" spans="1:1" ht="12.75" customHeight="1">
      <c r="A929" s="64"/>
    </row>
    <row r="930" spans="1:1" ht="12.75" customHeight="1">
      <c r="A930" s="64"/>
    </row>
    <row r="931" spans="1:1" ht="12.75" customHeight="1">
      <c r="A931" s="64"/>
    </row>
    <row r="932" spans="1:1" ht="12.75" customHeight="1">
      <c r="A932" s="64"/>
    </row>
    <row r="933" spans="1:1" ht="12.75" customHeight="1">
      <c r="A933" s="64"/>
    </row>
    <row r="934" spans="1:1" ht="12.75" customHeight="1">
      <c r="A934" s="64"/>
    </row>
    <row r="935" spans="1:1" ht="12.75" customHeight="1">
      <c r="A935" s="64"/>
    </row>
    <row r="936" spans="1:1" ht="12.75" customHeight="1">
      <c r="A936" s="64"/>
    </row>
    <row r="937" spans="1:1" ht="12.75" customHeight="1">
      <c r="A937" s="64"/>
    </row>
    <row r="938" spans="1:1" ht="12.75" customHeight="1">
      <c r="A938" s="64"/>
    </row>
    <row r="939" spans="1:1" ht="12.75" customHeight="1">
      <c r="A939" s="64"/>
    </row>
    <row r="940" spans="1:1" ht="12.75" customHeight="1">
      <c r="A940" s="64"/>
    </row>
    <row r="941" spans="1:1" ht="12.75" customHeight="1">
      <c r="A941" s="64"/>
    </row>
    <row r="942" spans="1:1" ht="12.75" customHeight="1">
      <c r="A942" s="64"/>
    </row>
    <row r="943" spans="1:1" ht="12.75" customHeight="1">
      <c r="A943" s="64"/>
    </row>
    <row r="944" spans="1:1" ht="12.75" customHeight="1">
      <c r="A944" s="64"/>
    </row>
    <row r="945" spans="1:1" ht="12.75" customHeight="1">
      <c r="A945" s="64"/>
    </row>
    <row r="946" spans="1:1" ht="12.75" customHeight="1">
      <c r="A946" s="64"/>
    </row>
    <row r="947" spans="1:1" ht="12.75" customHeight="1">
      <c r="A947" s="64"/>
    </row>
    <row r="948" spans="1:1" ht="12.75" customHeight="1">
      <c r="A948" s="64"/>
    </row>
    <row r="949" spans="1:1" ht="12.75" customHeight="1">
      <c r="A949" s="64"/>
    </row>
    <row r="950" spans="1:1" ht="12.75" customHeight="1">
      <c r="A950" s="64"/>
    </row>
    <row r="951" spans="1:1" ht="12.75" customHeight="1">
      <c r="A951" s="64"/>
    </row>
    <row r="952" spans="1:1" ht="12.75" customHeight="1">
      <c r="A952" s="64"/>
    </row>
    <row r="953" spans="1:1" ht="12.75" customHeight="1">
      <c r="A953" s="64"/>
    </row>
    <row r="954" spans="1:1" ht="12.75" customHeight="1">
      <c r="A954" s="64"/>
    </row>
    <row r="955" spans="1:1" ht="12.75" customHeight="1">
      <c r="A955" s="64"/>
    </row>
    <row r="956" spans="1:1" ht="12.75" customHeight="1">
      <c r="A956" s="64"/>
    </row>
    <row r="957" spans="1:1" ht="12.75" customHeight="1">
      <c r="A957" s="64"/>
    </row>
    <row r="958" spans="1:1" ht="12.75" customHeight="1">
      <c r="A958" s="64"/>
    </row>
    <row r="959" spans="1:1" ht="12.75" customHeight="1">
      <c r="A959" s="64"/>
    </row>
    <row r="960" spans="1:1" ht="12.75" customHeight="1">
      <c r="A960" s="64"/>
    </row>
    <row r="961" spans="1:1" ht="12.75" customHeight="1">
      <c r="A961" s="64"/>
    </row>
    <row r="962" spans="1:1" ht="12.75" customHeight="1">
      <c r="A962" s="64"/>
    </row>
    <row r="963" spans="1:1" ht="12.75" customHeight="1">
      <c r="A963" s="64"/>
    </row>
    <row r="964" spans="1:1" ht="12.75" customHeight="1">
      <c r="A964" s="64"/>
    </row>
    <row r="965" spans="1:1" ht="12.75" customHeight="1">
      <c r="A965" s="64"/>
    </row>
    <row r="966" spans="1:1" ht="12.75" customHeight="1">
      <c r="A966" s="64"/>
    </row>
    <row r="967" spans="1:1" ht="12.75" customHeight="1">
      <c r="A967" s="64"/>
    </row>
    <row r="968" spans="1:1" ht="12.75" customHeight="1">
      <c r="A968" s="64"/>
    </row>
    <row r="969" spans="1:1" ht="12.75" customHeight="1">
      <c r="A969" s="64"/>
    </row>
    <row r="970" spans="1:1" ht="12.75" customHeight="1">
      <c r="A970" s="64"/>
    </row>
    <row r="971" spans="1:1" ht="12.75" customHeight="1">
      <c r="A971" s="64"/>
    </row>
    <row r="972" spans="1:1" ht="12.75" customHeight="1">
      <c r="A972" s="64"/>
    </row>
    <row r="973" spans="1:1" ht="12.75" customHeight="1">
      <c r="A973" s="64"/>
    </row>
    <row r="974" spans="1:1" ht="12.75" customHeight="1">
      <c r="A974" s="64"/>
    </row>
    <row r="975" spans="1:1" ht="12.75" customHeight="1">
      <c r="A975" s="64"/>
    </row>
    <row r="976" spans="1:1" ht="12.75" customHeight="1">
      <c r="A976" s="64"/>
    </row>
    <row r="977" spans="1:1" ht="12.75" customHeight="1">
      <c r="A977" s="64"/>
    </row>
    <row r="978" spans="1:1" ht="12.75" customHeight="1">
      <c r="A978" s="64"/>
    </row>
    <row r="979" spans="1:1" ht="12.75" customHeight="1">
      <c r="A979" s="64"/>
    </row>
    <row r="980" spans="1:1" ht="12.75" customHeight="1">
      <c r="A980" s="64"/>
    </row>
    <row r="981" spans="1:1" ht="12.75" customHeight="1">
      <c r="A981" s="64"/>
    </row>
    <row r="982" spans="1:1" ht="12.75" customHeight="1">
      <c r="A982" s="64"/>
    </row>
    <row r="983" spans="1:1" ht="12.75" customHeight="1">
      <c r="A983" s="64"/>
    </row>
    <row r="984" spans="1:1" ht="12.75" customHeight="1">
      <c r="A984" s="64"/>
    </row>
    <row r="985" spans="1:1" ht="12.75" customHeight="1">
      <c r="A985" s="64"/>
    </row>
    <row r="986" spans="1:1" ht="12.75" customHeight="1">
      <c r="A986" s="64"/>
    </row>
    <row r="987" spans="1:1" ht="12.75" customHeight="1">
      <c r="A987" s="64"/>
    </row>
    <row r="988" spans="1:1" ht="12.75" customHeight="1">
      <c r="A988" s="64"/>
    </row>
    <row r="989" spans="1:1" ht="12.75" customHeight="1">
      <c r="A989" s="64"/>
    </row>
    <row r="990" spans="1:1" ht="12.75" customHeight="1">
      <c r="A990" s="64"/>
    </row>
    <row r="991" spans="1:1" ht="12.75" customHeight="1">
      <c r="A991" s="64"/>
    </row>
    <row r="992" spans="1:1" ht="12.75" customHeight="1">
      <c r="A992" s="64"/>
    </row>
    <row r="993" spans="1:1" ht="12.75" customHeight="1">
      <c r="A993" s="64"/>
    </row>
    <row r="994" spans="1:1" ht="12.75" customHeight="1">
      <c r="A994" s="64"/>
    </row>
    <row r="995" spans="1:1" ht="12.75" customHeight="1">
      <c r="A995" s="64"/>
    </row>
    <row r="996" spans="1:1" ht="12.75" customHeight="1">
      <c r="A996" s="64"/>
    </row>
  </sheetData>
  <pageMargins left="0.78740157480314965" right="0.78740157480314965" top="0.78740157480314965" bottom="0.78740157480314965" header="0" footer="0"/>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1896B-EF5C-4AD2-8ADA-1DF7AFF31C33}">
  <dimension ref="B1:H68"/>
  <sheetViews>
    <sheetView workbookViewId="0">
      <selection activeCell="B30" sqref="B30"/>
    </sheetView>
  </sheetViews>
  <sheetFormatPr baseColWidth="10" defaultRowHeight="12.75"/>
  <sheetData>
    <row r="1" spans="2:8" ht="15">
      <c r="C1" s="219" t="s">
        <v>464</v>
      </c>
      <c r="D1" s="219"/>
      <c r="E1" s="219"/>
      <c r="F1" s="219"/>
      <c r="G1" s="219"/>
      <c r="H1" s="219"/>
    </row>
    <row r="4" spans="2:8">
      <c r="C4" s="233" t="s">
        <v>467</v>
      </c>
      <c r="D4" s="233"/>
      <c r="E4" s="233"/>
      <c r="F4" s="234" t="s">
        <v>468</v>
      </c>
      <c r="G4" s="235"/>
      <c r="H4" s="236"/>
    </row>
    <row r="5" spans="2:8">
      <c r="C5" s="161" t="s">
        <v>469</v>
      </c>
      <c r="D5" s="161">
        <v>1</v>
      </c>
      <c r="E5" s="161">
        <v>3</v>
      </c>
      <c r="F5" s="161" t="s">
        <v>469</v>
      </c>
      <c r="G5" s="161">
        <v>8</v>
      </c>
      <c r="H5" s="161">
        <v>10</v>
      </c>
    </row>
    <row r="8" spans="2:8" ht="15">
      <c r="D8" s="219" t="s">
        <v>465</v>
      </c>
      <c r="E8" s="225"/>
      <c r="F8" s="225"/>
      <c r="G8" s="225"/>
    </row>
    <row r="10" spans="2:8">
      <c r="C10" s="232" t="s">
        <v>466</v>
      </c>
      <c r="D10" s="232"/>
      <c r="E10" s="232"/>
      <c r="F10" s="232"/>
      <c r="G10" s="232"/>
      <c r="H10" s="232"/>
    </row>
    <row r="11" spans="2:8">
      <c r="C11" s="232"/>
      <c r="D11" s="232"/>
      <c r="E11" s="232"/>
      <c r="F11" s="232"/>
      <c r="G11" s="232"/>
      <c r="H11" s="232"/>
    </row>
    <row r="12" spans="2:8">
      <c r="C12" s="232"/>
      <c r="D12" s="232"/>
      <c r="E12" s="232"/>
      <c r="F12" s="232"/>
      <c r="G12" s="232"/>
      <c r="H12" s="232"/>
    </row>
    <row r="14" spans="2:8">
      <c r="C14" s="221" t="s">
        <v>470</v>
      </c>
      <c r="D14" s="222"/>
      <c r="E14" s="223"/>
      <c r="F14" s="224" t="s">
        <v>471</v>
      </c>
      <c r="G14" s="224"/>
      <c r="H14" s="224"/>
    </row>
    <row r="15" spans="2:8" s="163" customFormat="1" ht="64.5" customHeight="1">
      <c r="B15" s="162" t="s">
        <v>11</v>
      </c>
      <c r="C15" s="229" t="s">
        <v>472</v>
      </c>
      <c r="D15" s="230"/>
      <c r="E15" s="231"/>
      <c r="F15" s="229" t="s">
        <v>473</v>
      </c>
      <c r="G15" s="230"/>
      <c r="H15" s="231"/>
    </row>
    <row r="16" spans="2:8" ht="51" customHeight="1">
      <c r="B16" s="164" t="s">
        <v>26</v>
      </c>
      <c r="C16" s="216" t="s">
        <v>474</v>
      </c>
      <c r="D16" s="216"/>
      <c r="E16" s="216"/>
      <c r="F16" s="216" t="s">
        <v>475</v>
      </c>
      <c r="G16" s="216"/>
      <c r="H16" s="216"/>
    </row>
    <row r="17" spans="2:8" ht="35.25" customHeight="1">
      <c r="B17" s="164" t="s">
        <v>38</v>
      </c>
      <c r="C17" s="216" t="s">
        <v>476</v>
      </c>
      <c r="D17" s="216"/>
      <c r="E17" s="216"/>
      <c r="F17" s="229" t="s">
        <v>477</v>
      </c>
      <c r="G17" s="230"/>
      <c r="H17" s="231"/>
    </row>
    <row r="18" spans="2:8" ht="63.75" customHeight="1">
      <c r="B18" s="164" t="s">
        <v>50</v>
      </c>
      <c r="C18" s="229" t="s">
        <v>478</v>
      </c>
      <c r="D18" s="230"/>
      <c r="E18" s="231"/>
      <c r="F18" s="216" t="s">
        <v>479</v>
      </c>
      <c r="G18" s="216"/>
      <c r="H18" s="216"/>
    </row>
    <row r="19" spans="2:8" ht="48.75" customHeight="1">
      <c r="B19" s="164" t="s">
        <v>198</v>
      </c>
      <c r="C19" s="229" t="s">
        <v>480</v>
      </c>
      <c r="D19" s="230"/>
      <c r="E19" s="231"/>
      <c r="F19" s="229" t="s">
        <v>481</v>
      </c>
      <c r="G19" s="230"/>
      <c r="H19" s="231"/>
    </row>
    <row r="20" spans="2:8" ht="22.5" customHeight="1">
      <c r="B20" s="164" t="s">
        <v>216</v>
      </c>
      <c r="C20" s="216" t="s">
        <v>482</v>
      </c>
      <c r="D20" s="216"/>
      <c r="E20" s="216"/>
      <c r="F20" s="216" t="s">
        <v>483</v>
      </c>
      <c r="G20" s="216"/>
      <c r="H20" s="216"/>
    </row>
    <row r="22" spans="2:8">
      <c r="C22" s="226" t="s">
        <v>484</v>
      </c>
      <c r="D22" s="226"/>
      <c r="E22" s="226"/>
      <c r="F22" s="226"/>
      <c r="G22" s="226"/>
      <c r="H22" s="226"/>
    </row>
    <row r="23" spans="2:8">
      <c r="C23" s="226"/>
      <c r="D23" s="226"/>
      <c r="E23" s="226"/>
      <c r="F23" s="226"/>
      <c r="G23" s="226"/>
      <c r="H23" s="226"/>
    </row>
    <row r="25" spans="2:8" ht="15">
      <c r="C25" s="219" t="s">
        <v>98</v>
      </c>
      <c r="D25" s="227"/>
      <c r="E25" s="227"/>
      <c r="F25" s="227"/>
      <c r="G25" s="227"/>
      <c r="H25" s="227"/>
    </row>
    <row r="27" spans="2:8">
      <c r="C27" s="228" t="s">
        <v>485</v>
      </c>
      <c r="D27" s="228"/>
      <c r="E27" s="228"/>
      <c r="F27" s="228"/>
      <c r="G27" s="228"/>
      <c r="H27" s="228"/>
    </row>
    <row r="29" spans="2:8">
      <c r="C29" s="221" t="s">
        <v>470</v>
      </c>
      <c r="D29" s="222"/>
      <c r="E29" s="223"/>
      <c r="F29" s="224" t="s">
        <v>471</v>
      </c>
      <c r="G29" s="224"/>
      <c r="H29" s="224"/>
    </row>
    <row r="30" spans="2:8" ht="65.25" customHeight="1">
      <c r="B30" s="164" t="s">
        <v>8</v>
      </c>
      <c r="C30" s="216" t="s">
        <v>486</v>
      </c>
      <c r="D30" s="216"/>
      <c r="E30" s="216"/>
      <c r="F30" s="216" t="s">
        <v>487</v>
      </c>
      <c r="G30" s="216"/>
      <c r="H30" s="216"/>
    </row>
    <row r="31" spans="2:8" ht="66" customHeight="1">
      <c r="B31" s="164" t="s">
        <v>17</v>
      </c>
      <c r="C31" s="216" t="s">
        <v>488</v>
      </c>
      <c r="D31" s="216"/>
      <c r="E31" s="216"/>
      <c r="F31" s="216" t="s">
        <v>489</v>
      </c>
      <c r="G31" s="216"/>
      <c r="H31" s="216"/>
    </row>
    <row r="32" spans="2:8" ht="37.5" customHeight="1">
      <c r="B32" s="164" t="s">
        <v>23</v>
      </c>
      <c r="C32" s="216" t="s">
        <v>490</v>
      </c>
      <c r="D32" s="216"/>
      <c r="E32" s="216"/>
      <c r="F32" s="216" t="s">
        <v>491</v>
      </c>
      <c r="G32" s="216"/>
      <c r="H32" s="216"/>
    </row>
    <row r="33" spans="2:8" ht="37.5" customHeight="1">
      <c r="B33" s="164" t="s">
        <v>32</v>
      </c>
      <c r="C33" s="216" t="s">
        <v>492</v>
      </c>
      <c r="D33" s="216"/>
      <c r="E33" s="216"/>
      <c r="F33" s="216" t="s">
        <v>493</v>
      </c>
      <c r="G33" s="216"/>
      <c r="H33" s="216"/>
    </row>
    <row r="34" spans="2:8" ht="36" customHeight="1">
      <c r="B34" s="164" t="s">
        <v>41</v>
      </c>
      <c r="C34" s="216" t="s">
        <v>494</v>
      </c>
      <c r="D34" s="216"/>
      <c r="E34" s="216"/>
      <c r="F34" s="216" t="s">
        <v>495</v>
      </c>
      <c r="G34" s="216"/>
      <c r="H34" s="216"/>
    </row>
    <row r="36" spans="2:8">
      <c r="C36" s="225" t="s">
        <v>496</v>
      </c>
      <c r="D36" s="225"/>
      <c r="E36" s="225"/>
      <c r="F36" s="225"/>
      <c r="G36" s="225"/>
      <c r="H36" s="225"/>
    </row>
    <row r="38" spans="2:8" ht="15">
      <c r="C38" s="219" t="s">
        <v>497</v>
      </c>
      <c r="D38" s="219"/>
      <c r="E38" s="219"/>
      <c r="F38" s="219"/>
      <c r="G38" s="219"/>
      <c r="H38" s="219"/>
    </row>
    <row r="40" spans="2:8">
      <c r="C40" s="220" t="s">
        <v>498</v>
      </c>
      <c r="D40" s="220"/>
      <c r="E40" s="220"/>
      <c r="F40" s="220"/>
      <c r="G40" s="220"/>
      <c r="H40" s="220"/>
    </row>
    <row r="42" spans="2:8">
      <c r="C42" s="224" t="s">
        <v>470</v>
      </c>
      <c r="D42" s="224"/>
      <c r="E42" s="224"/>
      <c r="F42" s="221" t="s">
        <v>471</v>
      </c>
      <c r="G42" s="222"/>
      <c r="H42" s="223"/>
    </row>
    <row r="43" spans="2:8" ht="66.75" customHeight="1">
      <c r="B43" s="164" t="s">
        <v>5</v>
      </c>
      <c r="C43" s="216" t="s">
        <v>499</v>
      </c>
      <c r="D43" s="216"/>
      <c r="E43" s="216"/>
      <c r="F43" s="216" t="s">
        <v>500</v>
      </c>
      <c r="G43" s="216"/>
      <c r="H43" s="216"/>
    </row>
    <row r="44" spans="2:8" ht="65.25" customHeight="1">
      <c r="B44" s="164" t="s">
        <v>14</v>
      </c>
      <c r="C44" s="216" t="s">
        <v>501</v>
      </c>
      <c r="D44" s="216"/>
      <c r="E44" s="216"/>
      <c r="F44" s="216" t="s">
        <v>502</v>
      </c>
      <c r="G44" s="216"/>
      <c r="H44" s="216"/>
    </row>
    <row r="45" spans="2:8" ht="49.5" customHeight="1">
      <c r="B45" s="164" t="s">
        <v>23</v>
      </c>
      <c r="C45" s="216" t="s">
        <v>503</v>
      </c>
      <c r="D45" s="216"/>
      <c r="E45" s="216"/>
      <c r="F45" s="216" t="s">
        <v>504</v>
      </c>
      <c r="G45" s="216"/>
      <c r="H45" s="216"/>
    </row>
    <row r="46" spans="2:8" ht="38.25" customHeight="1">
      <c r="B46" s="164" t="s">
        <v>29</v>
      </c>
      <c r="C46" s="216" t="s">
        <v>505</v>
      </c>
      <c r="D46" s="216"/>
      <c r="E46" s="216"/>
      <c r="F46" s="216" t="s">
        <v>506</v>
      </c>
      <c r="G46" s="216"/>
      <c r="H46" s="216"/>
    </row>
    <row r="47" spans="2:8" ht="65.25" customHeight="1">
      <c r="B47" s="164" t="s">
        <v>35</v>
      </c>
      <c r="C47" s="216" t="s">
        <v>507</v>
      </c>
      <c r="D47" s="216"/>
      <c r="E47" s="216"/>
      <c r="F47" s="216" t="s">
        <v>508</v>
      </c>
      <c r="G47" s="216"/>
      <c r="H47" s="216"/>
    </row>
    <row r="48" spans="2:8" ht="66.75" customHeight="1">
      <c r="B48" s="164" t="s">
        <v>44</v>
      </c>
      <c r="C48" s="216" t="s">
        <v>509</v>
      </c>
      <c r="D48" s="216"/>
      <c r="E48" s="216"/>
      <c r="F48" s="216" t="s">
        <v>510</v>
      </c>
      <c r="G48" s="216"/>
      <c r="H48" s="216"/>
    </row>
    <row r="49" spans="2:8" ht="52.5" customHeight="1">
      <c r="B49" s="164" t="s">
        <v>47</v>
      </c>
      <c r="C49" s="216" t="s">
        <v>511</v>
      </c>
      <c r="D49" s="216"/>
      <c r="E49" s="216"/>
      <c r="F49" s="216" t="s">
        <v>512</v>
      </c>
      <c r="G49" s="216"/>
      <c r="H49" s="216"/>
    </row>
    <row r="50" spans="2:8" ht="66.75" customHeight="1">
      <c r="B50" s="164" t="s">
        <v>202</v>
      </c>
      <c r="C50" s="216" t="s">
        <v>513</v>
      </c>
      <c r="D50" s="216"/>
      <c r="E50" s="216"/>
      <c r="F50" s="216" t="s">
        <v>514</v>
      </c>
      <c r="G50" s="216"/>
      <c r="H50" s="216"/>
    </row>
    <row r="51" spans="2:8" ht="52.5" customHeight="1">
      <c r="B51" s="164" t="s">
        <v>207</v>
      </c>
      <c r="C51" s="216" t="s">
        <v>515</v>
      </c>
      <c r="D51" s="216"/>
      <c r="E51" s="216"/>
      <c r="F51" s="216" t="s">
        <v>516</v>
      </c>
      <c r="G51" s="216"/>
      <c r="H51" s="216"/>
    </row>
    <row r="52" spans="2:8" ht="38.25" customHeight="1">
      <c r="B52" s="164" t="s">
        <v>223</v>
      </c>
      <c r="C52" s="216" t="s">
        <v>517</v>
      </c>
      <c r="D52" s="216"/>
      <c r="E52" s="216"/>
      <c r="F52" s="216" t="s">
        <v>518</v>
      </c>
      <c r="G52" s="216"/>
      <c r="H52" s="216"/>
    </row>
    <row r="53" spans="2:8">
      <c r="C53" s="165"/>
      <c r="D53" s="165"/>
      <c r="E53" s="165"/>
      <c r="F53" s="165"/>
      <c r="G53" s="165"/>
      <c r="H53" s="165"/>
    </row>
    <row r="54" spans="2:8">
      <c r="C54" s="218" t="s">
        <v>519</v>
      </c>
      <c r="D54" s="218"/>
      <c r="E54" s="218"/>
      <c r="F54" s="218"/>
      <c r="G54" s="218"/>
      <c r="H54" s="218"/>
    </row>
    <row r="56" spans="2:8" ht="15">
      <c r="C56" s="219" t="s">
        <v>520</v>
      </c>
      <c r="D56" s="219"/>
      <c r="E56" s="219"/>
      <c r="F56" s="219"/>
      <c r="G56" s="219"/>
      <c r="H56" s="219"/>
    </row>
    <row r="58" spans="2:8">
      <c r="C58" s="220" t="s">
        <v>521</v>
      </c>
      <c r="D58" s="220"/>
      <c r="E58" s="220"/>
      <c r="F58" s="220"/>
      <c r="G58" s="220"/>
      <c r="H58" s="220"/>
    </row>
    <row r="60" spans="2:8">
      <c r="C60" s="221" t="s">
        <v>470</v>
      </c>
      <c r="D60" s="222"/>
      <c r="E60" s="223"/>
      <c r="F60" s="224" t="s">
        <v>471</v>
      </c>
      <c r="G60" s="224"/>
      <c r="H60" s="224"/>
    </row>
    <row r="61" spans="2:8" ht="68.25" customHeight="1">
      <c r="B61" s="164" t="s">
        <v>20</v>
      </c>
      <c r="C61" s="216" t="s">
        <v>522</v>
      </c>
      <c r="D61" s="216"/>
      <c r="E61" s="216"/>
      <c r="F61" s="216" t="s">
        <v>523</v>
      </c>
      <c r="G61" s="216"/>
      <c r="H61" s="216"/>
    </row>
    <row r="62" spans="2:8" ht="98.25" customHeight="1">
      <c r="B62" s="164" t="s">
        <v>11</v>
      </c>
      <c r="C62" s="216" t="s">
        <v>524</v>
      </c>
      <c r="D62" s="216"/>
      <c r="E62" s="216"/>
      <c r="F62" s="216" t="s">
        <v>525</v>
      </c>
      <c r="G62" s="216"/>
      <c r="H62" s="216"/>
    </row>
    <row r="63" spans="2:8" ht="37.5" customHeight="1">
      <c r="B63" s="164" t="s">
        <v>38</v>
      </c>
      <c r="C63" s="217" t="s">
        <v>526</v>
      </c>
      <c r="D63" s="217"/>
      <c r="E63" s="217"/>
      <c r="F63" s="216" t="s">
        <v>527</v>
      </c>
      <c r="G63" s="216"/>
      <c r="H63" s="216"/>
    </row>
    <row r="64" spans="2:8" ht="54" customHeight="1">
      <c r="B64" s="164" t="s">
        <v>8</v>
      </c>
      <c r="C64" s="216" t="s">
        <v>528</v>
      </c>
      <c r="D64" s="216"/>
      <c r="E64" s="216"/>
      <c r="F64" s="216" t="s">
        <v>529</v>
      </c>
      <c r="G64" s="216"/>
      <c r="H64" s="216"/>
    </row>
    <row r="65" spans="2:8" ht="21.75" customHeight="1">
      <c r="B65" s="164" t="s">
        <v>23</v>
      </c>
      <c r="C65" s="217" t="s">
        <v>530</v>
      </c>
      <c r="D65" s="217"/>
      <c r="E65" s="217"/>
      <c r="F65" s="217" t="s">
        <v>531</v>
      </c>
      <c r="G65" s="217"/>
      <c r="H65" s="217"/>
    </row>
    <row r="68" spans="2:8" ht="39" customHeight="1">
      <c r="B68" s="164" t="s">
        <v>535</v>
      </c>
      <c r="C68" s="241" t="s">
        <v>536</v>
      </c>
      <c r="D68" s="242"/>
      <c r="E68" s="242"/>
      <c r="F68" s="242"/>
      <c r="G68" s="242"/>
      <c r="H68" s="243"/>
    </row>
  </sheetData>
  <mergeCells count="75">
    <mergeCell ref="C14:E14"/>
    <mergeCell ref="F14:H14"/>
    <mergeCell ref="C68:H68"/>
    <mergeCell ref="C1:H1"/>
    <mergeCell ref="D8:G8"/>
    <mergeCell ref="C10:H12"/>
    <mergeCell ref="C4:E4"/>
    <mergeCell ref="F4:H4"/>
    <mergeCell ref="C15:E15"/>
    <mergeCell ref="F15:H15"/>
    <mergeCell ref="C16:E16"/>
    <mergeCell ref="F16:H16"/>
    <mergeCell ref="C17:E17"/>
    <mergeCell ref="F17:H17"/>
    <mergeCell ref="C30:E30"/>
    <mergeCell ref="F30:H30"/>
    <mergeCell ref="C18:E18"/>
    <mergeCell ref="F18:H18"/>
    <mergeCell ref="C19:E19"/>
    <mergeCell ref="F19:H19"/>
    <mergeCell ref="C20:E20"/>
    <mergeCell ref="F20:H20"/>
    <mergeCell ref="C22:H23"/>
    <mergeCell ref="C25:H25"/>
    <mergeCell ref="C27:H27"/>
    <mergeCell ref="C29:E29"/>
    <mergeCell ref="F29:H29"/>
    <mergeCell ref="C42:E42"/>
    <mergeCell ref="F42:H42"/>
    <mergeCell ref="C31:E31"/>
    <mergeCell ref="F31:H31"/>
    <mergeCell ref="C32:E32"/>
    <mergeCell ref="F32:H32"/>
    <mergeCell ref="C33:E33"/>
    <mergeCell ref="F33:H33"/>
    <mergeCell ref="C34:E34"/>
    <mergeCell ref="F34:H34"/>
    <mergeCell ref="C36:H36"/>
    <mergeCell ref="C38:H38"/>
    <mergeCell ref="C40:H40"/>
    <mergeCell ref="C43:E43"/>
    <mergeCell ref="F43:H43"/>
    <mergeCell ref="C44:E44"/>
    <mergeCell ref="F44:H44"/>
    <mergeCell ref="C45:E45"/>
    <mergeCell ref="F45:H45"/>
    <mergeCell ref="C46:E46"/>
    <mergeCell ref="F46:H46"/>
    <mergeCell ref="C47:E47"/>
    <mergeCell ref="F47:H47"/>
    <mergeCell ref="C48:E48"/>
    <mergeCell ref="F48:H48"/>
    <mergeCell ref="C60:E60"/>
    <mergeCell ref="F60:H60"/>
    <mergeCell ref="C49:E49"/>
    <mergeCell ref="F49:H49"/>
    <mergeCell ref="C50:E50"/>
    <mergeCell ref="F50:H50"/>
    <mergeCell ref="C51:E51"/>
    <mergeCell ref="F51:H51"/>
    <mergeCell ref="C52:E52"/>
    <mergeCell ref="F52:H52"/>
    <mergeCell ref="C54:H54"/>
    <mergeCell ref="C56:H56"/>
    <mergeCell ref="C58:H58"/>
    <mergeCell ref="C64:E64"/>
    <mergeCell ref="F64:H64"/>
    <mergeCell ref="C65:E65"/>
    <mergeCell ref="F65:H65"/>
    <mergeCell ref="C61:E61"/>
    <mergeCell ref="F61:H61"/>
    <mergeCell ref="C62:E62"/>
    <mergeCell ref="F62:H62"/>
    <mergeCell ref="C63:E63"/>
    <mergeCell ref="F63:H6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2"/>
  <dimension ref="A1:GF1000"/>
  <sheetViews>
    <sheetView workbookViewId="0"/>
  </sheetViews>
  <sheetFormatPr baseColWidth="10" defaultColWidth="14.42578125" defaultRowHeight="15" customHeight="1"/>
  <cols>
    <col min="1" max="188" width="10.85546875" customWidth="1"/>
  </cols>
  <sheetData>
    <row r="1" spans="1:188" ht="12" customHeight="1">
      <c r="A1" s="65" t="s">
        <v>122</v>
      </c>
      <c r="B1" s="237" t="s">
        <v>123</v>
      </c>
      <c r="C1" s="238"/>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row>
    <row r="2" spans="1:188" ht="12" customHeight="1">
      <c r="A2" s="66"/>
      <c r="B2" s="66">
        <v>1</v>
      </c>
      <c r="C2" s="66">
        <v>2</v>
      </c>
      <c r="D2" s="67">
        <v>3</v>
      </c>
      <c r="E2" s="66">
        <v>4</v>
      </c>
      <c r="F2" s="66">
        <v>5</v>
      </c>
      <c r="G2" s="66">
        <v>6</v>
      </c>
      <c r="H2" s="66">
        <v>7</v>
      </c>
      <c r="I2" s="66">
        <v>8</v>
      </c>
      <c r="J2" s="66">
        <v>9</v>
      </c>
      <c r="K2" s="66">
        <v>10</v>
      </c>
      <c r="L2" s="66">
        <v>11</v>
      </c>
      <c r="M2" s="66">
        <v>12</v>
      </c>
      <c r="N2" s="66">
        <v>13</v>
      </c>
      <c r="O2" s="66">
        <v>14</v>
      </c>
      <c r="P2" s="66">
        <v>15</v>
      </c>
      <c r="Q2" s="66">
        <v>16</v>
      </c>
      <c r="R2" s="66">
        <v>17</v>
      </c>
      <c r="S2" s="66">
        <v>18</v>
      </c>
      <c r="T2" s="66">
        <v>19</v>
      </c>
      <c r="U2" s="66">
        <v>20</v>
      </c>
      <c r="V2" s="66">
        <v>21</v>
      </c>
      <c r="W2" s="66">
        <v>22</v>
      </c>
      <c r="X2" s="66">
        <v>23</v>
      </c>
      <c r="Y2" s="66">
        <v>24</v>
      </c>
      <c r="Z2" s="66">
        <v>25</v>
      </c>
      <c r="AA2" s="66">
        <v>26</v>
      </c>
      <c r="AB2" s="66">
        <v>27</v>
      </c>
      <c r="AC2" s="66">
        <v>28</v>
      </c>
      <c r="AD2" s="66">
        <v>29</v>
      </c>
      <c r="AE2" s="66">
        <v>30</v>
      </c>
      <c r="AF2" s="66">
        <v>31</v>
      </c>
      <c r="AG2" s="66">
        <v>32</v>
      </c>
      <c r="AH2" s="66">
        <v>33</v>
      </c>
      <c r="AI2" s="66">
        <v>34</v>
      </c>
      <c r="AJ2" s="66">
        <v>35</v>
      </c>
      <c r="AK2" s="66">
        <v>36</v>
      </c>
      <c r="AL2" s="66">
        <v>37</v>
      </c>
      <c r="AM2" s="66">
        <v>38</v>
      </c>
      <c r="AN2" s="66">
        <v>39</v>
      </c>
      <c r="AO2" s="66">
        <v>40</v>
      </c>
      <c r="AP2" s="66">
        <v>41</v>
      </c>
      <c r="AQ2" s="66">
        <v>42</v>
      </c>
      <c r="AR2" s="66">
        <v>43</v>
      </c>
      <c r="AS2" s="66">
        <v>44</v>
      </c>
      <c r="AT2" s="66">
        <v>45</v>
      </c>
      <c r="AU2" s="66">
        <v>46</v>
      </c>
      <c r="AV2" s="66">
        <v>47</v>
      </c>
      <c r="AW2" s="66">
        <v>48</v>
      </c>
      <c r="AX2" s="66">
        <v>49</v>
      </c>
      <c r="AY2" s="66">
        <v>50</v>
      </c>
      <c r="AZ2" s="66">
        <v>51</v>
      </c>
      <c r="BA2" s="66">
        <v>52</v>
      </c>
      <c r="BB2" s="66">
        <v>53</v>
      </c>
      <c r="BC2" s="66">
        <v>54</v>
      </c>
      <c r="BD2" s="66">
        <v>55</v>
      </c>
      <c r="BE2" s="66">
        <v>56</v>
      </c>
      <c r="BF2" s="66">
        <v>57</v>
      </c>
      <c r="BG2" s="66">
        <v>58</v>
      </c>
      <c r="BH2" s="66">
        <v>59</v>
      </c>
      <c r="BI2" s="66">
        <v>60</v>
      </c>
      <c r="BJ2" s="66">
        <v>61</v>
      </c>
      <c r="BK2" s="66">
        <v>62</v>
      </c>
      <c r="BL2" s="66">
        <v>63</v>
      </c>
      <c r="BM2" s="66">
        <v>64</v>
      </c>
      <c r="BN2" s="66">
        <v>65</v>
      </c>
      <c r="BO2" s="66">
        <v>66</v>
      </c>
      <c r="BP2" s="66">
        <v>67</v>
      </c>
      <c r="BQ2" s="66">
        <v>68</v>
      </c>
      <c r="BR2" s="66">
        <v>69</v>
      </c>
      <c r="BS2" s="66">
        <v>70</v>
      </c>
      <c r="BT2" s="66">
        <v>71</v>
      </c>
      <c r="BU2" s="66">
        <v>72</v>
      </c>
      <c r="BV2" s="66">
        <v>73</v>
      </c>
      <c r="BW2" s="66">
        <v>74</v>
      </c>
      <c r="BX2" s="66">
        <v>75</v>
      </c>
      <c r="BY2" s="66">
        <v>76</v>
      </c>
      <c r="BZ2" s="66">
        <v>77</v>
      </c>
      <c r="CA2" s="66">
        <v>78</v>
      </c>
      <c r="CB2" s="66">
        <v>79</v>
      </c>
      <c r="CC2" s="66">
        <v>80</v>
      </c>
      <c r="CD2" s="66">
        <v>81</v>
      </c>
      <c r="CE2" s="66">
        <v>82</v>
      </c>
      <c r="CF2" s="66">
        <v>83</v>
      </c>
      <c r="CG2" s="66">
        <v>84</v>
      </c>
      <c r="CH2" s="66">
        <v>85</v>
      </c>
      <c r="CI2" s="66">
        <v>86</v>
      </c>
      <c r="CJ2" s="66">
        <v>87</v>
      </c>
      <c r="CK2" s="66">
        <v>88</v>
      </c>
      <c r="CL2" s="66">
        <v>89</v>
      </c>
      <c r="CM2" s="66">
        <v>90</v>
      </c>
      <c r="CN2" s="66">
        <v>91</v>
      </c>
      <c r="CO2" s="66">
        <v>92</v>
      </c>
      <c r="CP2" s="66">
        <v>93</v>
      </c>
      <c r="CQ2" s="66">
        <v>94</v>
      </c>
      <c r="CR2" s="66">
        <v>95</v>
      </c>
      <c r="CS2" s="66">
        <v>96</v>
      </c>
      <c r="CT2" s="66">
        <v>97</v>
      </c>
      <c r="CU2" s="66">
        <v>98</v>
      </c>
      <c r="CV2" s="66">
        <v>99</v>
      </c>
      <c r="CW2" s="66">
        <v>100</v>
      </c>
      <c r="CX2" s="66">
        <v>101</v>
      </c>
      <c r="CY2" s="66">
        <v>102</v>
      </c>
      <c r="CZ2" s="66">
        <v>103</v>
      </c>
      <c r="DA2" s="66">
        <v>104</v>
      </c>
      <c r="DB2" s="66">
        <v>105</v>
      </c>
      <c r="DC2" s="66">
        <v>106</v>
      </c>
      <c r="DD2" s="66">
        <v>107</v>
      </c>
      <c r="DE2" s="66">
        <v>108</v>
      </c>
      <c r="DF2" s="66">
        <v>109</v>
      </c>
      <c r="DG2" s="66">
        <v>110</v>
      </c>
      <c r="DH2" s="66">
        <v>111</v>
      </c>
      <c r="DI2" s="66">
        <v>112</v>
      </c>
      <c r="DJ2" s="66">
        <v>113</v>
      </c>
      <c r="DK2" s="66">
        <v>114</v>
      </c>
      <c r="DL2" s="66">
        <v>115</v>
      </c>
      <c r="DM2" s="66">
        <v>116</v>
      </c>
      <c r="DN2" s="66">
        <v>117</v>
      </c>
      <c r="DO2" s="66">
        <v>118</v>
      </c>
      <c r="DP2" s="66">
        <v>119</v>
      </c>
      <c r="DQ2" s="66">
        <v>120</v>
      </c>
      <c r="DR2" s="66">
        <v>121</v>
      </c>
      <c r="DS2" s="66">
        <v>122</v>
      </c>
      <c r="DT2" s="66">
        <v>123</v>
      </c>
      <c r="DU2" s="66">
        <v>124</v>
      </c>
      <c r="DV2" s="66">
        <v>125</v>
      </c>
      <c r="DW2" s="66">
        <v>126</v>
      </c>
      <c r="DX2" s="66">
        <v>127</v>
      </c>
      <c r="DY2" s="66">
        <v>128</v>
      </c>
      <c r="DZ2" s="66">
        <v>129</v>
      </c>
      <c r="EA2" s="66">
        <v>130</v>
      </c>
      <c r="EB2" s="66">
        <v>131</v>
      </c>
      <c r="EC2" s="66">
        <v>132</v>
      </c>
      <c r="ED2" s="66">
        <v>133</v>
      </c>
      <c r="EE2" s="66">
        <v>134</v>
      </c>
      <c r="EF2" s="66">
        <v>135</v>
      </c>
      <c r="EG2" s="66">
        <v>136</v>
      </c>
      <c r="EH2" s="66">
        <v>137</v>
      </c>
      <c r="EI2" s="66">
        <v>138</v>
      </c>
      <c r="EJ2" s="66">
        <v>139</v>
      </c>
      <c r="EK2" s="66">
        <v>140</v>
      </c>
      <c r="EL2" s="66">
        <v>141</v>
      </c>
      <c r="EM2" s="66">
        <v>142</v>
      </c>
      <c r="EN2" s="66">
        <v>143</v>
      </c>
      <c r="EO2" s="66">
        <v>144</v>
      </c>
      <c r="EP2" s="66">
        <v>145</v>
      </c>
      <c r="EQ2" s="66">
        <v>146</v>
      </c>
      <c r="ER2" s="66">
        <v>147</v>
      </c>
      <c r="ES2" s="66">
        <v>148</v>
      </c>
      <c r="ET2" s="66">
        <v>149</v>
      </c>
      <c r="EU2" s="66">
        <v>150</v>
      </c>
      <c r="EV2" s="66">
        <v>151</v>
      </c>
      <c r="EW2" s="66">
        <v>152</v>
      </c>
      <c r="EX2" s="66">
        <v>153</v>
      </c>
      <c r="EY2" s="66">
        <v>154</v>
      </c>
      <c r="EZ2" s="66">
        <v>155</v>
      </c>
      <c r="FA2" s="66">
        <v>156</v>
      </c>
      <c r="FB2" s="66">
        <v>157</v>
      </c>
      <c r="FC2" s="66">
        <v>158</v>
      </c>
      <c r="FD2" s="66">
        <v>159</v>
      </c>
      <c r="FE2" s="66">
        <v>160</v>
      </c>
      <c r="FF2" s="66">
        <v>161</v>
      </c>
      <c r="FG2" s="66">
        <v>162</v>
      </c>
      <c r="FH2" s="66">
        <v>163</v>
      </c>
      <c r="FI2" s="66">
        <v>164</v>
      </c>
      <c r="FJ2" s="66">
        <v>165</v>
      </c>
      <c r="FK2" s="66">
        <v>166</v>
      </c>
      <c r="FL2" s="66">
        <v>167</v>
      </c>
      <c r="FM2" s="66">
        <v>168</v>
      </c>
      <c r="FN2" s="66">
        <v>169</v>
      </c>
      <c r="FO2" s="66">
        <v>170</v>
      </c>
      <c r="FP2" s="66">
        <v>171</v>
      </c>
      <c r="FQ2" s="66">
        <v>172</v>
      </c>
      <c r="FR2" s="66">
        <v>173</v>
      </c>
      <c r="FS2" s="66">
        <v>174</v>
      </c>
      <c r="FT2" s="66">
        <v>175</v>
      </c>
      <c r="FU2" s="66">
        <v>176</v>
      </c>
      <c r="FV2" s="66">
        <v>177</v>
      </c>
      <c r="FW2" s="66">
        <v>178</v>
      </c>
      <c r="FX2" s="66">
        <v>179</v>
      </c>
      <c r="FY2" s="66">
        <v>180</v>
      </c>
      <c r="FZ2" s="66">
        <v>181</v>
      </c>
      <c r="GA2" s="66">
        <v>182</v>
      </c>
      <c r="GB2" s="66">
        <v>183</v>
      </c>
      <c r="GC2" s="66">
        <v>184</v>
      </c>
      <c r="GD2" s="66">
        <v>185</v>
      </c>
      <c r="GE2" s="66">
        <v>186</v>
      </c>
      <c r="GF2" s="66">
        <v>187</v>
      </c>
    </row>
    <row r="3" spans="1:188" ht="12" customHeight="1">
      <c r="A3" s="66"/>
      <c r="B3" s="66"/>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row>
    <row r="4" spans="1:188" ht="12" customHeight="1">
      <c r="A4" s="66"/>
      <c r="B4" s="66"/>
      <c r="C4" s="66"/>
      <c r="D4" s="66" t="str">
        <f>MID('PTI-16'!$A$12,D2,1)</f>
        <v/>
      </c>
      <c r="E4" s="66" t="str">
        <f>MID('PTI-16'!$A$12,E2,1)</f>
        <v/>
      </c>
      <c r="F4" s="66" t="str">
        <f>MID('PTI-16'!$A$12,F2,1)</f>
        <v/>
      </c>
      <c r="G4" s="66" t="str">
        <f>MID('PTI-16'!$A$12,G2,1)</f>
        <v/>
      </c>
      <c r="H4" s="66" t="str">
        <f>MID('PTI-16'!$A$12,H2,1)</f>
        <v/>
      </c>
      <c r="I4" s="66" t="str">
        <f>MID('PTI-16'!$A$12,I2,1)</f>
        <v/>
      </c>
      <c r="J4" s="66" t="str">
        <f>MID('PTI-16'!$A$12,J2,1)</f>
        <v/>
      </c>
      <c r="K4" s="66" t="str">
        <f>MID('PTI-16'!$A$12,K2,1)</f>
        <v/>
      </c>
      <c r="L4" s="66" t="str">
        <f>MID('PTI-16'!$A$12,L2,1)</f>
        <v/>
      </c>
      <c r="M4" s="66" t="str">
        <f>MID('PTI-16'!$A$12,M2,1)</f>
        <v/>
      </c>
      <c r="N4" s="66" t="str">
        <f>MID('PTI-16'!$A$12,N2,1)</f>
        <v/>
      </c>
      <c r="O4" s="66" t="str">
        <f>MID('PTI-16'!$A$12,O2,1)</f>
        <v/>
      </c>
      <c r="P4" s="66" t="str">
        <f>MID('PTI-16'!$A$12,P2,1)</f>
        <v/>
      </c>
      <c r="Q4" s="66" t="str">
        <f>MID('PTI-16'!$A$12,Q2,1)</f>
        <v/>
      </c>
      <c r="R4" s="66" t="str">
        <f>MID('PTI-16'!$A$12,R2,1)</f>
        <v/>
      </c>
      <c r="S4" s="66" t="str">
        <f>MID('PTI-16'!$A$12,S2,1)</f>
        <v/>
      </c>
      <c r="T4" s="66" t="str">
        <f>MID('PTI-16'!$A$12,T2,1)</f>
        <v/>
      </c>
      <c r="U4" s="66" t="str">
        <f>MID('PTI-16'!$A$12,U2,1)</f>
        <v/>
      </c>
      <c r="V4" s="66" t="str">
        <f>MID('PTI-16'!$A$12,V2,1)</f>
        <v/>
      </c>
      <c r="W4" s="66" t="str">
        <f>MID('PTI-16'!$A$12,W2,1)</f>
        <v/>
      </c>
      <c r="X4" s="66" t="str">
        <f>MID('PTI-16'!$A$12,X2,1)</f>
        <v/>
      </c>
      <c r="Y4" s="66" t="str">
        <f>MID('PTI-16'!$A$12,Y2,1)</f>
        <v/>
      </c>
      <c r="Z4" s="66" t="str">
        <f>MID('PTI-16'!$A$12,Z2,1)</f>
        <v/>
      </c>
      <c r="AA4" s="66" t="str">
        <f>MID('PTI-16'!$A$12,AA2,1)</f>
        <v/>
      </c>
      <c r="AB4" s="66" t="str">
        <f>MID('PTI-16'!$A$12,AB2,1)</f>
        <v/>
      </c>
      <c r="AC4" s="66" t="str">
        <f>MID('PTI-16'!$A$12,AC2,1)</f>
        <v/>
      </c>
      <c r="AD4" s="66" t="str">
        <f>MID('PTI-16'!$A$12,AD2,1)</f>
        <v/>
      </c>
      <c r="AE4" s="66" t="str">
        <f>MID('PTI-16'!$A$12,AE2,1)</f>
        <v/>
      </c>
      <c r="AF4" s="66" t="str">
        <f>MID('PTI-16'!$A$12,AF2,1)</f>
        <v/>
      </c>
      <c r="AG4" s="66" t="str">
        <f>MID('PTI-16'!$A$12,AG2,1)</f>
        <v/>
      </c>
      <c r="AH4" s="66" t="str">
        <f>MID('PTI-16'!$A$12,AH2,1)</f>
        <v/>
      </c>
      <c r="AI4" s="66" t="str">
        <f>MID('PTI-16'!$A$12,AI2,1)</f>
        <v/>
      </c>
      <c r="AJ4" s="66" t="str">
        <f>MID('PTI-16'!$A$12,AJ2,1)</f>
        <v/>
      </c>
      <c r="AK4" s="66" t="str">
        <f>MID('PTI-16'!$A$12,AK2,1)</f>
        <v/>
      </c>
      <c r="AL4" s="66" t="str">
        <f>MID('PTI-16'!$A$12,AL2,1)</f>
        <v/>
      </c>
      <c r="AM4" s="66" t="str">
        <f>MID('PTI-16'!$A$12,AM2,1)</f>
        <v/>
      </c>
      <c r="AN4" s="66" t="str">
        <f>MID('PTI-16'!$A$12,AN2,1)</f>
        <v/>
      </c>
      <c r="AO4" s="66" t="str">
        <f>MID('PTI-16'!$A$12,AO2,1)</f>
        <v/>
      </c>
      <c r="AP4" s="66" t="str">
        <f>MID('PTI-16'!$A$12,AP2,1)</f>
        <v/>
      </c>
      <c r="AQ4" s="66" t="str">
        <f>MID('PTI-16'!$A$12,AQ2,1)</f>
        <v/>
      </c>
      <c r="AR4" s="66" t="str">
        <f>MID('PTI-16'!$A$12,AR2,1)</f>
        <v/>
      </c>
      <c r="AS4" s="66" t="str">
        <f>MID('PTI-16'!$A$12,AS2,1)</f>
        <v/>
      </c>
      <c r="AT4" s="66" t="str">
        <f>MID('PTI-16'!$A$12,AT2,1)</f>
        <v/>
      </c>
      <c r="AU4" s="66" t="str">
        <f>MID('PTI-16'!$A$12,AU2,1)</f>
        <v/>
      </c>
      <c r="AV4" s="66" t="str">
        <f>MID('PTI-16'!$A$12,AV2,1)</f>
        <v/>
      </c>
      <c r="AW4" s="66" t="str">
        <f>MID('PTI-16'!$A$12,AW2,1)</f>
        <v/>
      </c>
      <c r="AX4" s="66" t="str">
        <f>MID('PTI-16'!$A$12,AX2,1)</f>
        <v/>
      </c>
      <c r="AY4" s="66" t="str">
        <f>MID('PTI-16'!$A$12,AY2,1)</f>
        <v/>
      </c>
      <c r="AZ4" s="66" t="str">
        <f>MID('PTI-16'!$A$12,AZ2,1)</f>
        <v/>
      </c>
      <c r="BA4" s="66" t="str">
        <f>MID('PTI-16'!$A$12,BA2,1)</f>
        <v/>
      </c>
      <c r="BB4" s="66" t="str">
        <f>MID('PTI-16'!$A$12,BB2,1)</f>
        <v/>
      </c>
      <c r="BC4" s="66" t="str">
        <f>MID('PTI-16'!$A$12,BC2,1)</f>
        <v/>
      </c>
      <c r="BD4" s="66" t="str">
        <f>MID('PTI-16'!$A$12,BD2,1)</f>
        <v/>
      </c>
      <c r="BE4" s="66" t="str">
        <f>MID('PTI-16'!$A$12,BE2,1)</f>
        <v/>
      </c>
      <c r="BF4" s="66" t="str">
        <f>MID('PTI-16'!$A$12,BF2,1)</f>
        <v/>
      </c>
      <c r="BG4" s="66" t="str">
        <f>MID('PTI-16'!$A$12,BG2,1)</f>
        <v/>
      </c>
      <c r="BH4" s="66" t="str">
        <f>MID('PTI-16'!$A$12,BH2,1)</f>
        <v/>
      </c>
      <c r="BI4" s="66" t="str">
        <f>MID('PTI-16'!$A$12,BI2,1)</f>
        <v/>
      </c>
      <c r="BJ4" s="66" t="str">
        <f>MID('PTI-16'!$A$12,BJ2,1)</f>
        <v/>
      </c>
      <c r="BK4" s="66" t="str">
        <f>MID('PTI-16'!$A$12,BK2,1)</f>
        <v/>
      </c>
      <c r="BL4" s="66" t="str">
        <f>MID('PTI-16'!$A$12,BL2,1)</f>
        <v/>
      </c>
      <c r="BM4" s="66" t="str">
        <f>MID('PTI-16'!$A$12,BM2,1)</f>
        <v/>
      </c>
      <c r="BN4" s="66" t="str">
        <f>MID('PTI-16'!$A$12,BN2,1)</f>
        <v/>
      </c>
      <c r="BO4" s="66" t="str">
        <f>MID('PTI-16'!$A$12,BO2,1)</f>
        <v/>
      </c>
      <c r="BP4" s="66" t="str">
        <f>MID('PTI-16'!$A$12,BP2,1)</f>
        <v/>
      </c>
      <c r="BQ4" s="66" t="str">
        <f>MID('PTI-16'!$A$12,BQ2,1)</f>
        <v/>
      </c>
      <c r="BR4" s="66" t="str">
        <f>MID('PTI-16'!$A$12,BR2,1)</f>
        <v/>
      </c>
      <c r="BS4" s="66" t="str">
        <f>MID('PTI-16'!$A$12,BS2,1)</f>
        <v/>
      </c>
      <c r="BT4" s="66" t="str">
        <f>MID('PTI-16'!$A$12,BT2,1)</f>
        <v/>
      </c>
      <c r="BU4" s="66" t="str">
        <f>MID('PTI-16'!$A$12,BU2,1)</f>
        <v/>
      </c>
      <c r="BV4" s="66" t="str">
        <f>MID('PTI-16'!$A$12,BV2,1)</f>
        <v/>
      </c>
      <c r="BW4" s="66" t="str">
        <f>MID('PTI-16'!$A$12,BW2,1)</f>
        <v/>
      </c>
      <c r="BX4" s="66" t="str">
        <f>MID('PTI-16'!$A$12,BX2,1)</f>
        <v/>
      </c>
      <c r="BY4" s="66" t="str">
        <f>MID('PTI-16'!$A$12,BY2,1)</f>
        <v/>
      </c>
      <c r="BZ4" s="66" t="str">
        <f>MID('PTI-16'!$A$12,BZ2,1)</f>
        <v/>
      </c>
      <c r="CA4" s="66" t="str">
        <f>MID('PTI-16'!$A$12,CA2,1)</f>
        <v/>
      </c>
      <c r="CB4" s="66" t="str">
        <f>MID('PTI-16'!$A$12,CB2,1)</f>
        <v/>
      </c>
      <c r="CC4" s="66" t="str">
        <f>MID('PTI-16'!$A$12,CC2,1)</f>
        <v/>
      </c>
      <c r="CD4" s="66" t="str">
        <f>MID('PTI-16'!$A$12,CD2,1)</f>
        <v/>
      </c>
      <c r="CE4" s="66" t="str">
        <f>MID('PTI-16'!$A$12,CE2,1)</f>
        <v/>
      </c>
      <c r="CF4" s="66" t="str">
        <f>MID('PTI-16'!$A$12,CF2,1)</f>
        <v/>
      </c>
      <c r="CG4" s="66" t="str">
        <f>MID('PTI-16'!$A$12,CG2,1)</f>
        <v/>
      </c>
      <c r="CH4" s="66" t="str">
        <f>MID('PTI-16'!$A$12,CH2,1)</f>
        <v/>
      </c>
      <c r="CI4" s="66" t="str">
        <f>MID('PTI-16'!$A$12,CI2,1)</f>
        <v/>
      </c>
      <c r="CJ4" s="66" t="str">
        <f>MID('PTI-16'!$A$12,CJ2,1)</f>
        <v/>
      </c>
      <c r="CK4" s="66" t="str">
        <f>MID('PTI-16'!$A$12,CK2,1)</f>
        <v/>
      </c>
      <c r="CL4" s="66" t="str">
        <f>MID('PTI-16'!$A$12,CL2,1)</f>
        <v/>
      </c>
      <c r="CM4" s="66" t="str">
        <f>MID('PTI-16'!$A$12,CM2,1)</f>
        <v/>
      </c>
      <c r="CN4" s="66" t="str">
        <f>MID('PTI-16'!$A$12,CN2,1)</f>
        <v/>
      </c>
      <c r="CO4" s="66" t="str">
        <f>MID('PTI-16'!$A$12,CO2,1)</f>
        <v/>
      </c>
      <c r="CP4" s="66" t="str">
        <f>MID('PTI-16'!$A$12,CP2,1)</f>
        <v/>
      </c>
      <c r="CQ4" s="66" t="str">
        <f>MID('PTI-16'!$A$12,CQ2,1)</f>
        <v/>
      </c>
      <c r="CR4" s="66" t="str">
        <f>MID('PTI-16'!$A$12,CR2,1)</f>
        <v/>
      </c>
      <c r="CS4" s="66" t="str">
        <f>MID('PTI-16'!$A$12,CS2,1)</f>
        <v/>
      </c>
      <c r="CT4" s="66" t="str">
        <f>MID('PTI-16'!$A$12,CT2,1)</f>
        <v/>
      </c>
      <c r="CU4" s="66" t="str">
        <f>MID('PTI-16'!$A$12,CU2,1)</f>
        <v/>
      </c>
      <c r="CV4" s="66" t="str">
        <f>MID('PTI-16'!$A$12,CV2,1)</f>
        <v/>
      </c>
      <c r="CW4" s="66" t="str">
        <f>MID('PTI-16'!$A$12,CW2,1)</f>
        <v/>
      </c>
      <c r="CX4" s="66" t="str">
        <f>MID('PTI-16'!$A$12,CX2,1)</f>
        <v/>
      </c>
      <c r="CY4" s="66" t="str">
        <f>MID('PTI-16'!$A$12,CY2,1)</f>
        <v/>
      </c>
      <c r="CZ4" s="66" t="str">
        <f>MID('PTI-16'!$A$12,CZ2,1)</f>
        <v/>
      </c>
      <c r="DA4" s="66" t="str">
        <f>MID('PTI-16'!$A$12,DA2,1)</f>
        <v/>
      </c>
      <c r="DB4" s="66" t="str">
        <f>MID('PTI-16'!$A$12,DB2,1)</f>
        <v/>
      </c>
      <c r="DC4" s="66" t="str">
        <f>MID('PTI-16'!$A$12,DC2,1)</f>
        <v/>
      </c>
      <c r="DD4" s="66" t="str">
        <f>MID('PTI-16'!$A$12,DD2,1)</f>
        <v/>
      </c>
      <c r="DE4" s="66" t="str">
        <f>MID('PTI-16'!$A$12,DE2,1)</f>
        <v/>
      </c>
      <c r="DF4" s="66" t="str">
        <f>MID('PTI-16'!$A$12,DF2,1)</f>
        <v/>
      </c>
      <c r="DG4" s="66" t="str">
        <f>MID('PTI-16'!$A$12,DG2,1)</f>
        <v/>
      </c>
      <c r="DH4" s="66" t="str">
        <f>MID('PTI-16'!$A$12,DH2,1)</f>
        <v/>
      </c>
      <c r="DI4" s="66" t="str">
        <f>MID('PTI-16'!$A$12,DI2,1)</f>
        <v/>
      </c>
      <c r="DJ4" s="66" t="str">
        <f>MID('PTI-16'!$A$12,DJ2,1)</f>
        <v/>
      </c>
      <c r="DK4" s="66" t="str">
        <f>MID('PTI-16'!$A$12,DK2,1)</f>
        <v/>
      </c>
      <c r="DL4" s="66" t="str">
        <f>MID('PTI-16'!$A$12,DL2,1)</f>
        <v/>
      </c>
      <c r="DM4" s="66" t="str">
        <f>MID('PTI-16'!$A$12,DM2,1)</f>
        <v/>
      </c>
      <c r="DN4" s="66" t="str">
        <f>MID('PTI-16'!$A$12,DN2,1)</f>
        <v/>
      </c>
      <c r="DO4" s="66" t="str">
        <f>MID('PTI-16'!$A$12,DO2,1)</f>
        <v/>
      </c>
      <c r="DP4" s="66" t="str">
        <f>MID('PTI-16'!$A$12,DP2,1)</f>
        <v/>
      </c>
      <c r="DQ4" s="66" t="str">
        <f>MID('PTI-16'!$A$12,DQ2,1)</f>
        <v/>
      </c>
      <c r="DR4" s="66" t="str">
        <f>MID('PTI-16'!$A$12,DR2,1)</f>
        <v/>
      </c>
      <c r="DS4" s="66" t="str">
        <f>MID('PTI-16'!$A$12,DS2,1)</f>
        <v/>
      </c>
      <c r="DT4" s="66" t="str">
        <f>MID('PTI-16'!$A$12,DT2,1)</f>
        <v/>
      </c>
      <c r="DU4" s="66" t="str">
        <f>MID('PTI-16'!$A$12,DU2,1)</f>
        <v/>
      </c>
      <c r="DV4" s="66" t="str">
        <f>MID('PTI-16'!$A$12,DV2,1)</f>
        <v/>
      </c>
      <c r="DW4" s="66" t="str">
        <f>MID('PTI-16'!$A$12,DW2,1)</f>
        <v/>
      </c>
      <c r="DX4" s="66" t="str">
        <f>MID('PTI-16'!$A$12,DX2,1)</f>
        <v/>
      </c>
      <c r="DY4" s="66" t="str">
        <f>MID('PTI-16'!$A$12,DY2,1)</f>
        <v/>
      </c>
      <c r="DZ4" s="66" t="str">
        <f>MID('PTI-16'!$A$12,DZ2,1)</f>
        <v/>
      </c>
      <c r="EA4" s="66" t="str">
        <f>MID('PTI-16'!$A$12,EA2,1)</f>
        <v/>
      </c>
      <c r="EB4" s="66" t="str">
        <f>MID('PTI-16'!$A$12,EB2,1)</f>
        <v/>
      </c>
      <c r="EC4" s="66" t="str">
        <f>MID('PTI-16'!$A$12,EC2,1)</f>
        <v/>
      </c>
      <c r="ED4" s="66" t="str">
        <f>MID('PTI-16'!$A$12,ED2,1)</f>
        <v/>
      </c>
      <c r="EE4" s="66" t="str">
        <f>MID('PTI-16'!$A$12,EE2,1)</f>
        <v/>
      </c>
      <c r="EF4" s="66" t="str">
        <f>MID('PTI-16'!$A$12,EF2,1)</f>
        <v/>
      </c>
      <c r="EG4" s="66" t="str">
        <f>MID('PTI-16'!$A$12,EG2,1)</f>
        <v/>
      </c>
      <c r="EH4" s="66" t="str">
        <f>MID('PTI-16'!$A$12,EH2,1)</f>
        <v/>
      </c>
      <c r="EI4" s="66" t="str">
        <f>MID('PTI-16'!$A$12,EI2,1)</f>
        <v/>
      </c>
      <c r="EJ4" s="66" t="str">
        <f>MID('PTI-16'!$A$12,EJ2,1)</f>
        <v/>
      </c>
      <c r="EK4" s="66" t="str">
        <f>MID('PTI-16'!$A$12,EK2,1)</f>
        <v/>
      </c>
      <c r="EL4" s="66" t="str">
        <f>MID('PTI-16'!$A$12,EL2,1)</f>
        <v/>
      </c>
      <c r="EM4" s="66" t="str">
        <f>MID('PTI-16'!$A$12,EM2,1)</f>
        <v/>
      </c>
      <c r="EN4" s="66" t="str">
        <f>MID('PTI-16'!$A$12,EN2,1)</f>
        <v/>
      </c>
      <c r="EO4" s="66" t="str">
        <f>MID('PTI-16'!$A$12,EO2,1)</f>
        <v/>
      </c>
      <c r="EP4" s="66" t="str">
        <f>MID('PTI-16'!$A$12,EP2,1)</f>
        <v/>
      </c>
      <c r="EQ4" s="66" t="str">
        <f>MID('PTI-16'!$A$12,EQ2,1)</f>
        <v/>
      </c>
      <c r="ER4" s="66" t="str">
        <f>MID('PTI-16'!$A$12,ER2,1)</f>
        <v/>
      </c>
      <c r="ES4" s="66" t="str">
        <f>MID('PTI-16'!$A$12,ES2,1)</f>
        <v/>
      </c>
      <c r="ET4" s="66" t="str">
        <f>MID('PTI-16'!$A$12,ET2,1)</f>
        <v/>
      </c>
      <c r="EU4" s="66" t="str">
        <f>MID('PTI-16'!$A$12,EU2,1)</f>
        <v/>
      </c>
      <c r="EV4" s="66" t="str">
        <f>MID('PTI-16'!$A$12,EV2,1)</f>
        <v/>
      </c>
      <c r="EW4" s="66" t="str">
        <f>MID('PTI-16'!$A$12,EW2,1)</f>
        <v/>
      </c>
      <c r="EX4" s="66" t="str">
        <f>MID('PTI-16'!$A$12,EX2,1)</f>
        <v/>
      </c>
      <c r="EY4" s="66" t="str">
        <f>MID('PTI-16'!$A$12,EY2,1)</f>
        <v/>
      </c>
      <c r="EZ4" s="66" t="str">
        <f>MID('PTI-16'!$A$12,EZ2,1)</f>
        <v/>
      </c>
      <c r="FA4" s="66" t="str">
        <f>MID('PTI-16'!$A$12,FA2,1)</f>
        <v/>
      </c>
      <c r="FB4" s="66" t="str">
        <f>MID('PTI-16'!$A$12,FB2,1)</f>
        <v/>
      </c>
      <c r="FC4" s="66" t="str">
        <f>MID('PTI-16'!$A$12,FC2,1)</f>
        <v/>
      </c>
      <c r="FD4" s="66" t="str">
        <f>MID('PTI-16'!$A$12,FD2,1)</f>
        <v/>
      </c>
      <c r="FE4" s="66" t="str">
        <f>MID('PTI-16'!$A$12,FE2,1)</f>
        <v/>
      </c>
      <c r="FF4" s="66" t="str">
        <f>MID('PTI-16'!$A$12,FF2,1)</f>
        <v/>
      </c>
      <c r="FG4" s="66" t="str">
        <f>MID('PTI-16'!$A$12,FG2,1)</f>
        <v/>
      </c>
      <c r="FH4" s="66" t="str">
        <f>MID('PTI-16'!$A$12,FH2,1)</f>
        <v/>
      </c>
      <c r="FI4" s="66" t="str">
        <f>MID('PTI-16'!$A$12,FI2,1)</f>
        <v/>
      </c>
      <c r="FJ4" s="66" t="str">
        <f>MID('PTI-16'!$A$12,FJ2,1)</f>
        <v/>
      </c>
      <c r="FK4" s="66" t="str">
        <f>MID('PTI-16'!$A$12,FK2,1)</f>
        <v/>
      </c>
      <c r="FL4" s="66" t="str">
        <f>MID('PTI-16'!$A$12,FL2,1)</f>
        <v/>
      </c>
      <c r="FM4" s="66" t="str">
        <f>MID('PTI-16'!$A$12,FM2,1)</f>
        <v/>
      </c>
      <c r="FN4" s="66" t="str">
        <f>MID('PTI-16'!$A$12,FN2,1)</f>
        <v/>
      </c>
      <c r="FO4" s="66" t="str">
        <f>MID('PTI-16'!$A$12,FO2,1)</f>
        <v/>
      </c>
      <c r="FP4" s="66" t="str">
        <f>MID('PTI-16'!$A$12,FP2,1)</f>
        <v/>
      </c>
      <c r="FQ4" s="66" t="str">
        <f>MID('PTI-16'!$A$12,FQ2,1)</f>
        <v/>
      </c>
      <c r="FR4" s="66" t="str">
        <f>MID('PTI-16'!$A$12,FR2,1)</f>
        <v/>
      </c>
      <c r="FS4" s="66" t="str">
        <f>MID('PTI-16'!$A$12,FS2,1)</f>
        <v/>
      </c>
      <c r="FT4" s="66" t="str">
        <f>MID('PTI-16'!$A$12,FT2,1)</f>
        <v/>
      </c>
      <c r="FU4" s="66" t="str">
        <f>MID('PTI-16'!$A$12,FU2,1)</f>
        <v/>
      </c>
      <c r="FV4" s="66" t="str">
        <f>MID('PTI-16'!$A$12,FV2,1)</f>
        <v/>
      </c>
      <c r="FW4" s="66" t="str">
        <f>MID('PTI-16'!$A$12,FW2,1)</f>
        <v/>
      </c>
      <c r="FX4" s="66" t="str">
        <f>MID('PTI-16'!$A$12,FX2,1)</f>
        <v/>
      </c>
      <c r="FY4" s="66" t="str">
        <f>MID('PTI-16'!$A$12,FY2,1)</f>
        <v/>
      </c>
      <c r="FZ4" s="66" t="str">
        <f>MID('PTI-16'!$A$12,FZ2,1)</f>
        <v/>
      </c>
      <c r="GA4" s="66" t="str">
        <f>MID('PTI-16'!$A$12,GA2,1)</f>
        <v/>
      </c>
      <c r="GB4" s="66" t="str">
        <f>MID('PTI-16'!$A$12,GB2,1)</f>
        <v/>
      </c>
      <c r="GC4" s="66" t="str">
        <f>MID('PTI-16'!$A$12,GC2,1)</f>
        <v/>
      </c>
      <c r="GD4" s="66" t="str">
        <f>MID('PTI-16'!$A$12,GD2,1)</f>
        <v/>
      </c>
      <c r="GE4" s="66" t="str">
        <f>MID('PTI-16'!$A$12,GE2,1)</f>
        <v/>
      </c>
      <c r="GF4" s="66" t="str">
        <f>MID('PTI-16'!$A$12,GF2,1)</f>
        <v/>
      </c>
    </row>
    <row r="5" spans="1:188" ht="12" customHeight="1">
      <c r="A5" s="66"/>
      <c r="B5" s="66"/>
      <c r="C5" s="66"/>
      <c r="D5" s="66" t="e">
        <f t="shared" ref="D5:GF5" si="0">+VALUE(D4)</f>
        <v>#VALUE!</v>
      </c>
      <c r="E5" s="66" t="e">
        <f t="shared" si="0"/>
        <v>#VALUE!</v>
      </c>
      <c r="F5" s="66" t="e">
        <f t="shared" si="0"/>
        <v>#VALUE!</v>
      </c>
      <c r="G5" s="66" t="e">
        <f t="shared" si="0"/>
        <v>#VALUE!</v>
      </c>
      <c r="H5" s="66" t="e">
        <f t="shared" si="0"/>
        <v>#VALUE!</v>
      </c>
      <c r="I5" s="66" t="e">
        <f t="shared" si="0"/>
        <v>#VALUE!</v>
      </c>
      <c r="J5" s="66" t="e">
        <f t="shared" si="0"/>
        <v>#VALUE!</v>
      </c>
      <c r="K5" s="66" t="e">
        <f t="shared" si="0"/>
        <v>#VALUE!</v>
      </c>
      <c r="L5" s="66" t="e">
        <f t="shared" si="0"/>
        <v>#VALUE!</v>
      </c>
      <c r="M5" s="66" t="e">
        <f t="shared" si="0"/>
        <v>#VALUE!</v>
      </c>
      <c r="N5" s="66" t="e">
        <f t="shared" si="0"/>
        <v>#VALUE!</v>
      </c>
      <c r="O5" s="66" t="e">
        <f t="shared" si="0"/>
        <v>#VALUE!</v>
      </c>
      <c r="P5" s="66" t="e">
        <f t="shared" si="0"/>
        <v>#VALUE!</v>
      </c>
      <c r="Q5" s="66" t="e">
        <f t="shared" si="0"/>
        <v>#VALUE!</v>
      </c>
      <c r="R5" s="66" t="e">
        <f t="shared" si="0"/>
        <v>#VALUE!</v>
      </c>
      <c r="S5" s="66" t="e">
        <f t="shared" si="0"/>
        <v>#VALUE!</v>
      </c>
      <c r="T5" s="66" t="e">
        <f t="shared" si="0"/>
        <v>#VALUE!</v>
      </c>
      <c r="U5" s="66" t="e">
        <f t="shared" si="0"/>
        <v>#VALUE!</v>
      </c>
      <c r="V5" s="66" t="e">
        <f t="shared" si="0"/>
        <v>#VALUE!</v>
      </c>
      <c r="W5" s="66" t="e">
        <f t="shared" si="0"/>
        <v>#VALUE!</v>
      </c>
      <c r="X5" s="66" t="e">
        <f t="shared" si="0"/>
        <v>#VALUE!</v>
      </c>
      <c r="Y5" s="66" t="e">
        <f t="shared" si="0"/>
        <v>#VALUE!</v>
      </c>
      <c r="Z5" s="66" t="e">
        <f t="shared" si="0"/>
        <v>#VALUE!</v>
      </c>
      <c r="AA5" s="66" t="e">
        <f t="shared" si="0"/>
        <v>#VALUE!</v>
      </c>
      <c r="AB5" s="66" t="e">
        <f t="shared" si="0"/>
        <v>#VALUE!</v>
      </c>
      <c r="AC5" s="66" t="e">
        <f t="shared" si="0"/>
        <v>#VALUE!</v>
      </c>
      <c r="AD5" s="66" t="e">
        <f t="shared" si="0"/>
        <v>#VALUE!</v>
      </c>
      <c r="AE5" s="66" t="e">
        <f t="shared" si="0"/>
        <v>#VALUE!</v>
      </c>
      <c r="AF5" s="66" t="e">
        <f t="shared" si="0"/>
        <v>#VALUE!</v>
      </c>
      <c r="AG5" s="66" t="e">
        <f t="shared" si="0"/>
        <v>#VALUE!</v>
      </c>
      <c r="AH5" s="66" t="e">
        <f t="shared" si="0"/>
        <v>#VALUE!</v>
      </c>
      <c r="AI5" s="66" t="e">
        <f t="shared" si="0"/>
        <v>#VALUE!</v>
      </c>
      <c r="AJ5" s="66" t="e">
        <f t="shared" si="0"/>
        <v>#VALUE!</v>
      </c>
      <c r="AK5" s="66" t="e">
        <f t="shared" si="0"/>
        <v>#VALUE!</v>
      </c>
      <c r="AL5" s="66" t="e">
        <f t="shared" si="0"/>
        <v>#VALUE!</v>
      </c>
      <c r="AM5" s="66" t="e">
        <f t="shared" si="0"/>
        <v>#VALUE!</v>
      </c>
      <c r="AN5" s="66" t="e">
        <f t="shared" si="0"/>
        <v>#VALUE!</v>
      </c>
      <c r="AO5" s="66" t="e">
        <f t="shared" si="0"/>
        <v>#VALUE!</v>
      </c>
      <c r="AP5" s="66" t="e">
        <f t="shared" si="0"/>
        <v>#VALUE!</v>
      </c>
      <c r="AQ5" s="66" t="e">
        <f t="shared" si="0"/>
        <v>#VALUE!</v>
      </c>
      <c r="AR5" s="66" t="e">
        <f t="shared" si="0"/>
        <v>#VALUE!</v>
      </c>
      <c r="AS5" s="66" t="e">
        <f t="shared" si="0"/>
        <v>#VALUE!</v>
      </c>
      <c r="AT5" s="66" t="e">
        <f t="shared" si="0"/>
        <v>#VALUE!</v>
      </c>
      <c r="AU5" s="66" t="e">
        <f t="shared" si="0"/>
        <v>#VALUE!</v>
      </c>
      <c r="AV5" s="66" t="e">
        <f t="shared" si="0"/>
        <v>#VALUE!</v>
      </c>
      <c r="AW5" s="66" t="e">
        <f t="shared" si="0"/>
        <v>#VALUE!</v>
      </c>
      <c r="AX5" s="66" t="e">
        <f t="shared" si="0"/>
        <v>#VALUE!</v>
      </c>
      <c r="AY5" s="66" t="e">
        <f t="shared" si="0"/>
        <v>#VALUE!</v>
      </c>
      <c r="AZ5" s="66" t="e">
        <f t="shared" si="0"/>
        <v>#VALUE!</v>
      </c>
      <c r="BA5" s="66" t="e">
        <f t="shared" si="0"/>
        <v>#VALUE!</v>
      </c>
      <c r="BB5" s="66" t="e">
        <f t="shared" si="0"/>
        <v>#VALUE!</v>
      </c>
      <c r="BC5" s="66" t="e">
        <f t="shared" si="0"/>
        <v>#VALUE!</v>
      </c>
      <c r="BD5" s="66" t="e">
        <f t="shared" si="0"/>
        <v>#VALUE!</v>
      </c>
      <c r="BE5" s="66" t="e">
        <f t="shared" si="0"/>
        <v>#VALUE!</v>
      </c>
      <c r="BF5" s="66" t="e">
        <f t="shared" si="0"/>
        <v>#VALUE!</v>
      </c>
      <c r="BG5" s="66" t="e">
        <f t="shared" si="0"/>
        <v>#VALUE!</v>
      </c>
      <c r="BH5" s="66" t="e">
        <f t="shared" si="0"/>
        <v>#VALUE!</v>
      </c>
      <c r="BI5" s="66" t="e">
        <f t="shared" si="0"/>
        <v>#VALUE!</v>
      </c>
      <c r="BJ5" s="66" t="e">
        <f t="shared" si="0"/>
        <v>#VALUE!</v>
      </c>
      <c r="BK5" s="66" t="e">
        <f t="shared" si="0"/>
        <v>#VALUE!</v>
      </c>
      <c r="BL5" s="66" t="e">
        <f t="shared" si="0"/>
        <v>#VALUE!</v>
      </c>
      <c r="BM5" s="66" t="e">
        <f t="shared" si="0"/>
        <v>#VALUE!</v>
      </c>
      <c r="BN5" s="66" t="e">
        <f t="shared" si="0"/>
        <v>#VALUE!</v>
      </c>
      <c r="BO5" s="66" t="e">
        <f t="shared" si="0"/>
        <v>#VALUE!</v>
      </c>
      <c r="BP5" s="66" t="e">
        <f t="shared" si="0"/>
        <v>#VALUE!</v>
      </c>
      <c r="BQ5" s="66" t="e">
        <f t="shared" si="0"/>
        <v>#VALUE!</v>
      </c>
      <c r="BR5" s="66" t="e">
        <f t="shared" si="0"/>
        <v>#VALUE!</v>
      </c>
      <c r="BS5" s="66" t="e">
        <f t="shared" si="0"/>
        <v>#VALUE!</v>
      </c>
      <c r="BT5" s="66" t="e">
        <f t="shared" si="0"/>
        <v>#VALUE!</v>
      </c>
      <c r="BU5" s="66" t="e">
        <f t="shared" si="0"/>
        <v>#VALUE!</v>
      </c>
      <c r="BV5" s="66" t="e">
        <f t="shared" si="0"/>
        <v>#VALUE!</v>
      </c>
      <c r="BW5" s="66" t="e">
        <f t="shared" si="0"/>
        <v>#VALUE!</v>
      </c>
      <c r="BX5" s="66" t="e">
        <f t="shared" si="0"/>
        <v>#VALUE!</v>
      </c>
      <c r="BY5" s="66" t="e">
        <f t="shared" si="0"/>
        <v>#VALUE!</v>
      </c>
      <c r="BZ5" s="66" t="e">
        <f t="shared" si="0"/>
        <v>#VALUE!</v>
      </c>
      <c r="CA5" s="66" t="e">
        <f t="shared" si="0"/>
        <v>#VALUE!</v>
      </c>
      <c r="CB5" s="66" t="e">
        <f t="shared" si="0"/>
        <v>#VALUE!</v>
      </c>
      <c r="CC5" s="66" t="e">
        <f t="shared" si="0"/>
        <v>#VALUE!</v>
      </c>
      <c r="CD5" s="66" t="e">
        <f t="shared" si="0"/>
        <v>#VALUE!</v>
      </c>
      <c r="CE5" s="66" t="e">
        <f t="shared" si="0"/>
        <v>#VALUE!</v>
      </c>
      <c r="CF5" s="66" t="e">
        <f t="shared" si="0"/>
        <v>#VALUE!</v>
      </c>
      <c r="CG5" s="66" t="e">
        <f t="shared" si="0"/>
        <v>#VALUE!</v>
      </c>
      <c r="CH5" s="66" t="e">
        <f t="shared" si="0"/>
        <v>#VALUE!</v>
      </c>
      <c r="CI5" s="66" t="e">
        <f t="shared" si="0"/>
        <v>#VALUE!</v>
      </c>
      <c r="CJ5" s="66" t="e">
        <f t="shared" si="0"/>
        <v>#VALUE!</v>
      </c>
      <c r="CK5" s="66" t="e">
        <f t="shared" si="0"/>
        <v>#VALUE!</v>
      </c>
      <c r="CL5" s="66" t="e">
        <f t="shared" si="0"/>
        <v>#VALUE!</v>
      </c>
      <c r="CM5" s="66" t="e">
        <f t="shared" si="0"/>
        <v>#VALUE!</v>
      </c>
      <c r="CN5" s="66" t="e">
        <f t="shared" si="0"/>
        <v>#VALUE!</v>
      </c>
      <c r="CO5" s="66" t="e">
        <f t="shared" si="0"/>
        <v>#VALUE!</v>
      </c>
      <c r="CP5" s="66" t="e">
        <f t="shared" si="0"/>
        <v>#VALUE!</v>
      </c>
      <c r="CQ5" s="66" t="e">
        <f t="shared" si="0"/>
        <v>#VALUE!</v>
      </c>
      <c r="CR5" s="66" t="e">
        <f t="shared" si="0"/>
        <v>#VALUE!</v>
      </c>
      <c r="CS5" s="66" t="e">
        <f t="shared" si="0"/>
        <v>#VALUE!</v>
      </c>
      <c r="CT5" s="66" t="e">
        <f t="shared" si="0"/>
        <v>#VALUE!</v>
      </c>
      <c r="CU5" s="66" t="e">
        <f t="shared" si="0"/>
        <v>#VALUE!</v>
      </c>
      <c r="CV5" s="66" t="e">
        <f t="shared" si="0"/>
        <v>#VALUE!</v>
      </c>
      <c r="CW5" s="66" t="e">
        <f t="shared" si="0"/>
        <v>#VALUE!</v>
      </c>
      <c r="CX5" s="66" t="e">
        <f t="shared" si="0"/>
        <v>#VALUE!</v>
      </c>
      <c r="CY5" s="66" t="e">
        <f t="shared" si="0"/>
        <v>#VALUE!</v>
      </c>
      <c r="CZ5" s="66" t="e">
        <f t="shared" si="0"/>
        <v>#VALUE!</v>
      </c>
      <c r="DA5" s="66" t="e">
        <f t="shared" si="0"/>
        <v>#VALUE!</v>
      </c>
      <c r="DB5" s="66" t="e">
        <f t="shared" si="0"/>
        <v>#VALUE!</v>
      </c>
      <c r="DC5" s="66" t="e">
        <f t="shared" si="0"/>
        <v>#VALUE!</v>
      </c>
      <c r="DD5" s="66" t="e">
        <f t="shared" si="0"/>
        <v>#VALUE!</v>
      </c>
      <c r="DE5" s="66" t="e">
        <f t="shared" si="0"/>
        <v>#VALUE!</v>
      </c>
      <c r="DF5" s="66" t="e">
        <f t="shared" si="0"/>
        <v>#VALUE!</v>
      </c>
      <c r="DG5" s="66" t="e">
        <f t="shared" si="0"/>
        <v>#VALUE!</v>
      </c>
      <c r="DH5" s="66" t="e">
        <f t="shared" si="0"/>
        <v>#VALUE!</v>
      </c>
      <c r="DI5" s="66" t="e">
        <f t="shared" si="0"/>
        <v>#VALUE!</v>
      </c>
      <c r="DJ5" s="66" t="e">
        <f t="shared" si="0"/>
        <v>#VALUE!</v>
      </c>
      <c r="DK5" s="66" t="e">
        <f t="shared" si="0"/>
        <v>#VALUE!</v>
      </c>
      <c r="DL5" s="66" t="e">
        <f t="shared" si="0"/>
        <v>#VALUE!</v>
      </c>
      <c r="DM5" s="66" t="e">
        <f t="shared" si="0"/>
        <v>#VALUE!</v>
      </c>
      <c r="DN5" s="66" t="e">
        <f t="shared" si="0"/>
        <v>#VALUE!</v>
      </c>
      <c r="DO5" s="66" t="e">
        <f t="shared" si="0"/>
        <v>#VALUE!</v>
      </c>
      <c r="DP5" s="66" t="e">
        <f t="shared" si="0"/>
        <v>#VALUE!</v>
      </c>
      <c r="DQ5" s="66" t="e">
        <f t="shared" si="0"/>
        <v>#VALUE!</v>
      </c>
      <c r="DR5" s="66" t="e">
        <f t="shared" si="0"/>
        <v>#VALUE!</v>
      </c>
      <c r="DS5" s="66" t="e">
        <f t="shared" si="0"/>
        <v>#VALUE!</v>
      </c>
      <c r="DT5" s="66" t="e">
        <f t="shared" si="0"/>
        <v>#VALUE!</v>
      </c>
      <c r="DU5" s="66" t="e">
        <f t="shared" si="0"/>
        <v>#VALUE!</v>
      </c>
      <c r="DV5" s="66" t="e">
        <f t="shared" si="0"/>
        <v>#VALUE!</v>
      </c>
      <c r="DW5" s="66" t="e">
        <f t="shared" si="0"/>
        <v>#VALUE!</v>
      </c>
      <c r="DX5" s="66" t="e">
        <f t="shared" si="0"/>
        <v>#VALUE!</v>
      </c>
      <c r="DY5" s="66" t="e">
        <f t="shared" si="0"/>
        <v>#VALUE!</v>
      </c>
      <c r="DZ5" s="66" t="e">
        <f t="shared" si="0"/>
        <v>#VALUE!</v>
      </c>
      <c r="EA5" s="66" t="e">
        <f t="shared" si="0"/>
        <v>#VALUE!</v>
      </c>
      <c r="EB5" s="66" t="e">
        <f t="shared" si="0"/>
        <v>#VALUE!</v>
      </c>
      <c r="EC5" s="66" t="e">
        <f t="shared" si="0"/>
        <v>#VALUE!</v>
      </c>
      <c r="ED5" s="66" t="e">
        <f t="shared" si="0"/>
        <v>#VALUE!</v>
      </c>
      <c r="EE5" s="66" t="e">
        <f t="shared" si="0"/>
        <v>#VALUE!</v>
      </c>
      <c r="EF5" s="66" t="e">
        <f t="shared" si="0"/>
        <v>#VALUE!</v>
      </c>
      <c r="EG5" s="66" t="e">
        <f t="shared" si="0"/>
        <v>#VALUE!</v>
      </c>
      <c r="EH5" s="66" t="e">
        <f t="shared" si="0"/>
        <v>#VALUE!</v>
      </c>
      <c r="EI5" s="66" t="e">
        <f t="shared" si="0"/>
        <v>#VALUE!</v>
      </c>
      <c r="EJ5" s="66" t="e">
        <f t="shared" si="0"/>
        <v>#VALUE!</v>
      </c>
      <c r="EK5" s="66" t="e">
        <f t="shared" si="0"/>
        <v>#VALUE!</v>
      </c>
      <c r="EL5" s="66" t="e">
        <f t="shared" si="0"/>
        <v>#VALUE!</v>
      </c>
      <c r="EM5" s="66" t="e">
        <f t="shared" si="0"/>
        <v>#VALUE!</v>
      </c>
      <c r="EN5" s="66" t="e">
        <f t="shared" si="0"/>
        <v>#VALUE!</v>
      </c>
      <c r="EO5" s="66" t="e">
        <f t="shared" si="0"/>
        <v>#VALUE!</v>
      </c>
      <c r="EP5" s="66" t="e">
        <f t="shared" si="0"/>
        <v>#VALUE!</v>
      </c>
      <c r="EQ5" s="66" t="e">
        <f t="shared" si="0"/>
        <v>#VALUE!</v>
      </c>
      <c r="ER5" s="66" t="e">
        <f t="shared" si="0"/>
        <v>#VALUE!</v>
      </c>
      <c r="ES5" s="66" t="e">
        <f t="shared" si="0"/>
        <v>#VALUE!</v>
      </c>
      <c r="ET5" s="66" t="e">
        <f t="shared" si="0"/>
        <v>#VALUE!</v>
      </c>
      <c r="EU5" s="66" t="e">
        <f t="shared" si="0"/>
        <v>#VALUE!</v>
      </c>
      <c r="EV5" s="66" t="e">
        <f t="shared" si="0"/>
        <v>#VALUE!</v>
      </c>
      <c r="EW5" s="66" t="e">
        <f t="shared" si="0"/>
        <v>#VALUE!</v>
      </c>
      <c r="EX5" s="66" t="e">
        <f t="shared" si="0"/>
        <v>#VALUE!</v>
      </c>
      <c r="EY5" s="66" t="e">
        <f t="shared" si="0"/>
        <v>#VALUE!</v>
      </c>
      <c r="EZ5" s="66" t="e">
        <f t="shared" si="0"/>
        <v>#VALUE!</v>
      </c>
      <c r="FA5" s="66" t="e">
        <f t="shared" si="0"/>
        <v>#VALUE!</v>
      </c>
      <c r="FB5" s="66" t="e">
        <f t="shared" si="0"/>
        <v>#VALUE!</v>
      </c>
      <c r="FC5" s="66" t="e">
        <f t="shared" si="0"/>
        <v>#VALUE!</v>
      </c>
      <c r="FD5" s="66" t="e">
        <f t="shared" si="0"/>
        <v>#VALUE!</v>
      </c>
      <c r="FE5" s="66" t="e">
        <f t="shared" si="0"/>
        <v>#VALUE!</v>
      </c>
      <c r="FF5" s="66" t="e">
        <f t="shared" si="0"/>
        <v>#VALUE!</v>
      </c>
      <c r="FG5" s="66" t="e">
        <f t="shared" si="0"/>
        <v>#VALUE!</v>
      </c>
      <c r="FH5" s="66" t="e">
        <f t="shared" si="0"/>
        <v>#VALUE!</v>
      </c>
      <c r="FI5" s="66" t="e">
        <f t="shared" si="0"/>
        <v>#VALUE!</v>
      </c>
      <c r="FJ5" s="66" t="e">
        <f t="shared" si="0"/>
        <v>#VALUE!</v>
      </c>
      <c r="FK5" s="66" t="e">
        <f t="shared" si="0"/>
        <v>#VALUE!</v>
      </c>
      <c r="FL5" s="66" t="e">
        <f t="shared" si="0"/>
        <v>#VALUE!</v>
      </c>
      <c r="FM5" s="66" t="e">
        <f t="shared" si="0"/>
        <v>#VALUE!</v>
      </c>
      <c r="FN5" s="66" t="e">
        <f t="shared" si="0"/>
        <v>#VALUE!</v>
      </c>
      <c r="FO5" s="66" t="e">
        <f t="shared" si="0"/>
        <v>#VALUE!</v>
      </c>
      <c r="FP5" s="66" t="e">
        <f t="shared" si="0"/>
        <v>#VALUE!</v>
      </c>
      <c r="FQ5" s="66" t="e">
        <f t="shared" si="0"/>
        <v>#VALUE!</v>
      </c>
      <c r="FR5" s="66" t="e">
        <f t="shared" si="0"/>
        <v>#VALUE!</v>
      </c>
      <c r="FS5" s="66" t="e">
        <f t="shared" si="0"/>
        <v>#VALUE!</v>
      </c>
      <c r="FT5" s="66" t="e">
        <f t="shared" si="0"/>
        <v>#VALUE!</v>
      </c>
      <c r="FU5" s="66" t="e">
        <f t="shared" si="0"/>
        <v>#VALUE!</v>
      </c>
      <c r="FV5" s="66" t="e">
        <f t="shared" si="0"/>
        <v>#VALUE!</v>
      </c>
      <c r="FW5" s="66" t="e">
        <f t="shared" si="0"/>
        <v>#VALUE!</v>
      </c>
      <c r="FX5" s="66" t="e">
        <f t="shared" si="0"/>
        <v>#VALUE!</v>
      </c>
      <c r="FY5" s="66" t="e">
        <f t="shared" si="0"/>
        <v>#VALUE!</v>
      </c>
      <c r="FZ5" s="66" t="e">
        <f t="shared" si="0"/>
        <v>#VALUE!</v>
      </c>
      <c r="GA5" s="66" t="e">
        <f t="shared" si="0"/>
        <v>#VALUE!</v>
      </c>
      <c r="GB5" s="66" t="e">
        <f t="shared" si="0"/>
        <v>#VALUE!</v>
      </c>
      <c r="GC5" s="66" t="e">
        <f t="shared" si="0"/>
        <v>#VALUE!</v>
      </c>
      <c r="GD5" s="66" t="e">
        <f t="shared" si="0"/>
        <v>#VALUE!</v>
      </c>
      <c r="GE5" s="66" t="e">
        <f t="shared" si="0"/>
        <v>#VALUE!</v>
      </c>
      <c r="GF5" s="66" t="e">
        <f t="shared" si="0"/>
        <v>#VALUE!</v>
      </c>
    </row>
    <row r="6" spans="1:188" ht="12" customHeight="1">
      <c r="A6" s="68">
        <v>1</v>
      </c>
      <c r="B6" s="68"/>
      <c r="C6" s="68"/>
      <c r="D6" s="68"/>
      <c r="E6" s="68">
        <v>2</v>
      </c>
      <c r="F6" s="68"/>
      <c r="G6" s="68">
        <v>2</v>
      </c>
      <c r="H6" s="68"/>
      <c r="I6" s="68"/>
      <c r="J6" s="68">
        <v>2</v>
      </c>
      <c r="K6" s="68"/>
      <c r="L6" s="68"/>
      <c r="M6" s="68"/>
      <c r="N6" s="68"/>
      <c r="O6" s="68">
        <v>2</v>
      </c>
      <c r="P6" s="68"/>
      <c r="Q6" s="68">
        <v>2</v>
      </c>
      <c r="R6" s="68"/>
      <c r="S6" s="68"/>
      <c r="T6" s="68"/>
      <c r="U6" s="68">
        <v>2</v>
      </c>
      <c r="V6" s="68"/>
      <c r="W6" s="68"/>
      <c r="X6" s="68"/>
      <c r="Y6" s="68"/>
      <c r="Z6" s="68">
        <v>2</v>
      </c>
      <c r="AA6" s="68">
        <v>2</v>
      </c>
      <c r="AB6" s="68"/>
      <c r="AC6" s="68"/>
      <c r="AD6" s="68">
        <v>2</v>
      </c>
      <c r="AE6" s="68">
        <v>2</v>
      </c>
      <c r="AF6" s="68"/>
      <c r="AG6" s="68">
        <v>2</v>
      </c>
      <c r="AH6" s="68">
        <v>2</v>
      </c>
      <c r="AI6" s="68"/>
      <c r="AJ6" s="68"/>
      <c r="AK6" s="68">
        <v>2</v>
      </c>
      <c r="AL6" s="68"/>
      <c r="AM6" s="68">
        <v>2</v>
      </c>
      <c r="AN6" s="68"/>
      <c r="AO6" s="68"/>
      <c r="AP6" s="68"/>
      <c r="AQ6" s="68"/>
      <c r="AR6" s="68"/>
      <c r="AS6" s="68"/>
      <c r="AT6" s="68">
        <v>2</v>
      </c>
      <c r="AU6" s="68"/>
      <c r="AV6" s="68">
        <v>2</v>
      </c>
      <c r="AW6" s="68">
        <v>2</v>
      </c>
      <c r="AX6" s="68"/>
      <c r="AY6" s="68">
        <v>2</v>
      </c>
      <c r="AZ6" s="68"/>
      <c r="BA6" s="68"/>
      <c r="BB6" s="68">
        <v>2</v>
      </c>
      <c r="BC6" s="68"/>
      <c r="BD6" s="68">
        <v>2</v>
      </c>
      <c r="BE6" s="68">
        <v>2</v>
      </c>
      <c r="BF6" s="68">
        <v>2</v>
      </c>
      <c r="BG6" s="68"/>
      <c r="BH6" s="68"/>
      <c r="BI6" s="68"/>
      <c r="BJ6" s="68">
        <v>2</v>
      </c>
      <c r="BK6" s="68">
        <v>2</v>
      </c>
      <c r="BL6" s="68"/>
      <c r="BM6" s="68"/>
      <c r="BN6" s="68"/>
      <c r="BO6" s="68"/>
      <c r="BP6" s="68"/>
      <c r="BQ6" s="68"/>
      <c r="BR6" s="68">
        <v>2</v>
      </c>
      <c r="BS6" s="68">
        <v>2</v>
      </c>
      <c r="BT6" s="68"/>
      <c r="BU6" s="68">
        <v>2</v>
      </c>
      <c r="BV6" s="68">
        <v>2</v>
      </c>
      <c r="BW6" s="68"/>
      <c r="BX6" s="68">
        <v>2</v>
      </c>
      <c r="BY6" s="68">
        <v>2</v>
      </c>
      <c r="BZ6" s="68">
        <v>2</v>
      </c>
      <c r="CA6" s="68"/>
      <c r="CB6" s="68"/>
      <c r="CC6" s="68">
        <v>2</v>
      </c>
      <c r="CD6" s="68"/>
      <c r="CE6" s="68">
        <v>2</v>
      </c>
      <c r="CF6" s="68">
        <v>2</v>
      </c>
      <c r="CG6" s="68"/>
      <c r="CH6" s="68"/>
      <c r="CI6" s="68"/>
      <c r="CJ6" s="68">
        <v>2</v>
      </c>
      <c r="CK6" s="68">
        <v>2</v>
      </c>
      <c r="CL6" s="68"/>
      <c r="CM6" s="68">
        <v>2</v>
      </c>
      <c r="CN6" s="68">
        <v>2</v>
      </c>
      <c r="CO6" s="68"/>
      <c r="CP6" s="68">
        <v>2</v>
      </c>
      <c r="CQ6" s="68"/>
      <c r="CR6" s="68"/>
      <c r="CS6" s="68"/>
      <c r="CT6" s="68"/>
      <c r="CU6" s="68"/>
      <c r="CV6" s="68"/>
      <c r="CW6" s="68"/>
      <c r="CX6" s="68">
        <v>2</v>
      </c>
      <c r="CY6" s="68">
        <v>2</v>
      </c>
      <c r="CZ6" s="68"/>
      <c r="DA6" s="68">
        <v>2</v>
      </c>
      <c r="DB6" s="68">
        <v>2</v>
      </c>
      <c r="DC6" s="68"/>
      <c r="DD6" s="68"/>
      <c r="DE6" s="68"/>
      <c r="DF6" s="68">
        <v>2</v>
      </c>
      <c r="DG6" s="68"/>
      <c r="DH6" s="68"/>
      <c r="DI6" s="68"/>
      <c r="DJ6" s="68">
        <v>2</v>
      </c>
      <c r="DK6" s="68"/>
      <c r="DL6" s="68">
        <v>2</v>
      </c>
      <c r="DM6" s="68">
        <v>1</v>
      </c>
      <c r="DN6" s="68">
        <v>2</v>
      </c>
      <c r="DO6" s="68">
        <v>2</v>
      </c>
      <c r="DP6" s="68"/>
      <c r="DQ6" s="68"/>
      <c r="DR6" s="68"/>
      <c r="DS6" s="68">
        <v>2</v>
      </c>
      <c r="DT6" s="68">
        <v>2</v>
      </c>
      <c r="DU6" s="68"/>
      <c r="DV6" s="68">
        <v>2</v>
      </c>
      <c r="DW6" s="68">
        <v>2</v>
      </c>
      <c r="DX6" s="68"/>
      <c r="DY6" s="68">
        <v>2</v>
      </c>
      <c r="DZ6" s="68"/>
      <c r="EA6" s="68"/>
      <c r="EB6" s="68">
        <v>2</v>
      </c>
      <c r="EC6" s="68">
        <v>2</v>
      </c>
      <c r="ED6" s="68"/>
      <c r="EE6" s="68">
        <v>2</v>
      </c>
      <c r="EF6" s="68"/>
      <c r="EG6" s="68"/>
      <c r="EH6" s="68">
        <v>2</v>
      </c>
      <c r="EI6" s="68">
        <v>2</v>
      </c>
      <c r="EJ6" s="68"/>
      <c r="EK6" s="68">
        <v>2</v>
      </c>
      <c r="EL6" s="68">
        <v>2</v>
      </c>
      <c r="EM6" s="68">
        <v>2</v>
      </c>
      <c r="EN6" s="68">
        <v>2</v>
      </c>
      <c r="EO6" s="68">
        <v>2</v>
      </c>
      <c r="EP6" s="68">
        <v>2</v>
      </c>
      <c r="EQ6" s="68">
        <v>2</v>
      </c>
      <c r="ER6" s="68">
        <v>2</v>
      </c>
      <c r="ES6" s="68">
        <v>2</v>
      </c>
      <c r="ET6" s="68">
        <v>2</v>
      </c>
      <c r="EU6" s="68"/>
      <c r="EV6" s="68">
        <v>2</v>
      </c>
      <c r="EW6" s="68"/>
      <c r="EX6" s="68"/>
      <c r="EY6" s="68">
        <v>1</v>
      </c>
      <c r="EZ6" s="68"/>
      <c r="FA6" s="68">
        <v>2</v>
      </c>
      <c r="FB6" s="68">
        <v>2</v>
      </c>
      <c r="FC6" s="68">
        <v>2</v>
      </c>
      <c r="FD6" s="68">
        <v>2</v>
      </c>
      <c r="FE6" s="68"/>
      <c r="FF6" s="68"/>
      <c r="FG6" s="68"/>
      <c r="FH6" s="68">
        <v>2</v>
      </c>
      <c r="FI6" s="68"/>
      <c r="FJ6" s="68">
        <v>2</v>
      </c>
      <c r="FK6" s="68"/>
      <c r="FL6" s="68">
        <v>2</v>
      </c>
      <c r="FM6" s="68">
        <v>2</v>
      </c>
      <c r="FN6" s="68">
        <v>2</v>
      </c>
      <c r="FO6" s="68">
        <v>2</v>
      </c>
      <c r="FP6" s="68"/>
      <c r="FQ6" s="68">
        <v>2</v>
      </c>
      <c r="FR6" s="68">
        <v>1</v>
      </c>
      <c r="FS6" s="68">
        <v>2</v>
      </c>
      <c r="FT6" s="68">
        <v>2</v>
      </c>
      <c r="FU6" s="68">
        <v>2</v>
      </c>
      <c r="FV6" s="68">
        <v>2</v>
      </c>
      <c r="FW6" s="68">
        <v>2</v>
      </c>
      <c r="FX6" s="68">
        <v>2</v>
      </c>
      <c r="FY6" s="68">
        <v>2</v>
      </c>
      <c r="FZ6" s="68">
        <v>2</v>
      </c>
      <c r="GA6" s="68"/>
      <c r="GB6" s="68"/>
      <c r="GC6" s="68">
        <v>2</v>
      </c>
      <c r="GD6" s="68"/>
      <c r="GE6" s="68"/>
      <c r="GF6" s="68"/>
    </row>
    <row r="7" spans="1:188" ht="12" customHeight="1">
      <c r="A7" s="68">
        <v>2</v>
      </c>
      <c r="B7" s="68"/>
      <c r="C7" s="68"/>
      <c r="D7" s="68">
        <v>1</v>
      </c>
      <c r="E7" s="68">
        <v>1</v>
      </c>
      <c r="F7" s="68">
        <v>1</v>
      </c>
      <c r="G7" s="68">
        <v>1</v>
      </c>
      <c r="H7" s="68">
        <v>1</v>
      </c>
      <c r="I7" s="68">
        <v>1</v>
      </c>
      <c r="J7" s="68">
        <v>1</v>
      </c>
      <c r="K7" s="68">
        <v>1</v>
      </c>
      <c r="L7" s="68">
        <v>1</v>
      </c>
      <c r="M7" s="68">
        <v>1</v>
      </c>
      <c r="N7" s="68">
        <v>1</v>
      </c>
      <c r="O7" s="68">
        <v>1</v>
      </c>
      <c r="P7" s="68">
        <v>1</v>
      </c>
      <c r="Q7" s="68">
        <v>1</v>
      </c>
      <c r="R7" s="68">
        <v>1</v>
      </c>
      <c r="S7" s="68">
        <v>1</v>
      </c>
      <c r="T7" s="68">
        <v>1</v>
      </c>
      <c r="U7" s="68">
        <v>1</v>
      </c>
      <c r="V7" s="68">
        <v>1</v>
      </c>
      <c r="W7" s="68">
        <v>1</v>
      </c>
      <c r="X7" s="68">
        <v>1</v>
      </c>
      <c r="Y7" s="68">
        <v>1</v>
      </c>
      <c r="Z7" s="68">
        <v>1</v>
      </c>
      <c r="AA7" s="68">
        <v>1</v>
      </c>
      <c r="AB7" s="68">
        <v>1</v>
      </c>
      <c r="AC7" s="68">
        <v>1</v>
      </c>
      <c r="AD7" s="68">
        <v>1</v>
      </c>
      <c r="AE7" s="68">
        <v>1</v>
      </c>
      <c r="AF7" s="68">
        <v>1</v>
      </c>
      <c r="AG7" s="68">
        <v>1</v>
      </c>
      <c r="AH7" s="68">
        <v>1</v>
      </c>
      <c r="AI7" s="68">
        <v>1</v>
      </c>
      <c r="AJ7" s="68">
        <v>1</v>
      </c>
      <c r="AK7" s="68">
        <v>1</v>
      </c>
      <c r="AL7" s="68">
        <v>1</v>
      </c>
      <c r="AM7" s="68">
        <v>1</v>
      </c>
      <c r="AN7" s="68">
        <v>1</v>
      </c>
      <c r="AO7" s="68">
        <v>1</v>
      </c>
      <c r="AP7" s="68"/>
      <c r="AQ7" s="68">
        <v>1</v>
      </c>
      <c r="AR7" s="68">
        <v>1</v>
      </c>
      <c r="AS7" s="68">
        <v>1</v>
      </c>
      <c r="AT7" s="68">
        <v>1</v>
      </c>
      <c r="AU7" s="68">
        <v>1</v>
      </c>
      <c r="AV7" s="68">
        <v>1</v>
      </c>
      <c r="AW7" s="68">
        <v>1</v>
      </c>
      <c r="AX7" s="68">
        <v>1</v>
      </c>
      <c r="AY7" s="68">
        <v>1</v>
      </c>
      <c r="AZ7" s="68">
        <v>1</v>
      </c>
      <c r="BA7" s="68">
        <v>1</v>
      </c>
      <c r="BB7" s="68">
        <v>1</v>
      </c>
      <c r="BC7" s="68">
        <v>1</v>
      </c>
      <c r="BD7" s="68">
        <v>1</v>
      </c>
      <c r="BE7" s="68">
        <v>1</v>
      </c>
      <c r="BF7" s="68">
        <v>1</v>
      </c>
      <c r="BG7" s="68">
        <v>1</v>
      </c>
      <c r="BH7" s="68">
        <v>1</v>
      </c>
      <c r="BI7" s="68"/>
      <c r="BJ7" s="68">
        <v>1</v>
      </c>
      <c r="BK7" s="68">
        <v>1</v>
      </c>
      <c r="BL7" s="68">
        <v>1</v>
      </c>
      <c r="BM7" s="68">
        <v>1</v>
      </c>
      <c r="BN7" s="68">
        <v>1</v>
      </c>
      <c r="BO7" s="68">
        <v>1</v>
      </c>
      <c r="BP7" s="68">
        <v>1</v>
      </c>
      <c r="BQ7" s="68">
        <v>1</v>
      </c>
      <c r="BR7" s="68">
        <v>1</v>
      </c>
      <c r="BS7" s="68">
        <v>1</v>
      </c>
      <c r="BT7" s="68">
        <v>1</v>
      </c>
      <c r="BU7" s="68">
        <v>1</v>
      </c>
      <c r="BV7" s="68">
        <v>1</v>
      </c>
      <c r="BW7" s="68">
        <v>1</v>
      </c>
      <c r="BX7" s="68">
        <v>1</v>
      </c>
      <c r="BY7" s="68">
        <v>1</v>
      </c>
      <c r="BZ7" s="68">
        <v>1</v>
      </c>
      <c r="CA7" s="68">
        <v>1</v>
      </c>
      <c r="CB7" s="68"/>
      <c r="CC7" s="68">
        <v>1</v>
      </c>
      <c r="CD7" s="68">
        <v>1</v>
      </c>
      <c r="CE7" s="68">
        <v>1</v>
      </c>
      <c r="CF7" s="68">
        <v>1</v>
      </c>
      <c r="CG7" s="68">
        <v>1</v>
      </c>
      <c r="CH7" s="68">
        <v>1</v>
      </c>
      <c r="CI7" s="68">
        <v>1</v>
      </c>
      <c r="CJ7" s="68">
        <v>1</v>
      </c>
      <c r="CK7" s="68">
        <v>1</v>
      </c>
      <c r="CL7" s="68">
        <v>1</v>
      </c>
      <c r="CM7" s="68">
        <v>1</v>
      </c>
      <c r="CN7" s="68">
        <v>1</v>
      </c>
      <c r="CO7" s="68">
        <v>1</v>
      </c>
      <c r="CP7" s="68">
        <v>1</v>
      </c>
      <c r="CQ7" s="68">
        <v>1</v>
      </c>
      <c r="CR7" s="68">
        <v>1</v>
      </c>
      <c r="CS7" s="68">
        <v>1</v>
      </c>
      <c r="CT7" s="68">
        <v>1</v>
      </c>
      <c r="CU7" s="68">
        <v>1</v>
      </c>
      <c r="CV7" s="68">
        <v>1</v>
      </c>
      <c r="CW7" s="68">
        <v>1</v>
      </c>
      <c r="CX7" s="68">
        <v>1</v>
      </c>
      <c r="CY7" s="68">
        <v>1</v>
      </c>
      <c r="CZ7" s="68">
        <v>1</v>
      </c>
      <c r="DA7" s="68">
        <v>1</v>
      </c>
      <c r="DB7" s="68">
        <v>1</v>
      </c>
      <c r="DC7" s="68">
        <v>1</v>
      </c>
      <c r="DD7" s="68">
        <v>1</v>
      </c>
      <c r="DE7" s="68">
        <v>1</v>
      </c>
      <c r="DF7" s="68">
        <v>1</v>
      </c>
      <c r="DG7" s="68">
        <v>1</v>
      </c>
      <c r="DH7" s="68">
        <v>1</v>
      </c>
      <c r="DI7" s="68">
        <v>1</v>
      </c>
      <c r="DJ7" s="68">
        <v>1</v>
      </c>
      <c r="DK7" s="68">
        <v>1</v>
      </c>
      <c r="DL7" s="68">
        <v>1</v>
      </c>
      <c r="DM7" s="68"/>
      <c r="DN7" s="68">
        <v>1</v>
      </c>
      <c r="DO7" s="68">
        <v>1</v>
      </c>
      <c r="DP7" s="68">
        <v>1</v>
      </c>
      <c r="DQ7" s="68">
        <v>1</v>
      </c>
      <c r="DR7" s="68">
        <v>1</v>
      </c>
      <c r="DS7" s="68">
        <v>1</v>
      </c>
      <c r="DT7" s="68">
        <v>1</v>
      </c>
      <c r="DU7" s="68">
        <v>1</v>
      </c>
      <c r="DV7" s="68">
        <v>1</v>
      </c>
      <c r="DW7" s="68">
        <v>1</v>
      </c>
      <c r="DX7" s="68">
        <v>1</v>
      </c>
      <c r="DY7" s="68">
        <v>1</v>
      </c>
      <c r="DZ7" s="68">
        <v>1</v>
      </c>
      <c r="EA7" s="68">
        <v>1</v>
      </c>
      <c r="EB7" s="68">
        <v>1</v>
      </c>
      <c r="EC7" s="68">
        <v>1</v>
      </c>
      <c r="ED7" s="68">
        <v>1</v>
      </c>
      <c r="EE7" s="68">
        <v>1</v>
      </c>
      <c r="EF7" s="68"/>
      <c r="EG7" s="68">
        <v>1</v>
      </c>
      <c r="EH7" s="68">
        <v>1</v>
      </c>
      <c r="EI7" s="68">
        <v>1</v>
      </c>
      <c r="EJ7" s="68">
        <v>1</v>
      </c>
      <c r="EK7" s="68">
        <v>1</v>
      </c>
      <c r="EL7" s="68">
        <v>1</v>
      </c>
      <c r="EM7" s="68">
        <v>1</v>
      </c>
      <c r="EN7" s="68">
        <v>1</v>
      </c>
      <c r="EO7" s="68">
        <v>1</v>
      </c>
      <c r="EP7" s="68">
        <v>1</v>
      </c>
      <c r="EQ7" s="68">
        <v>1</v>
      </c>
      <c r="ER7" s="68">
        <v>1</v>
      </c>
      <c r="ES7" s="68">
        <v>1</v>
      </c>
      <c r="ET7" s="68">
        <v>1</v>
      </c>
      <c r="EU7" s="68">
        <v>1</v>
      </c>
      <c r="EV7" s="68">
        <v>1</v>
      </c>
      <c r="EW7" s="68">
        <v>1</v>
      </c>
      <c r="EX7" s="68">
        <v>1</v>
      </c>
      <c r="EY7" s="68"/>
      <c r="EZ7" s="68">
        <v>1</v>
      </c>
      <c r="FA7" s="68">
        <v>1</v>
      </c>
      <c r="FB7" s="68">
        <v>1</v>
      </c>
      <c r="FC7" s="68">
        <v>1</v>
      </c>
      <c r="FD7" s="68">
        <v>1</v>
      </c>
      <c r="FE7" s="68">
        <v>1</v>
      </c>
      <c r="FF7" s="68">
        <v>1</v>
      </c>
      <c r="FG7" s="68">
        <v>1</v>
      </c>
      <c r="FH7" s="68">
        <v>1</v>
      </c>
      <c r="FI7" s="68">
        <v>1</v>
      </c>
      <c r="FJ7" s="68">
        <v>1</v>
      </c>
      <c r="FK7" s="68">
        <v>1</v>
      </c>
      <c r="FL7" s="68">
        <v>1</v>
      </c>
      <c r="FM7" s="68">
        <v>1</v>
      </c>
      <c r="FN7" s="68">
        <v>1</v>
      </c>
      <c r="FO7" s="68">
        <v>1</v>
      </c>
      <c r="FP7" s="68">
        <v>1</v>
      </c>
      <c r="FQ7" s="68">
        <v>1</v>
      </c>
      <c r="FR7" s="68"/>
      <c r="FS7" s="68">
        <v>1</v>
      </c>
      <c r="FT7" s="68">
        <v>1</v>
      </c>
      <c r="FU7" s="68">
        <v>1</v>
      </c>
      <c r="FV7" s="68">
        <v>1</v>
      </c>
      <c r="FW7" s="68">
        <v>1</v>
      </c>
      <c r="FX7" s="68">
        <v>1</v>
      </c>
      <c r="FY7" s="68">
        <v>1</v>
      </c>
      <c r="FZ7" s="68">
        <v>1</v>
      </c>
      <c r="GA7" s="68">
        <v>1</v>
      </c>
      <c r="GB7" s="68">
        <v>1</v>
      </c>
      <c r="GC7" s="68">
        <v>1</v>
      </c>
      <c r="GD7" s="68">
        <v>1</v>
      </c>
      <c r="GE7" s="68">
        <v>1</v>
      </c>
      <c r="GF7" s="68"/>
    </row>
    <row r="8" spans="1:188" ht="12" customHeight="1">
      <c r="A8" s="68">
        <v>3</v>
      </c>
      <c r="B8" s="68"/>
      <c r="C8" s="68"/>
      <c r="D8" s="68"/>
      <c r="E8" s="68"/>
      <c r="F8" s="68">
        <v>2</v>
      </c>
      <c r="G8" s="68"/>
      <c r="H8" s="68">
        <v>2</v>
      </c>
      <c r="I8" s="68">
        <v>2</v>
      </c>
      <c r="J8" s="68"/>
      <c r="K8" s="68">
        <v>2</v>
      </c>
      <c r="L8" s="68">
        <v>2</v>
      </c>
      <c r="M8" s="68">
        <v>2</v>
      </c>
      <c r="N8" s="68">
        <v>2</v>
      </c>
      <c r="O8" s="68"/>
      <c r="P8" s="68">
        <v>2</v>
      </c>
      <c r="Q8" s="68"/>
      <c r="R8" s="68">
        <v>2</v>
      </c>
      <c r="S8" s="68">
        <v>2</v>
      </c>
      <c r="T8" s="68">
        <v>2</v>
      </c>
      <c r="U8" s="68"/>
      <c r="V8" s="68">
        <v>2</v>
      </c>
      <c r="W8" s="68">
        <v>0</v>
      </c>
      <c r="X8" s="68">
        <v>2</v>
      </c>
      <c r="Y8" s="68"/>
      <c r="Z8" s="68"/>
      <c r="AA8" s="68"/>
      <c r="AB8" s="68">
        <v>2</v>
      </c>
      <c r="AC8" s="68">
        <v>2</v>
      </c>
      <c r="AD8" s="68"/>
      <c r="AE8" s="68"/>
      <c r="AF8" s="68">
        <v>2</v>
      </c>
      <c r="AG8" s="68"/>
      <c r="AH8" s="68"/>
      <c r="AI8" s="68">
        <v>2</v>
      </c>
      <c r="AJ8" s="68">
        <v>2</v>
      </c>
      <c r="AK8" s="68"/>
      <c r="AL8" s="68">
        <v>2</v>
      </c>
      <c r="AM8" s="68"/>
      <c r="AN8" s="68">
        <v>2</v>
      </c>
      <c r="AO8" s="68"/>
      <c r="AP8" s="68">
        <v>1</v>
      </c>
      <c r="AQ8" s="68">
        <v>2</v>
      </c>
      <c r="AR8" s="68">
        <v>2</v>
      </c>
      <c r="AS8" s="68">
        <v>2</v>
      </c>
      <c r="AT8" s="68"/>
      <c r="AU8" s="68">
        <v>2</v>
      </c>
      <c r="AV8" s="68"/>
      <c r="AW8" s="68"/>
      <c r="AX8" s="68">
        <v>2</v>
      </c>
      <c r="AY8" s="68"/>
      <c r="AZ8" s="68">
        <v>2</v>
      </c>
      <c r="BA8" s="68">
        <v>2</v>
      </c>
      <c r="BB8" s="68"/>
      <c r="BC8" s="68">
        <v>2</v>
      </c>
      <c r="BD8" s="68"/>
      <c r="BE8" s="68"/>
      <c r="BF8" s="68"/>
      <c r="BG8" s="68">
        <v>2</v>
      </c>
      <c r="BH8" s="68"/>
      <c r="BI8" s="68">
        <v>1</v>
      </c>
      <c r="BJ8" s="68"/>
      <c r="BK8" s="68"/>
      <c r="BL8" s="68">
        <v>2</v>
      </c>
      <c r="BM8" s="68">
        <v>2</v>
      </c>
      <c r="BN8" s="68">
        <v>2</v>
      </c>
      <c r="BO8" s="68">
        <v>2</v>
      </c>
      <c r="BP8" s="68">
        <v>2</v>
      </c>
      <c r="BQ8" s="68">
        <v>2</v>
      </c>
      <c r="BR8" s="68"/>
      <c r="BS8" s="68"/>
      <c r="BT8" s="68">
        <v>2</v>
      </c>
      <c r="BU8" s="68"/>
      <c r="BV8" s="68"/>
      <c r="BW8" s="68">
        <v>2</v>
      </c>
      <c r="BX8" s="68"/>
      <c r="BY8" s="68"/>
      <c r="BZ8" s="68"/>
      <c r="CA8" s="68"/>
      <c r="CB8" s="68">
        <v>1</v>
      </c>
      <c r="CC8" s="68"/>
      <c r="CD8" s="68">
        <v>2</v>
      </c>
      <c r="CE8" s="68"/>
      <c r="CF8" s="68"/>
      <c r="CG8" s="68">
        <v>2</v>
      </c>
      <c r="CH8" s="68">
        <v>2</v>
      </c>
      <c r="CI8" s="68">
        <v>2</v>
      </c>
      <c r="CJ8" s="68"/>
      <c r="CK8" s="68"/>
      <c r="CL8" s="68">
        <v>2</v>
      </c>
      <c r="CM8" s="68"/>
      <c r="CN8" s="68"/>
      <c r="CO8" s="68">
        <v>2</v>
      </c>
      <c r="CP8" s="68"/>
      <c r="CQ8" s="68">
        <v>2</v>
      </c>
      <c r="CR8" s="68">
        <v>2</v>
      </c>
      <c r="CS8" s="68">
        <v>2</v>
      </c>
      <c r="CT8" s="68"/>
      <c r="CU8" s="68">
        <v>2</v>
      </c>
      <c r="CV8" s="68">
        <v>2</v>
      </c>
      <c r="CW8" s="68">
        <v>2</v>
      </c>
      <c r="CX8" s="68"/>
      <c r="CY8" s="68"/>
      <c r="CZ8" s="68">
        <v>2</v>
      </c>
      <c r="DA8" s="68"/>
      <c r="DB8" s="68"/>
      <c r="DC8" s="68">
        <v>2</v>
      </c>
      <c r="DD8" s="68">
        <v>2</v>
      </c>
      <c r="DE8" s="68">
        <v>2</v>
      </c>
      <c r="DF8" s="68"/>
      <c r="DG8" s="68">
        <v>2</v>
      </c>
      <c r="DH8" s="68">
        <v>2</v>
      </c>
      <c r="DI8" s="68">
        <v>2</v>
      </c>
      <c r="DJ8" s="68"/>
      <c r="DK8" s="68">
        <v>2</v>
      </c>
      <c r="DL8" s="68"/>
      <c r="DM8" s="68"/>
      <c r="DN8" s="68"/>
      <c r="DO8" s="68"/>
      <c r="DP8" s="68">
        <v>2</v>
      </c>
      <c r="DQ8" s="68">
        <v>2</v>
      </c>
      <c r="DR8" s="68">
        <v>2</v>
      </c>
      <c r="DS8" s="68"/>
      <c r="DT8" s="68"/>
      <c r="DU8" s="68">
        <v>2</v>
      </c>
      <c r="DV8" s="68"/>
      <c r="DW8" s="68"/>
      <c r="DX8" s="68">
        <v>2</v>
      </c>
      <c r="DY8" s="68"/>
      <c r="DZ8" s="68">
        <v>2</v>
      </c>
      <c r="EA8" s="68">
        <v>2</v>
      </c>
      <c r="EB8" s="68"/>
      <c r="EC8" s="68"/>
      <c r="ED8" s="68">
        <v>2</v>
      </c>
      <c r="EE8" s="68"/>
      <c r="EF8" s="68">
        <v>1</v>
      </c>
      <c r="EG8" s="68">
        <v>2</v>
      </c>
      <c r="EH8" s="68"/>
      <c r="EI8" s="68"/>
      <c r="EJ8" s="68">
        <v>2</v>
      </c>
      <c r="EK8" s="68"/>
      <c r="EL8" s="68"/>
      <c r="EM8" s="68"/>
      <c r="EN8" s="68"/>
      <c r="EO8" s="68"/>
      <c r="EP8" s="68"/>
      <c r="EQ8" s="68"/>
      <c r="ER8" s="68"/>
      <c r="ES8" s="68"/>
      <c r="ET8" s="68"/>
      <c r="EU8" s="68">
        <v>2</v>
      </c>
      <c r="EV8" s="68"/>
      <c r="EW8" s="68">
        <v>2</v>
      </c>
      <c r="EX8" s="68">
        <v>2</v>
      </c>
      <c r="EY8" s="68"/>
      <c r="EZ8" s="68">
        <v>2</v>
      </c>
      <c r="FA8" s="68"/>
      <c r="FB8" s="68"/>
      <c r="FC8" s="68"/>
      <c r="FD8" s="68"/>
      <c r="FE8" s="68">
        <v>2</v>
      </c>
      <c r="FF8" s="68">
        <v>2</v>
      </c>
      <c r="FG8" s="68">
        <v>2</v>
      </c>
      <c r="FH8" s="68"/>
      <c r="FI8" s="68">
        <v>2</v>
      </c>
      <c r="FJ8" s="68"/>
      <c r="FK8" s="68">
        <v>2</v>
      </c>
      <c r="FL8" s="68"/>
      <c r="FM8" s="68"/>
      <c r="FN8" s="68"/>
      <c r="FO8" s="68"/>
      <c r="FP8" s="68">
        <v>2</v>
      </c>
      <c r="FQ8" s="68"/>
      <c r="FR8" s="68"/>
      <c r="FS8" s="68"/>
      <c r="FT8" s="68"/>
      <c r="FU8" s="68"/>
      <c r="FV8" s="68"/>
      <c r="FW8" s="68"/>
      <c r="FX8" s="68"/>
      <c r="FY8" s="68"/>
      <c r="FZ8" s="68"/>
      <c r="GA8" s="68">
        <v>2</v>
      </c>
      <c r="GB8" s="68">
        <v>2</v>
      </c>
      <c r="GC8" s="68"/>
      <c r="GD8" s="68">
        <v>2</v>
      </c>
      <c r="GE8" s="68">
        <v>2</v>
      </c>
      <c r="GF8" s="68"/>
    </row>
    <row r="9" spans="1:188" ht="12" customHeight="1">
      <c r="A9" s="66"/>
      <c r="B9" s="66"/>
      <c r="C9" s="66"/>
      <c r="D9" s="66" t="e">
        <f t="shared" ref="D9:GE9" si="1">+IF(D5=$A$6,D6,0)</f>
        <v>#VALUE!</v>
      </c>
      <c r="E9" s="66" t="e">
        <f t="shared" si="1"/>
        <v>#VALUE!</v>
      </c>
      <c r="F9" s="66" t="e">
        <f t="shared" si="1"/>
        <v>#VALUE!</v>
      </c>
      <c r="G9" s="66" t="e">
        <f t="shared" si="1"/>
        <v>#VALUE!</v>
      </c>
      <c r="H9" s="66" t="e">
        <f t="shared" si="1"/>
        <v>#VALUE!</v>
      </c>
      <c r="I9" s="66" t="e">
        <f t="shared" si="1"/>
        <v>#VALUE!</v>
      </c>
      <c r="J9" s="66" t="e">
        <f t="shared" si="1"/>
        <v>#VALUE!</v>
      </c>
      <c r="K9" s="66" t="e">
        <f t="shared" si="1"/>
        <v>#VALUE!</v>
      </c>
      <c r="L9" s="66" t="e">
        <f t="shared" si="1"/>
        <v>#VALUE!</v>
      </c>
      <c r="M9" s="66" t="e">
        <f t="shared" si="1"/>
        <v>#VALUE!</v>
      </c>
      <c r="N9" s="66" t="e">
        <f t="shared" si="1"/>
        <v>#VALUE!</v>
      </c>
      <c r="O9" s="66" t="e">
        <f t="shared" si="1"/>
        <v>#VALUE!</v>
      </c>
      <c r="P9" s="66" t="e">
        <f t="shared" si="1"/>
        <v>#VALUE!</v>
      </c>
      <c r="Q9" s="66" t="e">
        <f t="shared" si="1"/>
        <v>#VALUE!</v>
      </c>
      <c r="R9" s="66" t="e">
        <f t="shared" si="1"/>
        <v>#VALUE!</v>
      </c>
      <c r="S9" s="66" t="e">
        <f t="shared" si="1"/>
        <v>#VALUE!</v>
      </c>
      <c r="T9" s="66" t="e">
        <f t="shared" si="1"/>
        <v>#VALUE!</v>
      </c>
      <c r="U9" s="66" t="e">
        <f t="shared" si="1"/>
        <v>#VALUE!</v>
      </c>
      <c r="V9" s="66" t="e">
        <f t="shared" si="1"/>
        <v>#VALUE!</v>
      </c>
      <c r="W9" s="66" t="e">
        <f t="shared" si="1"/>
        <v>#VALUE!</v>
      </c>
      <c r="X9" s="66" t="e">
        <f t="shared" si="1"/>
        <v>#VALUE!</v>
      </c>
      <c r="Y9" s="66" t="e">
        <f t="shared" si="1"/>
        <v>#VALUE!</v>
      </c>
      <c r="Z9" s="66" t="e">
        <f t="shared" si="1"/>
        <v>#VALUE!</v>
      </c>
      <c r="AA9" s="66" t="e">
        <f t="shared" si="1"/>
        <v>#VALUE!</v>
      </c>
      <c r="AB9" s="66" t="e">
        <f t="shared" si="1"/>
        <v>#VALUE!</v>
      </c>
      <c r="AC9" s="66" t="e">
        <f t="shared" si="1"/>
        <v>#VALUE!</v>
      </c>
      <c r="AD9" s="66" t="e">
        <f t="shared" si="1"/>
        <v>#VALUE!</v>
      </c>
      <c r="AE9" s="66" t="e">
        <f t="shared" si="1"/>
        <v>#VALUE!</v>
      </c>
      <c r="AF9" s="66" t="e">
        <f t="shared" si="1"/>
        <v>#VALUE!</v>
      </c>
      <c r="AG9" s="66" t="e">
        <f t="shared" si="1"/>
        <v>#VALUE!</v>
      </c>
      <c r="AH9" s="66" t="e">
        <f t="shared" si="1"/>
        <v>#VALUE!</v>
      </c>
      <c r="AI9" s="66" t="e">
        <f t="shared" si="1"/>
        <v>#VALUE!</v>
      </c>
      <c r="AJ9" s="66" t="e">
        <f t="shared" si="1"/>
        <v>#VALUE!</v>
      </c>
      <c r="AK9" s="66" t="e">
        <f t="shared" si="1"/>
        <v>#VALUE!</v>
      </c>
      <c r="AL9" s="66" t="e">
        <f t="shared" si="1"/>
        <v>#VALUE!</v>
      </c>
      <c r="AM9" s="66" t="e">
        <f t="shared" si="1"/>
        <v>#VALUE!</v>
      </c>
      <c r="AN9" s="66" t="e">
        <f t="shared" si="1"/>
        <v>#VALUE!</v>
      </c>
      <c r="AO9" s="66" t="e">
        <f t="shared" si="1"/>
        <v>#VALUE!</v>
      </c>
      <c r="AP9" s="66" t="e">
        <f t="shared" si="1"/>
        <v>#VALUE!</v>
      </c>
      <c r="AQ9" s="66" t="e">
        <f t="shared" si="1"/>
        <v>#VALUE!</v>
      </c>
      <c r="AR9" s="66" t="e">
        <f t="shared" si="1"/>
        <v>#VALUE!</v>
      </c>
      <c r="AS9" s="66" t="e">
        <f t="shared" si="1"/>
        <v>#VALUE!</v>
      </c>
      <c r="AT9" s="66" t="e">
        <f t="shared" si="1"/>
        <v>#VALUE!</v>
      </c>
      <c r="AU9" s="66" t="e">
        <f t="shared" si="1"/>
        <v>#VALUE!</v>
      </c>
      <c r="AV9" s="66" t="e">
        <f t="shared" si="1"/>
        <v>#VALUE!</v>
      </c>
      <c r="AW9" s="66" t="e">
        <f t="shared" si="1"/>
        <v>#VALUE!</v>
      </c>
      <c r="AX9" s="66" t="e">
        <f t="shared" si="1"/>
        <v>#VALUE!</v>
      </c>
      <c r="AY9" s="66" t="e">
        <f t="shared" si="1"/>
        <v>#VALUE!</v>
      </c>
      <c r="AZ9" s="66" t="e">
        <f t="shared" si="1"/>
        <v>#VALUE!</v>
      </c>
      <c r="BA9" s="66" t="e">
        <f t="shared" si="1"/>
        <v>#VALUE!</v>
      </c>
      <c r="BB9" s="66" t="e">
        <f t="shared" si="1"/>
        <v>#VALUE!</v>
      </c>
      <c r="BC9" s="66" t="e">
        <f t="shared" si="1"/>
        <v>#VALUE!</v>
      </c>
      <c r="BD9" s="66" t="e">
        <f t="shared" si="1"/>
        <v>#VALUE!</v>
      </c>
      <c r="BE9" s="66" t="e">
        <f t="shared" si="1"/>
        <v>#VALUE!</v>
      </c>
      <c r="BF9" s="66" t="e">
        <f t="shared" si="1"/>
        <v>#VALUE!</v>
      </c>
      <c r="BG9" s="66" t="e">
        <f t="shared" si="1"/>
        <v>#VALUE!</v>
      </c>
      <c r="BH9" s="66" t="e">
        <f t="shared" si="1"/>
        <v>#VALUE!</v>
      </c>
      <c r="BI9" s="66" t="e">
        <f t="shared" si="1"/>
        <v>#VALUE!</v>
      </c>
      <c r="BJ9" s="66" t="e">
        <f t="shared" si="1"/>
        <v>#VALUE!</v>
      </c>
      <c r="BK9" s="66" t="e">
        <f t="shared" si="1"/>
        <v>#VALUE!</v>
      </c>
      <c r="BL9" s="66" t="e">
        <f t="shared" si="1"/>
        <v>#VALUE!</v>
      </c>
      <c r="BM9" s="66" t="e">
        <f t="shared" si="1"/>
        <v>#VALUE!</v>
      </c>
      <c r="BN9" s="66" t="e">
        <f t="shared" si="1"/>
        <v>#VALUE!</v>
      </c>
      <c r="BO9" s="66" t="e">
        <f t="shared" si="1"/>
        <v>#VALUE!</v>
      </c>
      <c r="BP9" s="66" t="e">
        <f t="shared" si="1"/>
        <v>#VALUE!</v>
      </c>
      <c r="BQ9" s="66" t="e">
        <f t="shared" si="1"/>
        <v>#VALUE!</v>
      </c>
      <c r="BR9" s="66" t="e">
        <f t="shared" si="1"/>
        <v>#VALUE!</v>
      </c>
      <c r="BS9" s="66" t="e">
        <f t="shared" si="1"/>
        <v>#VALUE!</v>
      </c>
      <c r="BT9" s="66" t="e">
        <f t="shared" si="1"/>
        <v>#VALUE!</v>
      </c>
      <c r="BU9" s="66" t="e">
        <f t="shared" si="1"/>
        <v>#VALUE!</v>
      </c>
      <c r="BV9" s="66" t="e">
        <f t="shared" si="1"/>
        <v>#VALUE!</v>
      </c>
      <c r="BW9" s="66" t="e">
        <f t="shared" si="1"/>
        <v>#VALUE!</v>
      </c>
      <c r="BX9" s="66" t="e">
        <f t="shared" si="1"/>
        <v>#VALUE!</v>
      </c>
      <c r="BY9" s="66" t="e">
        <f t="shared" si="1"/>
        <v>#VALUE!</v>
      </c>
      <c r="BZ9" s="66" t="e">
        <f t="shared" si="1"/>
        <v>#VALUE!</v>
      </c>
      <c r="CA9" s="66" t="e">
        <f t="shared" si="1"/>
        <v>#VALUE!</v>
      </c>
      <c r="CB9" s="66" t="e">
        <f t="shared" si="1"/>
        <v>#VALUE!</v>
      </c>
      <c r="CC9" s="66" t="e">
        <f t="shared" si="1"/>
        <v>#VALUE!</v>
      </c>
      <c r="CD9" s="66" t="e">
        <f t="shared" si="1"/>
        <v>#VALUE!</v>
      </c>
      <c r="CE9" s="66" t="e">
        <f t="shared" si="1"/>
        <v>#VALUE!</v>
      </c>
      <c r="CF9" s="66" t="e">
        <f t="shared" si="1"/>
        <v>#VALUE!</v>
      </c>
      <c r="CG9" s="66" t="e">
        <f t="shared" si="1"/>
        <v>#VALUE!</v>
      </c>
      <c r="CH9" s="66" t="e">
        <f t="shared" si="1"/>
        <v>#VALUE!</v>
      </c>
      <c r="CI9" s="66" t="e">
        <f t="shared" si="1"/>
        <v>#VALUE!</v>
      </c>
      <c r="CJ9" s="66" t="e">
        <f t="shared" si="1"/>
        <v>#VALUE!</v>
      </c>
      <c r="CK9" s="66" t="e">
        <f t="shared" si="1"/>
        <v>#VALUE!</v>
      </c>
      <c r="CL9" s="66" t="e">
        <f t="shared" si="1"/>
        <v>#VALUE!</v>
      </c>
      <c r="CM9" s="66" t="e">
        <f t="shared" si="1"/>
        <v>#VALUE!</v>
      </c>
      <c r="CN9" s="66" t="e">
        <f t="shared" si="1"/>
        <v>#VALUE!</v>
      </c>
      <c r="CO9" s="66" t="e">
        <f t="shared" si="1"/>
        <v>#VALUE!</v>
      </c>
      <c r="CP9" s="66" t="e">
        <f t="shared" si="1"/>
        <v>#VALUE!</v>
      </c>
      <c r="CQ9" s="66" t="e">
        <f t="shared" si="1"/>
        <v>#VALUE!</v>
      </c>
      <c r="CR9" s="66" t="e">
        <f t="shared" si="1"/>
        <v>#VALUE!</v>
      </c>
      <c r="CS9" s="66" t="e">
        <f t="shared" si="1"/>
        <v>#VALUE!</v>
      </c>
      <c r="CT9" s="66" t="e">
        <f t="shared" si="1"/>
        <v>#VALUE!</v>
      </c>
      <c r="CU9" s="66" t="e">
        <f t="shared" si="1"/>
        <v>#VALUE!</v>
      </c>
      <c r="CV9" s="66" t="e">
        <f t="shared" si="1"/>
        <v>#VALUE!</v>
      </c>
      <c r="CW9" s="66" t="e">
        <f t="shared" si="1"/>
        <v>#VALUE!</v>
      </c>
      <c r="CX9" s="66" t="e">
        <f t="shared" si="1"/>
        <v>#VALUE!</v>
      </c>
      <c r="CY9" s="66" t="e">
        <f t="shared" si="1"/>
        <v>#VALUE!</v>
      </c>
      <c r="CZ9" s="66" t="e">
        <f t="shared" si="1"/>
        <v>#VALUE!</v>
      </c>
      <c r="DA9" s="66" t="e">
        <f t="shared" si="1"/>
        <v>#VALUE!</v>
      </c>
      <c r="DB9" s="66" t="e">
        <f t="shared" si="1"/>
        <v>#VALUE!</v>
      </c>
      <c r="DC9" s="66" t="e">
        <f t="shared" si="1"/>
        <v>#VALUE!</v>
      </c>
      <c r="DD9" s="66" t="e">
        <f t="shared" si="1"/>
        <v>#VALUE!</v>
      </c>
      <c r="DE9" s="66" t="e">
        <f t="shared" si="1"/>
        <v>#VALUE!</v>
      </c>
      <c r="DF9" s="66" t="e">
        <f t="shared" si="1"/>
        <v>#VALUE!</v>
      </c>
      <c r="DG9" s="66" t="e">
        <f t="shared" si="1"/>
        <v>#VALUE!</v>
      </c>
      <c r="DH9" s="66" t="e">
        <f t="shared" si="1"/>
        <v>#VALUE!</v>
      </c>
      <c r="DI9" s="66" t="e">
        <f t="shared" si="1"/>
        <v>#VALUE!</v>
      </c>
      <c r="DJ9" s="66" t="e">
        <f t="shared" si="1"/>
        <v>#VALUE!</v>
      </c>
      <c r="DK9" s="66" t="e">
        <f t="shared" si="1"/>
        <v>#VALUE!</v>
      </c>
      <c r="DL9" s="66" t="e">
        <f t="shared" si="1"/>
        <v>#VALUE!</v>
      </c>
      <c r="DM9" s="66" t="e">
        <f t="shared" si="1"/>
        <v>#VALUE!</v>
      </c>
      <c r="DN9" s="66" t="e">
        <f t="shared" si="1"/>
        <v>#VALUE!</v>
      </c>
      <c r="DO9" s="66" t="e">
        <f t="shared" si="1"/>
        <v>#VALUE!</v>
      </c>
      <c r="DP9" s="66" t="e">
        <f t="shared" si="1"/>
        <v>#VALUE!</v>
      </c>
      <c r="DQ9" s="66" t="e">
        <f t="shared" si="1"/>
        <v>#VALUE!</v>
      </c>
      <c r="DR9" s="66" t="e">
        <f t="shared" si="1"/>
        <v>#VALUE!</v>
      </c>
      <c r="DS9" s="66" t="e">
        <f t="shared" si="1"/>
        <v>#VALUE!</v>
      </c>
      <c r="DT9" s="66" t="e">
        <f t="shared" si="1"/>
        <v>#VALUE!</v>
      </c>
      <c r="DU9" s="66" t="e">
        <f t="shared" si="1"/>
        <v>#VALUE!</v>
      </c>
      <c r="DV9" s="66" t="e">
        <f t="shared" si="1"/>
        <v>#VALUE!</v>
      </c>
      <c r="DW9" s="66" t="e">
        <f t="shared" si="1"/>
        <v>#VALUE!</v>
      </c>
      <c r="DX9" s="66" t="e">
        <f t="shared" si="1"/>
        <v>#VALUE!</v>
      </c>
      <c r="DY9" s="66" t="e">
        <f t="shared" si="1"/>
        <v>#VALUE!</v>
      </c>
      <c r="DZ9" s="66" t="e">
        <f t="shared" si="1"/>
        <v>#VALUE!</v>
      </c>
      <c r="EA9" s="66" t="e">
        <f t="shared" si="1"/>
        <v>#VALUE!</v>
      </c>
      <c r="EB9" s="66" t="e">
        <f t="shared" si="1"/>
        <v>#VALUE!</v>
      </c>
      <c r="EC9" s="66" t="e">
        <f t="shared" si="1"/>
        <v>#VALUE!</v>
      </c>
      <c r="ED9" s="66" t="e">
        <f t="shared" si="1"/>
        <v>#VALUE!</v>
      </c>
      <c r="EE9" s="66" t="e">
        <f t="shared" si="1"/>
        <v>#VALUE!</v>
      </c>
      <c r="EF9" s="66" t="e">
        <f t="shared" si="1"/>
        <v>#VALUE!</v>
      </c>
      <c r="EG9" s="66" t="e">
        <f t="shared" si="1"/>
        <v>#VALUE!</v>
      </c>
      <c r="EH9" s="66" t="e">
        <f t="shared" si="1"/>
        <v>#VALUE!</v>
      </c>
      <c r="EI9" s="66" t="e">
        <f t="shared" si="1"/>
        <v>#VALUE!</v>
      </c>
      <c r="EJ9" s="66" t="e">
        <f t="shared" si="1"/>
        <v>#VALUE!</v>
      </c>
      <c r="EK9" s="66" t="e">
        <f t="shared" si="1"/>
        <v>#VALUE!</v>
      </c>
      <c r="EL9" s="66" t="e">
        <f t="shared" si="1"/>
        <v>#VALUE!</v>
      </c>
      <c r="EM9" s="66" t="e">
        <f t="shared" si="1"/>
        <v>#VALUE!</v>
      </c>
      <c r="EN9" s="66" t="e">
        <f t="shared" si="1"/>
        <v>#VALUE!</v>
      </c>
      <c r="EO9" s="66" t="e">
        <f t="shared" si="1"/>
        <v>#VALUE!</v>
      </c>
      <c r="EP9" s="66" t="e">
        <f t="shared" si="1"/>
        <v>#VALUE!</v>
      </c>
      <c r="EQ9" s="66" t="e">
        <f t="shared" si="1"/>
        <v>#VALUE!</v>
      </c>
      <c r="ER9" s="66" t="e">
        <f t="shared" si="1"/>
        <v>#VALUE!</v>
      </c>
      <c r="ES9" s="66" t="e">
        <f t="shared" si="1"/>
        <v>#VALUE!</v>
      </c>
      <c r="ET9" s="66" t="e">
        <f t="shared" si="1"/>
        <v>#VALUE!</v>
      </c>
      <c r="EU9" s="66" t="e">
        <f t="shared" si="1"/>
        <v>#VALUE!</v>
      </c>
      <c r="EV9" s="66" t="e">
        <f t="shared" si="1"/>
        <v>#VALUE!</v>
      </c>
      <c r="EW9" s="66" t="e">
        <f t="shared" si="1"/>
        <v>#VALUE!</v>
      </c>
      <c r="EX9" s="66" t="e">
        <f t="shared" si="1"/>
        <v>#VALUE!</v>
      </c>
      <c r="EY9" s="66" t="e">
        <f t="shared" si="1"/>
        <v>#VALUE!</v>
      </c>
      <c r="EZ9" s="66" t="e">
        <f t="shared" si="1"/>
        <v>#VALUE!</v>
      </c>
      <c r="FA9" s="66" t="e">
        <f t="shared" si="1"/>
        <v>#VALUE!</v>
      </c>
      <c r="FB9" s="66" t="e">
        <f t="shared" si="1"/>
        <v>#VALUE!</v>
      </c>
      <c r="FC9" s="66" t="e">
        <f t="shared" si="1"/>
        <v>#VALUE!</v>
      </c>
      <c r="FD9" s="66" t="e">
        <f t="shared" si="1"/>
        <v>#VALUE!</v>
      </c>
      <c r="FE9" s="66" t="e">
        <f t="shared" si="1"/>
        <v>#VALUE!</v>
      </c>
      <c r="FF9" s="66" t="e">
        <f t="shared" si="1"/>
        <v>#VALUE!</v>
      </c>
      <c r="FG9" s="66" t="e">
        <f t="shared" si="1"/>
        <v>#VALUE!</v>
      </c>
      <c r="FH9" s="66" t="e">
        <f t="shared" si="1"/>
        <v>#VALUE!</v>
      </c>
      <c r="FI9" s="66" t="e">
        <f t="shared" si="1"/>
        <v>#VALUE!</v>
      </c>
      <c r="FJ9" s="66" t="e">
        <f t="shared" si="1"/>
        <v>#VALUE!</v>
      </c>
      <c r="FK9" s="66" t="e">
        <f t="shared" si="1"/>
        <v>#VALUE!</v>
      </c>
      <c r="FL9" s="66" t="e">
        <f t="shared" si="1"/>
        <v>#VALUE!</v>
      </c>
      <c r="FM9" s="66" t="e">
        <f t="shared" si="1"/>
        <v>#VALUE!</v>
      </c>
      <c r="FN9" s="66" t="e">
        <f t="shared" si="1"/>
        <v>#VALUE!</v>
      </c>
      <c r="FO9" s="66" t="e">
        <f t="shared" si="1"/>
        <v>#VALUE!</v>
      </c>
      <c r="FP9" s="66" t="e">
        <f t="shared" si="1"/>
        <v>#VALUE!</v>
      </c>
      <c r="FQ9" s="66" t="e">
        <f t="shared" si="1"/>
        <v>#VALUE!</v>
      </c>
      <c r="FR9" s="66" t="e">
        <f t="shared" si="1"/>
        <v>#VALUE!</v>
      </c>
      <c r="FS9" s="66" t="e">
        <f t="shared" si="1"/>
        <v>#VALUE!</v>
      </c>
      <c r="FT9" s="66" t="e">
        <f t="shared" si="1"/>
        <v>#VALUE!</v>
      </c>
      <c r="FU9" s="66" t="e">
        <f t="shared" si="1"/>
        <v>#VALUE!</v>
      </c>
      <c r="FV9" s="66" t="e">
        <f t="shared" si="1"/>
        <v>#VALUE!</v>
      </c>
      <c r="FW9" s="66" t="e">
        <f t="shared" si="1"/>
        <v>#VALUE!</v>
      </c>
      <c r="FX9" s="66" t="e">
        <f t="shared" si="1"/>
        <v>#VALUE!</v>
      </c>
      <c r="FY9" s="66" t="e">
        <f t="shared" si="1"/>
        <v>#VALUE!</v>
      </c>
      <c r="FZ9" s="66" t="e">
        <f t="shared" si="1"/>
        <v>#VALUE!</v>
      </c>
      <c r="GA9" s="66" t="e">
        <f t="shared" si="1"/>
        <v>#VALUE!</v>
      </c>
      <c r="GB9" s="66" t="e">
        <f t="shared" si="1"/>
        <v>#VALUE!</v>
      </c>
      <c r="GC9" s="66" t="e">
        <f t="shared" si="1"/>
        <v>#VALUE!</v>
      </c>
      <c r="GD9" s="66" t="e">
        <f t="shared" si="1"/>
        <v>#VALUE!</v>
      </c>
      <c r="GE9" s="66" t="e">
        <f t="shared" si="1"/>
        <v>#VALUE!</v>
      </c>
      <c r="GF9" s="66"/>
    </row>
    <row r="10" spans="1:188" ht="12" customHeight="1">
      <c r="A10" s="66"/>
      <c r="B10" s="66"/>
      <c r="C10" s="66"/>
      <c r="D10" s="66" t="e">
        <f t="shared" ref="D10:GE10" si="2">+IF(D5=$A$7,D7,0)</f>
        <v>#VALUE!</v>
      </c>
      <c r="E10" s="66" t="e">
        <f t="shared" si="2"/>
        <v>#VALUE!</v>
      </c>
      <c r="F10" s="66" t="e">
        <f t="shared" si="2"/>
        <v>#VALUE!</v>
      </c>
      <c r="G10" s="66" t="e">
        <f t="shared" si="2"/>
        <v>#VALUE!</v>
      </c>
      <c r="H10" s="66" t="e">
        <f t="shared" si="2"/>
        <v>#VALUE!</v>
      </c>
      <c r="I10" s="66" t="e">
        <f t="shared" si="2"/>
        <v>#VALUE!</v>
      </c>
      <c r="J10" s="66" t="e">
        <f t="shared" si="2"/>
        <v>#VALUE!</v>
      </c>
      <c r="K10" s="66" t="e">
        <f t="shared" si="2"/>
        <v>#VALUE!</v>
      </c>
      <c r="L10" s="66" t="e">
        <f t="shared" si="2"/>
        <v>#VALUE!</v>
      </c>
      <c r="M10" s="66" t="e">
        <f t="shared" si="2"/>
        <v>#VALUE!</v>
      </c>
      <c r="N10" s="66" t="e">
        <f t="shared" si="2"/>
        <v>#VALUE!</v>
      </c>
      <c r="O10" s="66" t="e">
        <f t="shared" si="2"/>
        <v>#VALUE!</v>
      </c>
      <c r="P10" s="66" t="e">
        <f t="shared" si="2"/>
        <v>#VALUE!</v>
      </c>
      <c r="Q10" s="66" t="e">
        <f t="shared" si="2"/>
        <v>#VALUE!</v>
      </c>
      <c r="R10" s="66" t="e">
        <f t="shared" si="2"/>
        <v>#VALUE!</v>
      </c>
      <c r="S10" s="66" t="e">
        <f t="shared" si="2"/>
        <v>#VALUE!</v>
      </c>
      <c r="T10" s="66" t="e">
        <f t="shared" si="2"/>
        <v>#VALUE!</v>
      </c>
      <c r="U10" s="66" t="e">
        <f t="shared" si="2"/>
        <v>#VALUE!</v>
      </c>
      <c r="V10" s="66" t="e">
        <f t="shared" si="2"/>
        <v>#VALUE!</v>
      </c>
      <c r="W10" s="66" t="e">
        <f t="shared" si="2"/>
        <v>#VALUE!</v>
      </c>
      <c r="X10" s="66" t="e">
        <f t="shared" si="2"/>
        <v>#VALUE!</v>
      </c>
      <c r="Y10" s="66" t="e">
        <f t="shared" si="2"/>
        <v>#VALUE!</v>
      </c>
      <c r="Z10" s="66" t="e">
        <f t="shared" si="2"/>
        <v>#VALUE!</v>
      </c>
      <c r="AA10" s="66" t="e">
        <f t="shared" si="2"/>
        <v>#VALUE!</v>
      </c>
      <c r="AB10" s="66" t="e">
        <f t="shared" si="2"/>
        <v>#VALUE!</v>
      </c>
      <c r="AC10" s="66" t="e">
        <f t="shared" si="2"/>
        <v>#VALUE!</v>
      </c>
      <c r="AD10" s="66" t="e">
        <f t="shared" si="2"/>
        <v>#VALUE!</v>
      </c>
      <c r="AE10" s="66" t="e">
        <f t="shared" si="2"/>
        <v>#VALUE!</v>
      </c>
      <c r="AF10" s="66" t="e">
        <f t="shared" si="2"/>
        <v>#VALUE!</v>
      </c>
      <c r="AG10" s="66" t="e">
        <f t="shared" si="2"/>
        <v>#VALUE!</v>
      </c>
      <c r="AH10" s="66" t="e">
        <f t="shared" si="2"/>
        <v>#VALUE!</v>
      </c>
      <c r="AI10" s="66" t="e">
        <f t="shared" si="2"/>
        <v>#VALUE!</v>
      </c>
      <c r="AJ10" s="66" t="e">
        <f t="shared" si="2"/>
        <v>#VALUE!</v>
      </c>
      <c r="AK10" s="66" t="e">
        <f t="shared" si="2"/>
        <v>#VALUE!</v>
      </c>
      <c r="AL10" s="66" t="e">
        <f t="shared" si="2"/>
        <v>#VALUE!</v>
      </c>
      <c r="AM10" s="66" t="e">
        <f t="shared" si="2"/>
        <v>#VALUE!</v>
      </c>
      <c r="AN10" s="66" t="e">
        <f t="shared" si="2"/>
        <v>#VALUE!</v>
      </c>
      <c r="AO10" s="66" t="e">
        <f t="shared" si="2"/>
        <v>#VALUE!</v>
      </c>
      <c r="AP10" s="66" t="e">
        <f t="shared" si="2"/>
        <v>#VALUE!</v>
      </c>
      <c r="AQ10" s="66" t="e">
        <f t="shared" si="2"/>
        <v>#VALUE!</v>
      </c>
      <c r="AR10" s="66" t="e">
        <f t="shared" si="2"/>
        <v>#VALUE!</v>
      </c>
      <c r="AS10" s="66" t="e">
        <f t="shared" si="2"/>
        <v>#VALUE!</v>
      </c>
      <c r="AT10" s="66" t="e">
        <f t="shared" si="2"/>
        <v>#VALUE!</v>
      </c>
      <c r="AU10" s="66" t="e">
        <f t="shared" si="2"/>
        <v>#VALUE!</v>
      </c>
      <c r="AV10" s="66" t="e">
        <f t="shared" si="2"/>
        <v>#VALUE!</v>
      </c>
      <c r="AW10" s="66" t="e">
        <f t="shared" si="2"/>
        <v>#VALUE!</v>
      </c>
      <c r="AX10" s="66" t="e">
        <f t="shared" si="2"/>
        <v>#VALUE!</v>
      </c>
      <c r="AY10" s="66" t="e">
        <f t="shared" si="2"/>
        <v>#VALUE!</v>
      </c>
      <c r="AZ10" s="66" t="e">
        <f t="shared" si="2"/>
        <v>#VALUE!</v>
      </c>
      <c r="BA10" s="66" t="e">
        <f t="shared" si="2"/>
        <v>#VALUE!</v>
      </c>
      <c r="BB10" s="66" t="e">
        <f t="shared" si="2"/>
        <v>#VALUE!</v>
      </c>
      <c r="BC10" s="66" t="e">
        <f t="shared" si="2"/>
        <v>#VALUE!</v>
      </c>
      <c r="BD10" s="66" t="e">
        <f t="shared" si="2"/>
        <v>#VALUE!</v>
      </c>
      <c r="BE10" s="66" t="e">
        <f t="shared" si="2"/>
        <v>#VALUE!</v>
      </c>
      <c r="BF10" s="66" t="e">
        <f t="shared" si="2"/>
        <v>#VALUE!</v>
      </c>
      <c r="BG10" s="66" t="e">
        <f t="shared" si="2"/>
        <v>#VALUE!</v>
      </c>
      <c r="BH10" s="66" t="e">
        <f t="shared" si="2"/>
        <v>#VALUE!</v>
      </c>
      <c r="BI10" s="66" t="e">
        <f t="shared" si="2"/>
        <v>#VALUE!</v>
      </c>
      <c r="BJ10" s="66" t="e">
        <f t="shared" si="2"/>
        <v>#VALUE!</v>
      </c>
      <c r="BK10" s="66" t="e">
        <f t="shared" si="2"/>
        <v>#VALUE!</v>
      </c>
      <c r="BL10" s="66" t="e">
        <f t="shared" si="2"/>
        <v>#VALUE!</v>
      </c>
      <c r="BM10" s="66" t="e">
        <f t="shared" si="2"/>
        <v>#VALUE!</v>
      </c>
      <c r="BN10" s="66" t="e">
        <f t="shared" si="2"/>
        <v>#VALUE!</v>
      </c>
      <c r="BO10" s="66" t="e">
        <f t="shared" si="2"/>
        <v>#VALUE!</v>
      </c>
      <c r="BP10" s="66" t="e">
        <f t="shared" si="2"/>
        <v>#VALUE!</v>
      </c>
      <c r="BQ10" s="66" t="e">
        <f t="shared" si="2"/>
        <v>#VALUE!</v>
      </c>
      <c r="BR10" s="66" t="e">
        <f t="shared" si="2"/>
        <v>#VALUE!</v>
      </c>
      <c r="BS10" s="66" t="e">
        <f t="shared" si="2"/>
        <v>#VALUE!</v>
      </c>
      <c r="BT10" s="66" t="e">
        <f t="shared" si="2"/>
        <v>#VALUE!</v>
      </c>
      <c r="BU10" s="66" t="e">
        <f t="shared" si="2"/>
        <v>#VALUE!</v>
      </c>
      <c r="BV10" s="66" t="e">
        <f t="shared" si="2"/>
        <v>#VALUE!</v>
      </c>
      <c r="BW10" s="66" t="e">
        <f t="shared" si="2"/>
        <v>#VALUE!</v>
      </c>
      <c r="BX10" s="66" t="e">
        <f t="shared" si="2"/>
        <v>#VALUE!</v>
      </c>
      <c r="BY10" s="66" t="e">
        <f t="shared" si="2"/>
        <v>#VALUE!</v>
      </c>
      <c r="BZ10" s="66" t="e">
        <f t="shared" si="2"/>
        <v>#VALUE!</v>
      </c>
      <c r="CA10" s="66" t="e">
        <f t="shared" si="2"/>
        <v>#VALUE!</v>
      </c>
      <c r="CB10" s="66" t="e">
        <f t="shared" si="2"/>
        <v>#VALUE!</v>
      </c>
      <c r="CC10" s="66" t="e">
        <f t="shared" si="2"/>
        <v>#VALUE!</v>
      </c>
      <c r="CD10" s="66" t="e">
        <f t="shared" si="2"/>
        <v>#VALUE!</v>
      </c>
      <c r="CE10" s="66" t="e">
        <f t="shared" si="2"/>
        <v>#VALUE!</v>
      </c>
      <c r="CF10" s="66" t="e">
        <f t="shared" si="2"/>
        <v>#VALUE!</v>
      </c>
      <c r="CG10" s="66" t="e">
        <f t="shared" si="2"/>
        <v>#VALUE!</v>
      </c>
      <c r="CH10" s="66" t="e">
        <f t="shared" si="2"/>
        <v>#VALUE!</v>
      </c>
      <c r="CI10" s="66" t="e">
        <f t="shared" si="2"/>
        <v>#VALUE!</v>
      </c>
      <c r="CJ10" s="66" t="e">
        <f t="shared" si="2"/>
        <v>#VALUE!</v>
      </c>
      <c r="CK10" s="66" t="e">
        <f t="shared" si="2"/>
        <v>#VALUE!</v>
      </c>
      <c r="CL10" s="66" t="e">
        <f t="shared" si="2"/>
        <v>#VALUE!</v>
      </c>
      <c r="CM10" s="66" t="e">
        <f t="shared" si="2"/>
        <v>#VALUE!</v>
      </c>
      <c r="CN10" s="66" t="e">
        <f t="shared" si="2"/>
        <v>#VALUE!</v>
      </c>
      <c r="CO10" s="66" t="e">
        <f t="shared" si="2"/>
        <v>#VALUE!</v>
      </c>
      <c r="CP10" s="66" t="e">
        <f t="shared" si="2"/>
        <v>#VALUE!</v>
      </c>
      <c r="CQ10" s="66" t="e">
        <f t="shared" si="2"/>
        <v>#VALUE!</v>
      </c>
      <c r="CR10" s="66" t="e">
        <f t="shared" si="2"/>
        <v>#VALUE!</v>
      </c>
      <c r="CS10" s="66" t="e">
        <f t="shared" si="2"/>
        <v>#VALUE!</v>
      </c>
      <c r="CT10" s="66" t="e">
        <f t="shared" si="2"/>
        <v>#VALUE!</v>
      </c>
      <c r="CU10" s="66" t="e">
        <f t="shared" si="2"/>
        <v>#VALUE!</v>
      </c>
      <c r="CV10" s="66" t="e">
        <f t="shared" si="2"/>
        <v>#VALUE!</v>
      </c>
      <c r="CW10" s="66" t="e">
        <f t="shared" si="2"/>
        <v>#VALUE!</v>
      </c>
      <c r="CX10" s="66" t="e">
        <f t="shared" si="2"/>
        <v>#VALUE!</v>
      </c>
      <c r="CY10" s="66" t="e">
        <f t="shared" si="2"/>
        <v>#VALUE!</v>
      </c>
      <c r="CZ10" s="66" t="e">
        <f t="shared" si="2"/>
        <v>#VALUE!</v>
      </c>
      <c r="DA10" s="66" t="e">
        <f t="shared" si="2"/>
        <v>#VALUE!</v>
      </c>
      <c r="DB10" s="66" t="e">
        <f t="shared" si="2"/>
        <v>#VALUE!</v>
      </c>
      <c r="DC10" s="66" t="e">
        <f t="shared" si="2"/>
        <v>#VALUE!</v>
      </c>
      <c r="DD10" s="66" t="e">
        <f t="shared" si="2"/>
        <v>#VALUE!</v>
      </c>
      <c r="DE10" s="66" t="e">
        <f t="shared" si="2"/>
        <v>#VALUE!</v>
      </c>
      <c r="DF10" s="66" t="e">
        <f t="shared" si="2"/>
        <v>#VALUE!</v>
      </c>
      <c r="DG10" s="66" t="e">
        <f t="shared" si="2"/>
        <v>#VALUE!</v>
      </c>
      <c r="DH10" s="66" t="e">
        <f t="shared" si="2"/>
        <v>#VALUE!</v>
      </c>
      <c r="DI10" s="66" t="e">
        <f t="shared" si="2"/>
        <v>#VALUE!</v>
      </c>
      <c r="DJ10" s="66" t="e">
        <f t="shared" si="2"/>
        <v>#VALUE!</v>
      </c>
      <c r="DK10" s="66" t="e">
        <f t="shared" si="2"/>
        <v>#VALUE!</v>
      </c>
      <c r="DL10" s="66" t="e">
        <f t="shared" si="2"/>
        <v>#VALUE!</v>
      </c>
      <c r="DM10" s="66" t="e">
        <f t="shared" si="2"/>
        <v>#VALUE!</v>
      </c>
      <c r="DN10" s="66" t="e">
        <f t="shared" si="2"/>
        <v>#VALUE!</v>
      </c>
      <c r="DO10" s="66" t="e">
        <f t="shared" si="2"/>
        <v>#VALUE!</v>
      </c>
      <c r="DP10" s="66" t="e">
        <f t="shared" si="2"/>
        <v>#VALUE!</v>
      </c>
      <c r="DQ10" s="66" t="e">
        <f t="shared" si="2"/>
        <v>#VALUE!</v>
      </c>
      <c r="DR10" s="66" t="e">
        <f t="shared" si="2"/>
        <v>#VALUE!</v>
      </c>
      <c r="DS10" s="66" t="e">
        <f t="shared" si="2"/>
        <v>#VALUE!</v>
      </c>
      <c r="DT10" s="66" t="e">
        <f t="shared" si="2"/>
        <v>#VALUE!</v>
      </c>
      <c r="DU10" s="66" t="e">
        <f t="shared" si="2"/>
        <v>#VALUE!</v>
      </c>
      <c r="DV10" s="66" t="e">
        <f t="shared" si="2"/>
        <v>#VALUE!</v>
      </c>
      <c r="DW10" s="66" t="e">
        <f t="shared" si="2"/>
        <v>#VALUE!</v>
      </c>
      <c r="DX10" s="66" t="e">
        <f t="shared" si="2"/>
        <v>#VALUE!</v>
      </c>
      <c r="DY10" s="66" t="e">
        <f t="shared" si="2"/>
        <v>#VALUE!</v>
      </c>
      <c r="DZ10" s="66" t="e">
        <f t="shared" si="2"/>
        <v>#VALUE!</v>
      </c>
      <c r="EA10" s="66" t="e">
        <f t="shared" si="2"/>
        <v>#VALUE!</v>
      </c>
      <c r="EB10" s="66" t="e">
        <f t="shared" si="2"/>
        <v>#VALUE!</v>
      </c>
      <c r="EC10" s="66" t="e">
        <f t="shared" si="2"/>
        <v>#VALUE!</v>
      </c>
      <c r="ED10" s="66" t="e">
        <f t="shared" si="2"/>
        <v>#VALUE!</v>
      </c>
      <c r="EE10" s="66" t="e">
        <f t="shared" si="2"/>
        <v>#VALUE!</v>
      </c>
      <c r="EF10" s="66" t="e">
        <f t="shared" si="2"/>
        <v>#VALUE!</v>
      </c>
      <c r="EG10" s="66" t="e">
        <f t="shared" si="2"/>
        <v>#VALUE!</v>
      </c>
      <c r="EH10" s="66" t="e">
        <f t="shared" si="2"/>
        <v>#VALUE!</v>
      </c>
      <c r="EI10" s="66" t="e">
        <f t="shared" si="2"/>
        <v>#VALUE!</v>
      </c>
      <c r="EJ10" s="66" t="e">
        <f t="shared" si="2"/>
        <v>#VALUE!</v>
      </c>
      <c r="EK10" s="66" t="e">
        <f t="shared" si="2"/>
        <v>#VALUE!</v>
      </c>
      <c r="EL10" s="66" t="e">
        <f t="shared" si="2"/>
        <v>#VALUE!</v>
      </c>
      <c r="EM10" s="66" t="e">
        <f t="shared" si="2"/>
        <v>#VALUE!</v>
      </c>
      <c r="EN10" s="66" t="e">
        <f t="shared" si="2"/>
        <v>#VALUE!</v>
      </c>
      <c r="EO10" s="66" t="e">
        <f t="shared" si="2"/>
        <v>#VALUE!</v>
      </c>
      <c r="EP10" s="66" t="e">
        <f t="shared" si="2"/>
        <v>#VALUE!</v>
      </c>
      <c r="EQ10" s="66" t="e">
        <f t="shared" si="2"/>
        <v>#VALUE!</v>
      </c>
      <c r="ER10" s="66" t="e">
        <f t="shared" si="2"/>
        <v>#VALUE!</v>
      </c>
      <c r="ES10" s="66" t="e">
        <f t="shared" si="2"/>
        <v>#VALUE!</v>
      </c>
      <c r="ET10" s="66" t="e">
        <f t="shared" si="2"/>
        <v>#VALUE!</v>
      </c>
      <c r="EU10" s="66" t="e">
        <f t="shared" si="2"/>
        <v>#VALUE!</v>
      </c>
      <c r="EV10" s="66" t="e">
        <f t="shared" si="2"/>
        <v>#VALUE!</v>
      </c>
      <c r="EW10" s="66" t="e">
        <f t="shared" si="2"/>
        <v>#VALUE!</v>
      </c>
      <c r="EX10" s="66" t="e">
        <f t="shared" si="2"/>
        <v>#VALUE!</v>
      </c>
      <c r="EY10" s="66" t="e">
        <f t="shared" si="2"/>
        <v>#VALUE!</v>
      </c>
      <c r="EZ10" s="66" t="e">
        <f t="shared" si="2"/>
        <v>#VALUE!</v>
      </c>
      <c r="FA10" s="66" t="e">
        <f t="shared" si="2"/>
        <v>#VALUE!</v>
      </c>
      <c r="FB10" s="66" t="e">
        <f t="shared" si="2"/>
        <v>#VALUE!</v>
      </c>
      <c r="FC10" s="66" t="e">
        <f t="shared" si="2"/>
        <v>#VALUE!</v>
      </c>
      <c r="FD10" s="66" t="e">
        <f t="shared" si="2"/>
        <v>#VALUE!</v>
      </c>
      <c r="FE10" s="66" t="e">
        <f t="shared" si="2"/>
        <v>#VALUE!</v>
      </c>
      <c r="FF10" s="66" t="e">
        <f t="shared" si="2"/>
        <v>#VALUE!</v>
      </c>
      <c r="FG10" s="66" t="e">
        <f t="shared" si="2"/>
        <v>#VALUE!</v>
      </c>
      <c r="FH10" s="66" t="e">
        <f t="shared" si="2"/>
        <v>#VALUE!</v>
      </c>
      <c r="FI10" s="66" t="e">
        <f t="shared" si="2"/>
        <v>#VALUE!</v>
      </c>
      <c r="FJ10" s="66" t="e">
        <f t="shared" si="2"/>
        <v>#VALUE!</v>
      </c>
      <c r="FK10" s="66" t="e">
        <f t="shared" si="2"/>
        <v>#VALUE!</v>
      </c>
      <c r="FL10" s="66" t="e">
        <f t="shared" si="2"/>
        <v>#VALUE!</v>
      </c>
      <c r="FM10" s="66" t="e">
        <f t="shared" si="2"/>
        <v>#VALUE!</v>
      </c>
      <c r="FN10" s="66" t="e">
        <f t="shared" si="2"/>
        <v>#VALUE!</v>
      </c>
      <c r="FO10" s="66" t="e">
        <f t="shared" si="2"/>
        <v>#VALUE!</v>
      </c>
      <c r="FP10" s="66" t="e">
        <f t="shared" si="2"/>
        <v>#VALUE!</v>
      </c>
      <c r="FQ10" s="66" t="e">
        <f t="shared" si="2"/>
        <v>#VALUE!</v>
      </c>
      <c r="FR10" s="66" t="e">
        <f t="shared" si="2"/>
        <v>#VALUE!</v>
      </c>
      <c r="FS10" s="66" t="e">
        <f t="shared" si="2"/>
        <v>#VALUE!</v>
      </c>
      <c r="FT10" s="66" t="e">
        <f t="shared" si="2"/>
        <v>#VALUE!</v>
      </c>
      <c r="FU10" s="66" t="e">
        <f t="shared" si="2"/>
        <v>#VALUE!</v>
      </c>
      <c r="FV10" s="66" t="e">
        <f t="shared" si="2"/>
        <v>#VALUE!</v>
      </c>
      <c r="FW10" s="66" t="e">
        <f t="shared" si="2"/>
        <v>#VALUE!</v>
      </c>
      <c r="FX10" s="66" t="e">
        <f t="shared" si="2"/>
        <v>#VALUE!</v>
      </c>
      <c r="FY10" s="66" t="e">
        <f t="shared" si="2"/>
        <v>#VALUE!</v>
      </c>
      <c r="FZ10" s="66" t="e">
        <f t="shared" si="2"/>
        <v>#VALUE!</v>
      </c>
      <c r="GA10" s="66" t="e">
        <f t="shared" si="2"/>
        <v>#VALUE!</v>
      </c>
      <c r="GB10" s="66" t="e">
        <f t="shared" si="2"/>
        <v>#VALUE!</v>
      </c>
      <c r="GC10" s="66" t="e">
        <f t="shared" si="2"/>
        <v>#VALUE!</v>
      </c>
      <c r="GD10" s="66" t="e">
        <f t="shared" si="2"/>
        <v>#VALUE!</v>
      </c>
      <c r="GE10" s="66" t="e">
        <f t="shared" si="2"/>
        <v>#VALUE!</v>
      </c>
      <c r="GF10" s="66"/>
    </row>
    <row r="11" spans="1:188" ht="12" customHeight="1">
      <c r="A11" s="66"/>
      <c r="B11" s="66"/>
      <c r="C11" s="66"/>
      <c r="D11" s="66" t="e">
        <f t="shared" ref="D11:GE11" si="3">+IF(D5=$A$8,D8,0)</f>
        <v>#VALUE!</v>
      </c>
      <c r="E11" s="66" t="e">
        <f t="shared" si="3"/>
        <v>#VALUE!</v>
      </c>
      <c r="F11" s="66" t="e">
        <f t="shared" si="3"/>
        <v>#VALUE!</v>
      </c>
      <c r="G11" s="66" t="e">
        <f t="shared" si="3"/>
        <v>#VALUE!</v>
      </c>
      <c r="H11" s="66" t="e">
        <f t="shared" si="3"/>
        <v>#VALUE!</v>
      </c>
      <c r="I11" s="66" t="e">
        <f t="shared" si="3"/>
        <v>#VALUE!</v>
      </c>
      <c r="J11" s="66" t="e">
        <f t="shared" si="3"/>
        <v>#VALUE!</v>
      </c>
      <c r="K11" s="66" t="e">
        <f t="shared" si="3"/>
        <v>#VALUE!</v>
      </c>
      <c r="L11" s="66" t="e">
        <f t="shared" si="3"/>
        <v>#VALUE!</v>
      </c>
      <c r="M11" s="66" t="e">
        <f t="shared" si="3"/>
        <v>#VALUE!</v>
      </c>
      <c r="N11" s="66" t="e">
        <f t="shared" si="3"/>
        <v>#VALUE!</v>
      </c>
      <c r="O11" s="66" t="e">
        <f t="shared" si="3"/>
        <v>#VALUE!</v>
      </c>
      <c r="P11" s="66" t="e">
        <f t="shared" si="3"/>
        <v>#VALUE!</v>
      </c>
      <c r="Q11" s="66" t="e">
        <f t="shared" si="3"/>
        <v>#VALUE!</v>
      </c>
      <c r="R11" s="66" t="e">
        <f t="shared" si="3"/>
        <v>#VALUE!</v>
      </c>
      <c r="S11" s="66" t="e">
        <f t="shared" si="3"/>
        <v>#VALUE!</v>
      </c>
      <c r="T11" s="66" t="e">
        <f t="shared" si="3"/>
        <v>#VALUE!</v>
      </c>
      <c r="U11" s="66" t="e">
        <f t="shared" si="3"/>
        <v>#VALUE!</v>
      </c>
      <c r="V11" s="66" t="e">
        <f t="shared" si="3"/>
        <v>#VALUE!</v>
      </c>
      <c r="W11" s="66" t="e">
        <f t="shared" si="3"/>
        <v>#VALUE!</v>
      </c>
      <c r="X11" s="66" t="e">
        <f t="shared" si="3"/>
        <v>#VALUE!</v>
      </c>
      <c r="Y11" s="66" t="e">
        <f t="shared" si="3"/>
        <v>#VALUE!</v>
      </c>
      <c r="Z11" s="66" t="e">
        <f t="shared" si="3"/>
        <v>#VALUE!</v>
      </c>
      <c r="AA11" s="66" t="e">
        <f t="shared" si="3"/>
        <v>#VALUE!</v>
      </c>
      <c r="AB11" s="66" t="e">
        <f t="shared" si="3"/>
        <v>#VALUE!</v>
      </c>
      <c r="AC11" s="66" t="e">
        <f t="shared" si="3"/>
        <v>#VALUE!</v>
      </c>
      <c r="AD11" s="66" t="e">
        <f t="shared" si="3"/>
        <v>#VALUE!</v>
      </c>
      <c r="AE11" s="66" t="e">
        <f t="shared" si="3"/>
        <v>#VALUE!</v>
      </c>
      <c r="AF11" s="66" t="e">
        <f t="shared" si="3"/>
        <v>#VALUE!</v>
      </c>
      <c r="AG11" s="66" t="e">
        <f t="shared" si="3"/>
        <v>#VALUE!</v>
      </c>
      <c r="AH11" s="66" t="e">
        <f t="shared" si="3"/>
        <v>#VALUE!</v>
      </c>
      <c r="AI11" s="66" t="e">
        <f t="shared" si="3"/>
        <v>#VALUE!</v>
      </c>
      <c r="AJ11" s="66" t="e">
        <f t="shared" si="3"/>
        <v>#VALUE!</v>
      </c>
      <c r="AK11" s="66" t="e">
        <f t="shared" si="3"/>
        <v>#VALUE!</v>
      </c>
      <c r="AL11" s="66" t="e">
        <f t="shared" si="3"/>
        <v>#VALUE!</v>
      </c>
      <c r="AM11" s="66" t="e">
        <f t="shared" si="3"/>
        <v>#VALUE!</v>
      </c>
      <c r="AN11" s="66" t="e">
        <f t="shared" si="3"/>
        <v>#VALUE!</v>
      </c>
      <c r="AO11" s="66" t="e">
        <f t="shared" si="3"/>
        <v>#VALUE!</v>
      </c>
      <c r="AP11" s="66" t="e">
        <f t="shared" si="3"/>
        <v>#VALUE!</v>
      </c>
      <c r="AQ11" s="66" t="e">
        <f t="shared" si="3"/>
        <v>#VALUE!</v>
      </c>
      <c r="AR11" s="66" t="e">
        <f t="shared" si="3"/>
        <v>#VALUE!</v>
      </c>
      <c r="AS11" s="66" t="e">
        <f t="shared" si="3"/>
        <v>#VALUE!</v>
      </c>
      <c r="AT11" s="66" t="e">
        <f t="shared" si="3"/>
        <v>#VALUE!</v>
      </c>
      <c r="AU11" s="66" t="e">
        <f t="shared" si="3"/>
        <v>#VALUE!</v>
      </c>
      <c r="AV11" s="66" t="e">
        <f t="shared" si="3"/>
        <v>#VALUE!</v>
      </c>
      <c r="AW11" s="66" t="e">
        <f t="shared" si="3"/>
        <v>#VALUE!</v>
      </c>
      <c r="AX11" s="66" t="e">
        <f t="shared" si="3"/>
        <v>#VALUE!</v>
      </c>
      <c r="AY11" s="66" t="e">
        <f t="shared" si="3"/>
        <v>#VALUE!</v>
      </c>
      <c r="AZ11" s="66" t="e">
        <f t="shared" si="3"/>
        <v>#VALUE!</v>
      </c>
      <c r="BA11" s="66" t="e">
        <f t="shared" si="3"/>
        <v>#VALUE!</v>
      </c>
      <c r="BB11" s="66" t="e">
        <f t="shared" si="3"/>
        <v>#VALUE!</v>
      </c>
      <c r="BC11" s="66" t="e">
        <f t="shared" si="3"/>
        <v>#VALUE!</v>
      </c>
      <c r="BD11" s="66" t="e">
        <f t="shared" si="3"/>
        <v>#VALUE!</v>
      </c>
      <c r="BE11" s="66" t="e">
        <f t="shared" si="3"/>
        <v>#VALUE!</v>
      </c>
      <c r="BF11" s="66" t="e">
        <f t="shared" si="3"/>
        <v>#VALUE!</v>
      </c>
      <c r="BG11" s="66" t="e">
        <f t="shared" si="3"/>
        <v>#VALUE!</v>
      </c>
      <c r="BH11" s="66" t="e">
        <f t="shared" si="3"/>
        <v>#VALUE!</v>
      </c>
      <c r="BI11" s="66" t="e">
        <f t="shared" si="3"/>
        <v>#VALUE!</v>
      </c>
      <c r="BJ11" s="66" t="e">
        <f t="shared" si="3"/>
        <v>#VALUE!</v>
      </c>
      <c r="BK11" s="66" t="e">
        <f t="shared" si="3"/>
        <v>#VALUE!</v>
      </c>
      <c r="BL11" s="66" t="e">
        <f t="shared" si="3"/>
        <v>#VALUE!</v>
      </c>
      <c r="BM11" s="66" t="e">
        <f t="shared" si="3"/>
        <v>#VALUE!</v>
      </c>
      <c r="BN11" s="66" t="e">
        <f t="shared" si="3"/>
        <v>#VALUE!</v>
      </c>
      <c r="BO11" s="66" t="e">
        <f t="shared" si="3"/>
        <v>#VALUE!</v>
      </c>
      <c r="BP11" s="66" t="e">
        <f t="shared" si="3"/>
        <v>#VALUE!</v>
      </c>
      <c r="BQ11" s="66" t="e">
        <f t="shared" si="3"/>
        <v>#VALUE!</v>
      </c>
      <c r="BR11" s="66" t="e">
        <f t="shared" si="3"/>
        <v>#VALUE!</v>
      </c>
      <c r="BS11" s="66" t="e">
        <f t="shared" si="3"/>
        <v>#VALUE!</v>
      </c>
      <c r="BT11" s="66" t="e">
        <f t="shared" si="3"/>
        <v>#VALUE!</v>
      </c>
      <c r="BU11" s="66" t="e">
        <f t="shared" si="3"/>
        <v>#VALUE!</v>
      </c>
      <c r="BV11" s="66" t="e">
        <f t="shared" si="3"/>
        <v>#VALUE!</v>
      </c>
      <c r="BW11" s="66" t="e">
        <f t="shared" si="3"/>
        <v>#VALUE!</v>
      </c>
      <c r="BX11" s="66" t="e">
        <f t="shared" si="3"/>
        <v>#VALUE!</v>
      </c>
      <c r="BY11" s="66" t="e">
        <f t="shared" si="3"/>
        <v>#VALUE!</v>
      </c>
      <c r="BZ11" s="66" t="e">
        <f t="shared" si="3"/>
        <v>#VALUE!</v>
      </c>
      <c r="CA11" s="66" t="e">
        <f t="shared" si="3"/>
        <v>#VALUE!</v>
      </c>
      <c r="CB11" s="66" t="e">
        <f t="shared" si="3"/>
        <v>#VALUE!</v>
      </c>
      <c r="CC11" s="66" t="e">
        <f t="shared" si="3"/>
        <v>#VALUE!</v>
      </c>
      <c r="CD11" s="66" t="e">
        <f t="shared" si="3"/>
        <v>#VALUE!</v>
      </c>
      <c r="CE11" s="66" t="e">
        <f t="shared" si="3"/>
        <v>#VALUE!</v>
      </c>
      <c r="CF11" s="66" t="e">
        <f t="shared" si="3"/>
        <v>#VALUE!</v>
      </c>
      <c r="CG11" s="66" t="e">
        <f t="shared" si="3"/>
        <v>#VALUE!</v>
      </c>
      <c r="CH11" s="66" t="e">
        <f t="shared" si="3"/>
        <v>#VALUE!</v>
      </c>
      <c r="CI11" s="66" t="e">
        <f t="shared" si="3"/>
        <v>#VALUE!</v>
      </c>
      <c r="CJ11" s="66" t="e">
        <f t="shared" si="3"/>
        <v>#VALUE!</v>
      </c>
      <c r="CK11" s="66" t="e">
        <f t="shared" si="3"/>
        <v>#VALUE!</v>
      </c>
      <c r="CL11" s="66" t="e">
        <f t="shared" si="3"/>
        <v>#VALUE!</v>
      </c>
      <c r="CM11" s="66" t="e">
        <f t="shared" si="3"/>
        <v>#VALUE!</v>
      </c>
      <c r="CN11" s="66" t="e">
        <f t="shared" si="3"/>
        <v>#VALUE!</v>
      </c>
      <c r="CO11" s="66" t="e">
        <f t="shared" si="3"/>
        <v>#VALUE!</v>
      </c>
      <c r="CP11" s="66" t="e">
        <f t="shared" si="3"/>
        <v>#VALUE!</v>
      </c>
      <c r="CQ11" s="66" t="e">
        <f t="shared" si="3"/>
        <v>#VALUE!</v>
      </c>
      <c r="CR11" s="66" t="e">
        <f t="shared" si="3"/>
        <v>#VALUE!</v>
      </c>
      <c r="CS11" s="66" t="e">
        <f t="shared" si="3"/>
        <v>#VALUE!</v>
      </c>
      <c r="CT11" s="66" t="e">
        <f t="shared" si="3"/>
        <v>#VALUE!</v>
      </c>
      <c r="CU11" s="66" t="e">
        <f t="shared" si="3"/>
        <v>#VALUE!</v>
      </c>
      <c r="CV11" s="66" t="e">
        <f t="shared" si="3"/>
        <v>#VALUE!</v>
      </c>
      <c r="CW11" s="66" t="e">
        <f t="shared" si="3"/>
        <v>#VALUE!</v>
      </c>
      <c r="CX11" s="66" t="e">
        <f t="shared" si="3"/>
        <v>#VALUE!</v>
      </c>
      <c r="CY11" s="66" t="e">
        <f t="shared" si="3"/>
        <v>#VALUE!</v>
      </c>
      <c r="CZ11" s="66" t="e">
        <f t="shared" si="3"/>
        <v>#VALUE!</v>
      </c>
      <c r="DA11" s="66" t="e">
        <f t="shared" si="3"/>
        <v>#VALUE!</v>
      </c>
      <c r="DB11" s="66" t="e">
        <f t="shared" si="3"/>
        <v>#VALUE!</v>
      </c>
      <c r="DC11" s="66" t="e">
        <f t="shared" si="3"/>
        <v>#VALUE!</v>
      </c>
      <c r="DD11" s="66" t="e">
        <f t="shared" si="3"/>
        <v>#VALUE!</v>
      </c>
      <c r="DE11" s="66" t="e">
        <f t="shared" si="3"/>
        <v>#VALUE!</v>
      </c>
      <c r="DF11" s="66" t="e">
        <f t="shared" si="3"/>
        <v>#VALUE!</v>
      </c>
      <c r="DG11" s="66" t="e">
        <f t="shared" si="3"/>
        <v>#VALUE!</v>
      </c>
      <c r="DH11" s="66" t="e">
        <f t="shared" si="3"/>
        <v>#VALUE!</v>
      </c>
      <c r="DI11" s="66" t="e">
        <f t="shared" si="3"/>
        <v>#VALUE!</v>
      </c>
      <c r="DJ11" s="66" t="e">
        <f t="shared" si="3"/>
        <v>#VALUE!</v>
      </c>
      <c r="DK11" s="66" t="e">
        <f t="shared" si="3"/>
        <v>#VALUE!</v>
      </c>
      <c r="DL11" s="66" t="e">
        <f t="shared" si="3"/>
        <v>#VALUE!</v>
      </c>
      <c r="DM11" s="66" t="e">
        <f t="shared" si="3"/>
        <v>#VALUE!</v>
      </c>
      <c r="DN11" s="66" t="e">
        <f t="shared" si="3"/>
        <v>#VALUE!</v>
      </c>
      <c r="DO11" s="66" t="e">
        <f t="shared" si="3"/>
        <v>#VALUE!</v>
      </c>
      <c r="DP11" s="66" t="e">
        <f t="shared" si="3"/>
        <v>#VALUE!</v>
      </c>
      <c r="DQ11" s="66" t="e">
        <f t="shared" si="3"/>
        <v>#VALUE!</v>
      </c>
      <c r="DR11" s="66" t="e">
        <f t="shared" si="3"/>
        <v>#VALUE!</v>
      </c>
      <c r="DS11" s="66" t="e">
        <f t="shared" si="3"/>
        <v>#VALUE!</v>
      </c>
      <c r="DT11" s="66" t="e">
        <f t="shared" si="3"/>
        <v>#VALUE!</v>
      </c>
      <c r="DU11" s="66" t="e">
        <f t="shared" si="3"/>
        <v>#VALUE!</v>
      </c>
      <c r="DV11" s="66" t="e">
        <f t="shared" si="3"/>
        <v>#VALUE!</v>
      </c>
      <c r="DW11" s="66" t="e">
        <f t="shared" si="3"/>
        <v>#VALUE!</v>
      </c>
      <c r="DX11" s="66" t="e">
        <f t="shared" si="3"/>
        <v>#VALUE!</v>
      </c>
      <c r="DY11" s="66" t="e">
        <f t="shared" si="3"/>
        <v>#VALUE!</v>
      </c>
      <c r="DZ11" s="66" t="e">
        <f t="shared" si="3"/>
        <v>#VALUE!</v>
      </c>
      <c r="EA11" s="66" t="e">
        <f t="shared" si="3"/>
        <v>#VALUE!</v>
      </c>
      <c r="EB11" s="66" t="e">
        <f t="shared" si="3"/>
        <v>#VALUE!</v>
      </c>
      <c r="EC11" s="66" t="e">
        <f t="shared" si="3"/>
        <v>#VALUE!</v>
      </c>
      <c r="ED11" s="66" t="e">
        <f t="shared" si="3"/>
        <v>#VALUE!</v>
      </c>
      <c r="EE11" s="66" t="e">
        <f t="shared" si="3"/>
        <v>#VALUE!</v>
      </c>
      <c r="EF11" s="66" t="e">
        <f t="shared" si="3"/>
        <v>#VALUE!</v>
      </c>
      <c r="EG11" s="66" t="e">
        <f t="shared" si="3"/>
        <v>#VALUE!</v>
      </c>
      <c r="EH11" s="66" t="e">
        <f t="shared" si="3"/>
        <v>#VALUE!</v>
      </c>
      <c r="EI11" s="66" t="e">
        <f t="shared" si="3"/>
        <v>#VALUE!</v>
      </c>
      <c r="EJ11" s="66" t="e">
        <f t="shared" si="3"/>
        <v>#VALUE!</v>
      </c>
      <c r="EK11" s="66" t="e">
        <f t="shared" si="3"/>
        <v>#VALUE!</v>
      </c>
      <c r="EL11" s="66" t="e">
        <f t="shared" si="3"/>
        <v>#VALUE!</v>
      </c>
      <c r="EM11" s="66" t="e">
        <f t="shared" si="3"/>
        <v>#VALUE!</v>
      </c>
      <c r="EN11" s="66" t="e">
        <f t="shared" si="3"/>
        <v>#VALUE!</v>
      </c>
      <c r="EO11" s="66" t="e">
        <f t="shared" si="3"/>
        <v>#VALUE!</v>
      </c>
      <c r="EP11" s="66" t="e">
        <f t="shared" si="3"/>
        <v>#VALUE!</v>
      </c>
      <c r="EQ11" s="66" t="e">
        <f t="shared" si="3"/>
        <v>#VALUE!</v>
      </c>
      <c r="ER11" s="66" t="e">
        <f t="shared" si="3"/>
        <v>#VALUE!</v>
      </c>
      <c r="ES11" s="66" t="e">
        <f t="shared" si="3"/>
        <v>#VALUE!</v>
      </c>
      <c r="ET11" s="66" t="e">
        <f t="shared" si="3"/>
        <v>#VALUE!</v>
      </c>
      <c r="EU11" s="66" t="e">
        <f t="shared" si="3"/>
        <v>#VALUE!</v>
      </c>
      <c r="EV11" s="66" t="e">
        <f t="shared" si="3"/>
        <v>#VALUE!</v>
      </c>
      <c r="EW11" s="66" t="e">
        <f t="shared" si="3"/>
        <v>#VALUE!</v>
      </c>
      <c r="EX11" s="66" t="e">
        <f t="shared" si="3"/>
        <v>#VALUE!</v>
      </c>
      <c r="EY11" s="66" t="e">
        <f t="shared" si="3"/>
        <v>#VALUE!</v>
      </c>
      <c r="EZ11" s="66" t="e">
        <f t="shared" si="3"/>
        <v>#VALUE!</v>
      </c>
      <c r="FA11" s="66" t="e">
        <f t="shared" si="3"/>
        <v>#VALUE!</v>
      </c>
      <c r="FB11" s="66" t="e">
        <f t="shared" si="3"/>
        <v>#VALUE!</v>
      </c>
      <c r="FC11" s="66" t="e">
        <f t="shared" si="3"/>
        <v>#VALUE!</v>
      </c>
      <c r="FD11" s="66" t="e">
        <f t="shared" si="3"/>
        <v>#VALUE!</v>
      </c>
      <c r="FE11" s="66" t="e">
        <f t="shared" si="3"/>
        <v>#VALUE!</v>
      </c>
      <c r="FF11" s="66" t="e">
        <f t="shared" si="3"/>
        <v>#VALUE!</v>
      </c>
      <c r="FG11" s="66" t="e">
        <f t="shared" si="3"/>
        <v>#VALUE!</v>
      </c>
      <c r="FH11" s="66" t="e">
        <f t="shared" si="3"/>
        <v>#VALUE!</v>
      </c>
      <c r="FI11" s="66" t="e">
        <f t="shared" si="3"/>
        <v>#VALUE!</v>
      </c>
      <c r="FJ11" s="66" t="e">
        <f t="shared" si="3"/>
        <v>#VALUE!</v>
      </c>
      <c r="FK11" s="66" t="e">
        <f t="shared" si="3"/>
        <v>#VALUE!</v>
      </c>
      <c r="FL11" s="66" t="e">
        <f t="shared" si="3"/>
        <v>#VALUE!</v>
      </c>
      <c r="FM11" s="66" t="e">
        <f t="shared" si="3"/>
        <v>#VALUE!</v>
      </c>
      <c r="FN11" s="66" t="e">
        <f t="shared" si="3"/>
        <v>#VALUE!</v>
      </c>
      <c r="FO11" s="66" t="e">
        <f t="shared" si="3"/>
        <v>#VALUE!</v>
      </c>
      <c r="FP11" s="66" t="e">
        <f t="shared" si="3"/>
        <v>#VALUE!</v>
      </c>
      <c r="FQ11" s="66" t="e">
        <f t="shared" si="3"/>
        <v>#VALUE!</v>
      </c>
      <c r="FR11" s="66" t="e">
        <f t="shared" si="3"/>
        <v>#VALUE!</v>
      </c>
      <c r="FS11" s="66" t="e">
        <f t="shared" si="3"/>
        <v>#VALUE!</v>
      </c>
      <c r="FT11" s="66" t="e">
        <f t="shared" si="3"/>
        <v>#VALUE!</v>
      </c>
      <c r="FU11" s="66" t="e">
        <f t="shared" si="3"/>
        <v>#VALUE!</v>
      </c>
      <c r="FV11" s="66" t="e">
        <f t="shared" si="3"/>
        <v>#VALUE!</v>
      </c>
      <c r="FW11" s="66" t="e">
        <f t="shared" si="3"/>
        <v>#VALUE!</v>
      </c>
      <c r="FX11" s="66" t="e">
        <f t="shared" si="3"/>
        <v>#VALUE!</v>
      </c>
      <c r="FY11" s="66" t="e">
        <f t="shared" si="3"/>
        <v>#VALUE!</v>
      </c>
      <c r="FZ11" s="66" t="e">
        <f t="shared" si="3"/>
        <v>#VALUE!</v>
      </c>
      <c r="GA11" s="66" t="e">
        <f t="shared" si="3"/>
        <v>#VALUE!</v>
      </c>
      <c r="GB11" s="66" t="e">
        <f t="shared" si="3"/>
        <v>#VALUE!</v>
      </c>
      <c r="GC11" s="66" t="e">
        <f t="shared" si="3"/>
        <v>#VALUE!</v>
      </c>
      <c r="GD11" s="66" t="e">
        <f t="shared" si="3"/>
        <v>#VALUE!</v>
      </c>
      <c r="GE11" s="66" t="e">
        <f t="shared" si="3"/>
        <v>#VALUE!</v>
      </c>
      <c r="GF11" s="66"/>
    </row>
    <row r="12" spans="1:188" ht="12" customHeight="1">
      <c r="A12" s="69" t="s">
        <v>124</v>
      </c>
      <c r="B12" s="69"/>
      <c r="C12" s="69"/>
      <c r="D12" s="69" t="e">
        <f t="shared" ref="D12:GE12" si="4">+SUM(D9:D11)</f>
        <v>#VALUE!</v>
      </c>
      <c r="E12" s="69" t="e">
        <f t="shared" si="4"/>
        <v>#VALUE!</v>
      </c>
      <c r="F12" s="69" t="e">
        <f t="shared" si="4"/>
        <v>#VALUE!</v>
      </c>
      <c r="G12" s="69" t="e">
        <f t="shared" si="4"/>
        <v>#VALUE!</v>
      </c>
      <c r="H12" s="69" t="e">
        <f t="shared" si="4"/>
        <v>#VALUE!</v>
      </c>
      <c r="I12" s="69" t="e">
        <f t="shared" si="4"/>
        <v>#VALUE!</v>
      </c>
      <c r="J12" s="69" t="e">
        <f t="shared" si="4"/>
        <v>#VALUE!</v>
      </c>
      <c r="K12" s="69" t="e">
        <f t="shared" si="4"/>
        <v>#VALUE!</v>
      </c>
      <c r="L12" s="69" t="e">
        <f t="shared" si="4"/>
        <v>#VALUE!</v>
      </c>
      <c r="M12" s="69" t="e">
        <f t="shared" si="4"/>
        <v>#VALUE!</v>
      </c>
      <c r="N12" s="69" t="e">
        <f t="shared" si="4"/>
        <v>#VALUE!</v>
      </c>
      <c r="O12" s="69" t="e">
        <f t="shared" si="4"/>
        <v>#VALUE!</v>
      </c>
      <c r="P12" s="69" t="e">
        <f t="shared" si="4"/>
        <v>#VALUE!</v>
      </c>
      <c r="Q12" s="69" t="e">
        <f t="shared" si="4"/>
        <v>#VALUE!</v>
      </c>
      <c r="R12" s="69" t="e">
        <f t="shared" si="4"/>
        <v>#VALUE!</v>
      </c>
      <c r="S12" s="69" t="e">
        <f t="shared" si="4"/>
        <v>#VALUE!</v>
      </c>
      <c r="T12" s="69" t="e">
        <f t="shared" si="4"/>
        <v>#VALUE!</v>
      </c>
      <c r="U12" s="69" t="e">
        <f t="shared" si="4"/>
        <v>#VALUE!</v>
      </c>
      <c r="V12" s="69" t="e">
        <f t="shared" si="4"/>
        <v>#VALUE!</v>
      </c>
      <c r="W12" s="69" t="e">
        <f t="shared" si="4"/>
        <v>#VALUE!</v>
      </c>
      <c r="X12" s="69" t="e">
        <f t="shared" si="4"/>
        <v>#VALUE!</v>
      </c>
      <c r="Y12" s="69" t="e">
        <f t="shared" si="4"/>
        <v>#VALUE!</v>
      </c>
      <c r="Z12" s="69" t="e">
        <f t="shared" si="4"/>
        <v>#VALUE!</v>
      </c>
      <c r="AA12" s="69" t="e">
        <f t="shared" si="4"/>
        <v>#VALUE!</v>
      </c>
      <c r="AB12" s="69" t="e">
        <f t="shared" si="4"/>
        <v>#VALUE!</v>
      </c>
      <c r="AC12" s="69" t="e">
        <f t="shared" si="4"/>
        <v>#VALUE!</v>
      </c>
      <c r="AD12" s="69" t="e">
        <f t="shared" si="4"/>
        <v>#VALUE!</v>
      </c>
      <c r="AE12" s="69" t="e">
        <f t="shared" si="4"/>
        <v>#VALUE!</v>
      </c>
      <c r="AF12" s="69" t="e">
        <f t="shared" si="4"/>
        <v>#VALUE!</v>
      </c>
      <c r="AG12" s="69" t="e">
        <f t="shared" si="4"/>
        <v>#VALUE!</v>
      </c>
      <c r="AH12" s="69" t="e">
        <f t="shared" si="4"/>
        <v>#VALUE!</v>
      </c>
      <c r="AI12" s="69" t="e">
        <f t="shared" si="4"/>
        <v>#VALUE!</v>
      </c>
      <c r="AJ12" s="69" t="e">
        <f t="shared" si="4"/>
        <v>#VALUE!</v>
      </c>
      <c r="AK12" s="69" t="e">
        <f t="shared" si="4"/>
        <v>#VALUE!</v>
      </c>
      <c r="AL12" s="69" t="e">
        <f t="shared" si="4"/>
        <v>#VALUE!</v>
      </c>
      <c r="AM12" s="69" t="e">
        <f t="shared" si="4"/>
        <v>#VALUE!</v>
      </c>
      <c r="AN12" s="69" t="e">
        <f t="shared" si="4"/>
        <v>#VALUE!</v>
      </c>
      <c r="AO12" s="69" t="e">
        <f t="shared" si="4"/>
        <v>#VALUE!</v>
      </c>
      <c r="AP12" s="69" t="e">
        <f t="shared" si="4"/>
        <v>#VALUE!</v>
      </c>
      <c r="AQ12" s="69" t="e">
        <f t="shared" si="4"/>
        <v>#VALUE!</v>
      </c>
      <c r="AR12" s="69" t="e">
        <f t="shared" si="4"/>
        <v>#VALUE!</v>
      </c>
      <c r="AS12" s="69" t="e">
        <f t="shared" si="4"/>
        <v>#VALUE!</v>
      </c>
      <c r="AT12" s="69" t="e">
        <f t="shared" si="4"/>
        <v>#VALUE!</v>
      </c>
      <c r="AU12" s="69" t="e">
        <f t="shared" si="4"/>
        <v>#VALUE!</v>
      </c>
      <c r="AV12" s="69" t="e">
        <f t="shared" si="4"/>
        <v>#VALUE!</v>
      </c>
      <c r="AW12" s="69" t="e">
        <f t="shared" si="4"/>
        <v>#VALUE!</v>
      </c>
      <c r="AX12" s="69" t="e">
        <f t="shared" si="4"/>
        <v>#VALUE!</v>
      </c>
      <c r="AY12" s="69" t="e">
        <f t="shared" si="4"/>
        <v>#VALUE!</v>
      </c>
      <c r="AZ12" s="69" t="e">
        <f t="shared" si="4"/>
        <v>#VALUE!</v>
      </c>
      <c r="BA12" s="69" t="e">
        <f t="shared" si="4"/>
        <v>#VALUE!</v>
      </c>
      <c r="BB12" s="69" t="e">
        <f t="shared" si="4"/>
        <v>#VALUE!</v>
      </c>
      <c r="BC12" s="69" t="e">
        <f t="shared" si="4"/>
        <v>#VALUE!</v>
      </c>
      <c r="BD12" s="69" t="e">
        <f t="shared" si="4"/>
        <v>#VALUE!</v>
      </c>
      <c r="BE12" s="69" t="e">
        <f t="shared" si="4"/>
        <v>#VALUE!</v>
      </c>
      <c r="BF12" s="69" t="e">
        <f t="shared" si="4"/>
        <v>#VALUE!</v>
      </c>
      <c r="BG12" s="69" t="e">
        <f t="shared" si="4"/>
        <v>#VALUE!</v>
      </c>
      <c r="BH12" s="69" t="e">
        <f t="shared" si="4"/>
        <v>#VALUE!</v>
      </c>
      <c r="BI12" s="69" t="e">
        <f t="shared" si="4"/>
        <v>#VALUE!</v>
      </c>
      <c r="BJ12" s="69" t="e">
        <f t="shared" si="4"/>
        <v>#VALUE!</v>
      </c>
      <c r="BK12" s="69" t="e">
        <f t="shared" si="4"/>
        <v>#VALUE!</v>
      </c>
      <c r="BL12" s="69" t="e">
        <f t="shared" si="4"/>
        <v>#VALUE!</v>
      </c>
      <c r="BM12" s="69" t="e">
        <f t="shared" si="4"/>
        <v>#VALUE!</v>
      </c>
      <c r="BN12" s="69" t="e">
        <f t="shared" si="4"/>
        <v>#VALUE!</v>
      </c>
      <c r="BO12" s="69" t="e">
        <f t="shared" si="4"/>
        <v>#VALUE!</v>
      </c>
      <c r="BP12" s="69" t="e">
        <f t="shared" si="4"/>
        <v>#VALUE!</v>
      </c>
      <c r="BQ12" s="69" t="e">
        <f t="shared" si="4"/>
        <v>#VALUE!</v>
      </c>
      <c r="BR12" s="69" t="e">
        <f t="shared" si="4"/>
        <v>#VALUE!</v>
      </c>
      <c r="BS12" s="69" t="e">
        <f t="shared" si="4"/>
        <v>#VALUE!</v>
      </c>
      <c r="BT12" s="69" t="e">
        <f t="shared" si="4"/>
        <v>#VALUE!</v>
      </c>
      <c r="BU12" s="69" t="e">
        <f t="shared" si="4"/>
        <v>#VALUE!</v>
      </c>
      <c r="BV12" s="69" t="e">
        <f t="shared" si="4"/>
        <v>#VALUE!</v>
      </c>
      <c r="BW12" s="69" t="e">
        <f t="shared" si="4"/>
        <v>#VALUE!</v>
      </c>
      <c r="BX12" s="69" t="e">
        <f t="shared" si="4"/>
        <v>#VALUE!</v>
      </c>
      <c r="BY12" s="69" t="e">
        <f t="shared" si="4"/>
        <v>#VALUE!</v>
      </c>
      <c r="BZ12" s="69" t="e">
        <f t="shared" si="4"/>
        <v>#VALUE!</v>
      </c>
      <c r="CA12" s="69" t="e">
        <f t="shared" si="4"/>
        <v>#VALUE!</v>
      </c>
      <c r="CB12" s="69" t="e">
        <f t="shared" si="4"/>
        <v>#VALUE!</v>
      </c>
      <c r="CC12" s="69" t="e">
        <f t="shared" si="4"/>
        <v>#VALUE!</v>
      </c>
      <c r="CD12" s="69" t="e">
        <f t="shared" si="4"/>
        <v>#VALUE!</v>
      </c>
      <c r="CE12" s="69" t="e">
        <f t="shared" si="4"/>
        <v>#VALUE!</v>
      </c>
      <c r="CF12" s="69" t="e">
        <f t="shared" si="4"/>
        <v>#VALUE!</v>
      </c>
      <c r="CG12" s="69" t="e">
        <f t="shared" si="4"/>
        <v>#VALUE!</v>
      </c>
      <c r="CH12" s="69" t="e">
        <f t="shared" si="4"/>
        <v>#VALUE!</v>
      </c>
      <c r="CI12" s="69" t="e">
        <f t="shared" si="4"/>
        <v>#VALUE!</v>
      </c>
      <c r="CJ12" s="69" t="e">
        <f t="shared" si="4"/>
        <v>#VALUE!</v>
      </c>
      <c r="CK12" s="69" t="e">
        <f t="shared" si="4"/>
        <v>#VALUE!</v>
      </c>
      <c r="CL12" s="69" t="e">
        <f t="shared" si="4"/>
        <v>#VALUE!</v>
      </c>
      <c r="CM12" s="69" t="e">
        <f t="shared" si="4"/>
        <v>#VALUE!</v>
      </c>
      <c r="CN12" s="69" t="e">
        <f t="shared" si="4"/>
        <v>#VALUE!</v>
      </c>
      <c r="CO12" s="69" t="e">
        <f t="shared" si="4"/>
        <v>#VALUE!</v>
      </c>
      <c r="CP12" s="69" t="e">
        <f t="shared" si="4"/>
        <v>#VALUE!</v>
      </c>
      <c r="CQ12" s="69" t="e">
        <f t="shared" si="4"/>
        <v>#VALUE!</v>
      </c>
      <c r="CR12" s="69" t="e">
        <f t="shared" si="4"/>
        <v>#VALUE!</v>
      </c>
      <c r="CS12" s="69" t="e">
        <f t="shared" si="4"/>
        <v>#VALUE!</v>
      </c>
      <c r="CT12" s="69" t="e">
        <f t="shared" si="4"/>
        <v>#VALUE!</v>
      </c>
      <c r="CU12" s="69" t="e">
        <f t="shared" si="4"/>
        <v>#VALUE!</v>
      </c>
      <c r="CV12" s="69" t="e">
        <f t="shared" si="4"/>
        <v>#VALUE!</v>
      </c>
      <c r="CW12" s="69" t="e">
        <f t="shared" si="4"/>
        <v>#VALUE!</v>
      </c>
      <c r="CX12" s="69" t="e">
        <f t="shared" si="4"/>
        <v>#VALUE!</v>
      </c>
      <c r="CY12" s="69" t="e">
        <f t="shared" si="4"/>
        <v>#VALUE!</v>
      </c>
      <c r="CZ12" s="69" t="e">
        <f t="shared" si="4"/>
        <v>#VALUE!</v>
      </c>
      <c r="DA12" s="69" t="e">
        <f t="shared" si="4"/>
        <v>#VALUE!</v>
      </c>
      <c r="DB12" s="69" t="e">
        <f t="shared" si="4"/>
        <v>#VALUE!</v>
      </c>
      <c r="DC12" s="69" t="e">
        <f t="shared" si="4"/>
        <v>#VALUE!</v>
      </c>
      <c r="DD12" s="69" t="e">
        <f t="shared" si="4"/>
        <v>#VALUE!</v>
      </c>
      <c r="DE12" s="69" t="e">
        <f t="shared" si="4"/>
        <v>#VALUE!</v>
      </c>
      <c r="DF12" s="69" t="e">
        <f t="shared" si="4"/>
        <v>#VALUE!</v>
      </c>
      <c r="DG12" s="69" t="e">
        <f t="shared" si="4"/>
        <v>#VALUE!</v>
      </c>
      <c r="DH12" s="69" t="e">
        <f t="shared" si="4"/>
        <v>#VALUE!</v>
      </c>
      <c r="DI12" s="69" t="e">
        <f t="shared" si="4"/>
        <v>#VALUE!</v>
      </c>
      <c r="DJ12" s="69" t="e">
        <f t="shared" si="4"/>
        <v>#VALUE!</v>
      </c>
      <c r="DK12" s="69" t="e">
        <f t="shared" si="4"/>
        <v>#VALUE!</v>
      </c>
      <c r="DL12" s="69" t="e">
        <f t="shared" si="4"/>
        <v>#VALUE!</v>
      </c>
      <c r="DM12" s="69" t="e">
        <f t="shared" si="4"/>
        <v>#VALUE!</v>
      </c>
      <c r="DN12" s="69" t="e">
        <f t="shared" si="4"/>
        <v>#VALUE!</v>
      </c>
      <c r="DO12" s="69" t="e">
        <f t="shared" si="4"/>
        <v>#VALUE!</v>
      </c>
      <c r="DP12" s="69" t="e">
        <f t="shared" si="4"/>
        <v>#VALUE!</v>
      </c>
      <c r="DQ12" s="69" t="e">
        <f t="shared" si="4"/>
        <v>#VALUE!</v>
      </c>
      <c r="DR12" s="69" t="e">
        <f t="shared" si="4"/>
        <v>#VALUE!</v>
      </c>
      <c r="DS12" s="69" t="e">
        <f t="shared" si="4"/>
        <v>#VALUE!</v>
      </c>
      <c r="DT12" s="69" t="e">
        <f t="shared" si="4"/>
        <v>#VALUE!</v>
      </c>
      <c r="DU12" s="69" t="e">
        <f t="shared" si="4"/>
        <v>#VALUE!</v>
      </c>
      <c r="DV12" s="69" t="e">
        <f t="shared" si="4"/>
        <v>#VALUE!</v>
      </c>
      <c r="DW12" s="69" t="e">
        <f t="shared" si="4"/>
        <v>#VALUE!</v>
      </c>
      <c r="DX12" s="69" t="e">
        <f t="shared" si="4"/>
        <v>#VALUE!</v>
      </c>
      <c r="DY12" s="69" t="e">
        <f t="shared" si="4"/>
        <v>#VALUE!</v>
      </c>
      <c r="DZ12" s="69" t="e">
        <f t="shared" si="4"/>
        <v>#VALUE!</v>
      </c>
      <c r="EA12" s="69" t="e">
        <f t="shared" si="4"/>
        <v>#VALUE!</v>
      </c>
      <c r="EB12" s="69" t="e">
        <f t="shared" si="4"/>
        <v>#VALUE!</v>
      </c>
      <c r="EC12" s="69" t="e">
        <f t="shared" si="4"/>
        <v>#VALUE!</v>
      </c>
      <c r="ED12" s="69" t="e">
        <f t="shared" si="4"/>
        <v>#VALUE!</v>
      </c>
      <c r="EE12" s="69" t="e">
        <f t="shared" si="4"/>
        <v>#VALUE!</v>
      </c>
      <c r="EF12" s="69" t="e">
        <f t="shared" si="4"/>
        <v>#VALUE!</v>
      </c>
      <c r="EG12" s="69" t="e">
        <f t="shared" si="4"/>
        <v>#VALUE!</v>
      </c>
      <c r="EH12" s="69" t="e">
        <f t="shared" si="4"/>
        <v>#VALUE!</v>
      </c>
      <c r="EI12" s="69" t="e">
        <f t="shared" si="4"/>
        <v>#VALUE!</v>
      </c>
      <c r="EJ12" s="69" t="e">
        <f t="shared" si="4"/>
        <v>#VALUE!</v>
      </c>
      <c r="EK12" s="69" t="e">
        <f t="shared" si="4"/>
        <v>#VALUE!</v>
      </c>
      <c r="EL12" s="69" t="e">
        <f t="shared" si="4"/>
        <v>#VALUE!</v>
      </c>
      <c r="EM12" s="69" t="e">
        <f t="shared" si="4"/>
        <v>#VALUE!</v>
      </c>
      <c r="EN12" s="69" t="e">
        <f t="shared" si="4"/>
        <v>#VALUE!</v>
      </c>
      <c r="EO12" s="69" t="e">
        <f t="shared" si="4"/>
        <v>#VALUE!</v>
      </c>
      <c r="EP12" s="69" t="e">
        <f t="shared" si="4"/>
        <v>#VALUE!</v>
      </c>
      <c r="EQ12" s="69" t="e">
        <f t="shared" si="4"/>
        <v>#VALUE!</v>
      </c>
      <c r="ER12" s="69" t="e">
        <f t="shared" si="4"/>
        <v>#VALUE!</v>
      </c>
      <c r="ES12" s="69" t="e">
        <f t="shared" si="4"/>
        <v>#VALUE!</v>
      </c>
      <c r="ET12" s="69" t="e">
        <f t="shared" si="4"/>
        <v>#VALUE!</v>
      </c>
      <c r="EU12" s="69" t="e">
        <f t="shared" si="4"/>
        <v>#VALUE!</v>
      </c>
      <c r="EV12" s="69" t="e">
        <f t="shared" si="4"/>
        <v>#VALUE!</v>
      </c>
      <c r="EW12" s="69" t="e">
        <f t="shared" si="4"/>
        <v>#VALUE!</v>
      </c>
      <c r="EX12" s="69" t="e">
        <f t="shared" si="4"/>
        <v>#VALUE!</v>
      </c>
      <c r="EY12" s="69" t="e">
        <f t="shared" si="4"/>
        <v>#VALUE!</v>
      </c>
      <c r="EZ12" s="69" t="e">
        <f t="shared" si="4"/>
        <v>#VALUE!</v>
      </c>
      <c r="FA12" s="69" t="e">
        <f t="shared" si="4"/>
        <v>#VALUE!</v>
      </c>
      <c r="FB12" s="69" t="e">
        <f t="shared" si="4"/>
        <v>#VALUE!</v>
      </c>
      <c r="FC12" s="69" t="e">
        <f t="shared" si="4"/>
        <v>#VALUE!</v>
      </c>
      <c r="FD12" s="69" t="e">
        <f t="shared" si="4"/>
        <v>#VALUE!</v>
      </c>
      <c r="FE12" s="69" t="e">
        <f t="shared" si="4"/>
        <v>#VALUE!</v>
      </c>
      <c r="FF12" s="69" t="e">
        <f t="shared" si="4"/>
        <v>#VALUE!</v>
      </c>
      <c r="FG12" s="69" t="e">
        <f t="shared" si="4"/>
        <v>#VALUE!</v>
      </c>
      <c r="FH12" s="69" t="e">
        <f t="shared" si="4"/>
        <v>#VALUE!</v>
      </c>
      <c r="FI12" s="69" t="e">
        <f t="shared" si="4"/>
        <v>#VALUE!</v>
      </c>
      <c r="FJ12" s="69" t="e">
        <f t="shared" si="4"/>
        <v>#VALUE!</v>
      </c>
      <c r="FK12" s="69" t="e">
        <f t="shared" si="4"/>
        <v>#VALUE!</v>
      </c>
      <c r="FL12" s="69" t="e">
        <f t="shared" si="4"/>
        <v>#VALUE!</v>
      </c>
      <c r="FM12" s="69" t="e">
        <f t="shared" si="4"/>
        <v>#VALUE!</v>
      </c>
      <c r="FN12" s="69" t="e">
        <f t="shared" si="4"/>
        <v>#VALUE!</v>
      </c>
      <c r="FO12" s="69" t="e">
        <f t="shared" si="4"/>
        <v>#VALUE!</v>
      </c>
      <c r="FP12" s="69" t="e">
        <f t="shared" si="4"/>
        <v>#VALUE!</v>
      </c>
      <c r="FQ12" s="69" t="e">
        <f t="shared" si="4"/>
        <v>#VALUE!</v>
      </c>
      <c r="FR12" s="69" t="e">
        <f t="shared" si="4"/>
        <v>#VALUE!</v>
      </c>
      <c r="FS12" s="69" t="e">
        <f t="shared" si="4"/>
        <v>#VALUE!</v>
      </c>
      <c r="FT12" s="69" t="e">
        <f t="shared" si="4"/>
        <v>#VALUE!</v>
      </c>
      <c r="FU12" s="69" t="e">
        <f t="shared" si="4"/>
        <v>#VALUE!</v>
      </c>
      <c r="FV12" s="69" t="e">
        <f t="shared" si="4"/>
        <v>#VALUE!</v>
      </c>
      <c r="FW12" s="69" t="e">
        <f t="shared" si="4"/>
        <v>#VALUE!</v>
      </c>
      <c r="FX12" s="69" t="e">
        <f t="shared" si="4"/>
        <v>#VALUE!</v>
      </c>
      <c r="FY12" s="69" t="e">
        <f t="shared" si="4"/>
        <v>#VALUE!</v>
      </c>
      <c r="FZ12" s="69" t="e">
        <f t="shared" si="4"/>
        <v>#VALUE!</v>
      </c>
      <c r="GA12" s="69" t="e">
        <f t="shared" si="4"/>
        <v>#VALUE!</v>
      </c>
      <c r="GB12" s="69" t="e">
        <f t="shared" si="4"/>
        <v>#VALUE!</v>
      </c>
      <c r="GC12" s="69" t="e">
        <f t="shared" si="4"/>
        <v>#VALUE!</v>
      </c>
      <c r="GD12" s="69" t="e">
        <f t="shared" si="4"/>
        <v>#VALUE!</v>
      </c>
      <c r="GE12" s="69" t="e">
        <f t="shared" si="4"/>
        <v>#VALUE!</v>
      </c>
      <c r="GF12" s="69"/>
    </row>
    <row r="13" spans="1:188" ht="12" customHeight="1">
      <c r="A13" s="70"/>
      <c r="B13" s="70" t="s">
        <v>125</v>
      </c>
      <c r="C13" s="70" t="e">
        <f t="shared" ref="C13:C14" si="5">+SUM(D13:GE13)</f>
        <v>#VALUE!</v>
      </c>
      <c r="D13" s="70"/>
      <c r="E13" s="70" t="e">
        <f>+IF(E12=2,1,0)</f>
        <v>#VALUE!</v>
      </c>
      <c r="F13" s="70"/>
      <c r="G13" s="70"/>
      <c r="H13" s="70"/>
      <c r="I13" s="70"/>
      <c r="J13" s="70" t="e">
        <f>+IF(J12=2,1,0)</f>
        <v>#VALUE!</v>
      </c>
      <c r="K13" s="70"/>
      <c r="L13" s="70"/>
      <c r="M13" s="70"/>
      <c r="N13" s="70"/>
      <c r="O13" s="70"/>
      <c r="P13" s="70"/>
      <c r="Q13" s="70"/>
      <c r="R13" s="70"/>
      <c r="S13" s="70"/>
      <c r="T13" s="70"/>
      <c r="U13" s="70"/>
      <c r="V13" s="70"/>
      <c r="W13" s="70"/>
      <c r="X13" s="70"/>
      <c r="Y13" s="70"/>
      <c r="Z13" s="70" t="e">
        <f>+IF(Z12=2,1,0)</f>
        <v>#VALUE!</v>
      </c>
      <c r="AA13" s="70"/>
      <c r="AB13" s="70"/>
      <c r="AC13" s="70" t="e">
        <f>+IF(AC12=2,1,0)</f>
        <v>#VALUE!</v>
      </c>
      <c r="AD13" s="70"/>
      <c r="AE13" s="70"/>
      <c r="AF13" s="70"/>
      <c r="AG13" s="70"/>
      <c r="AH13" s="70"/>
      <c r="AI13" s="70"/>
      <c r="AJ13" s="70"/>
      <c r="AK13" s="70"/>
      <c r="AL13" s="70" t="e">
        <f>+IF(AL12=2,1,0)</f>
        <v>#VALUE!</v>
      </c>
      <c r="AM13" s="70"/>
      <c r="AN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t="e">
        <f>+IF(BP12=0,1,0)</f>
        <v>#VALUE!</v>
      </c>
      <c r="BQ13" s="70"/>
      <c r="BR13" s="70"/>
      <c r="BS13" s="70"/>
      <c r="BT13" s="70"/>
      <c r="BU13" s="70"/>
      <c r="BV13" s="70"/>
      <c r="BW13" s="70"/>
      <c r="BX13" s="70" t="e">
        <f>+IF(BX12=2,1,0)</f>
        <v>#VALUE!</v>
      </c>
      <c r="BY13" s="70"/>
      <c r="BZ13" s="70"/>
      <c r="CA13" s="70"/>
      <c r="CB13" s="70"/>
      <c r="CC13" s="70"/>
      <c r="CD13" s="70"/>
      <c r="CE13" s="70"/>
      <c r="CF13" s="70"/>
      <c r="CG13" s="70" t="e">
        <f>+IF(CG12=2,1,0)</f>
        <v>#VALUE!</v>
      </c>
      <c r="CH13" s="70"/>
      <c r="CI13" s="70"/>
      <c r="CJ13" s="70"/>
      <c r="CK13" s="70"/>
      <c r="CL13" s="70"/>
      <c r="CM13" s="70"/>
      <c r="CN13" s="70"/>
      <c r="CO13" s="70" t="e">
        <f>+IF(CO12=0,1,0)</f>
        <v>#VALUE!</v>
      </c>
      <c r="CP13" s="70"/>
      <c r="CQ13" s="70"/>
      <c r="CR13" s="70" t="e">
        <f>+IF(CR12=0,1,0)</f>
        <v>#VALUE!</v>
      </c>
      <c r="CS13" s="70"/>
      <c r="CT13" s="70"/>
      <c r="CU13" s="70"/>
      <c r="CV13" s="70"/>
      <c r="CW13" s="70"/>
      <c r="CX13" s="70"/>
      <c r="CY13" s="70"/>
      <c r="CZ13" s="70"/>
      <c r="DA13" s="70"/>
      <c r="DB13" s="70"/>
      <c r="DC13" s="70"/>
      <c r="DD13" s="70"/>
      <c r="DE13" s="70"/>
      <c r="DF13" s="70"/>
      <c r="DG13" s="70"/>
      <c r="DH13" s="70"/>
      <c r="DI13" s="70" t="e">
        <f>+IF(DI12=2,1,0)</f>
        <v>#VALUE!</v>
      </c>
      <c r="DJ13" s="70" t="e">
        <f>+IF(DJ12=0,1,0)</f>
        <v>#VALUE!</v>
      </c>
      <c r="DK13" s="70"/>
      <c r="DL13" s="70"/>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t="e">
        <f>+IF(EV12=0,1,0)</f>
        <v>#VALUE!</v>
      </c>
      <c r="EW13" s="70"/>
      <c r="EX13" s="70"/>
      <c r="EY13" s="70"/>
      <c r="EZ13" s="70"/>
      <c r="FA13" s="70"/>
      <c r="FB13" s="70"/>
      <c r="FC13" s="70"/>
      <c r="FD13" s="70"/>
      <c r="FE13" s="70"/>
      <c r="FF13" s="70"/>
      <c r="FG13" s="70"/>
      <c r="FH13" s="70"/>
      <c r="FI13" s="70"/>
      <c r="FJ13" s="70"/>
      <c r="FK13" s="70"/>
      <c r="FL13" s="70"/>
      <c r="FM13" s="70"/>
      <c r="FN13" s="70"/>
      <c r="FO13" s="70" t="e">
        <f>+IF(FO12=0,1,0)</f>
        <v>#VALUE!</v>
      </c>
      <c r="FP13" s="70"/>
      <c r="FQ13" s="70"/>
      <c r="FR13" s="70"/>
      <c r="FS13" s="70"/>
      <c r="FT13" s="70" t="e">
        <f>+IF(FT12=2,1,0)</f>
        <v>#VALUE!</v>
      </c>
      <c r="FU13" s="70"/>
      <c r="FV13" s="70"/>
      <c r="FW13" s="70"/>
      <c r="FX13" s="70"/>
      <c r="FY13" s="70"/>
      <c r="FZ13" s="70"/>
      <c r="GA13" s="70"/>
      <c r="GB13" s="70"/>
      <c r="GC13" s="70"/>
      <c r="GD13" s="70"/>
      <c r="GE13" s="70"/>
      <c r="GF13" s="70"/>
    </row>
    <row r="14" spans="1:188" ht="12" customHeight="1">
      <c r="A14" s="71"/>
      <c r="B14" s="71" t="s">
        <v>126</v>
      </c>
      <c r="C14" s="71" t="e">
        <f t="shared" si="5"/>
        <v>#VALUE!</v>
      </c>
      <c r="D14" s="71"/>
      <c r="E14" s="71"/>
      <c r="F14" s="71"/>
      <c r="G14" s="71"/>
      <c r="H14" s="71"/>
      <c r="I14" s="71"/>
      <c r="J14" s="71"/>
      <c r="K14" s="71"/>
      <c r="L14" s="71"/>
      <c r="M14" s="71"/>
      <c r="N14" s="71"/>
      <c r="O14" s="71"/>
      <c r="P14" s="71" t="e">
        <f t="shared" ref="P14:Q14" si="6">+IF(P5=2,1,0)</f>
        <v>#VALUE!</v>
      </c>
      <c r="Q14" s="71" t="e">
        <f t="shared" si="6"/>
        <v>#VALUE!</v>
      </c>
      <c r="R14" s="71"/>
      <c r="S14" s="71" t="e">
        <f>+IF(S5=2,1,0)</f>
        <v>#VALUE!</v>
      </c>
      <c r="T14" s="71"/>
      <c r="U14" s="71"/>
      <c r="V14" s="71"/>
      <c r="W14" s="71"/>
      <c r="X14" s="71"/>
      <c r="Y14" s="71"/>
      <c r="Z14" s="71"/>
      <c r="AA14" s="71"/>
      <c r="AB14" s="71"/>
      <c r="AC14" s="71"/>
      <c r="AD14" s="71"/>
      <c r="AE14" s="71"/>
      <c r="AF14" s="71"/>
      <c r="AG14" s="71"/>
      <c r="AH14" s="71"/>
      <c r="AI14" s="71"/>
      <c r="AJ14" s="71"/>
      <c r="AK14" s="71"/>
      <c r="AL14" s="71"/>
      <c r="AM14" s="71"/>
      <c r="AN14" s="71"/>
      <c r="AO14" s="71" t="e">
        <f>+IF(AO5=1,1,0)</f>
        <v>#VALUE!</v>
      </c>
      <c r="AP14" s="71"/>
      <c r="AQ14" s="71" t="e">
        <f>+IF(AQ5=2,1,0)</f>
        <v>#VALUE!</v>
      </c>
      <c r="AR14" s="71"/>
      <c r="AS14" s="71"/>
      <c r="AT14" s="71"/>
      <c r="AU14" s="71"/>
      <c r="AV14" s="71"/>
      <c r="AW14" s="71" t="e">
        <f>+IF(AW5=2,1,0)</f>
        <v>#VALUE!</v>
      </c>
      <c r="AX14" s="71"/>
      <c r="AY14" s="71"/>
      <c r="AZ14" s="71"/>
      <c r="BA14" s="71"/>
      <c r="BB14" s="71"/>
      <c r="BC14" s="71"/>
      <c r="BD14" s="71"/>
      <c r="BE14" s="71"/>
      <c r="BF14" s="71"/>
      <c r="BG14" s="71" t="e">
        <f>+IF(BG5=2,1,0)</f>
        <v>#VALUE!</v>
      </c>
      <c r="BH14" s="71" t="e">
        <f>+IF(BH5=1,1,0)</f>
        <v>#VALUE!</v>
      </c>
      <c r="BI14" s="71"/>
      <c r="BJ14" s="71"/>
      <c r="BK14" s="71"/>
      <c r="BL14" s="71"/>
      <c r="BM14" s="71"/>
      <c r="BN14" s="71"/>
      <c r="BO14" s="71"/>
      <c r="BP14" s="71"/>
      <c r="BQ14" s="71"/>
      <c r="BR14" s="71"/>
      <c r="BS14" s="71"/>
      <c r="BT14" s="71" t="e">
        <f>+IF(BT5=1,1,0)</f>
        <v>#VALUE!</v>
      </c>
      <c r="BU14" s="71"/>
      <c r="BV14" s="71"/>
      <c r="BW14" s="71"/>
      <c r="BX14" s="71"/>
      <c r="BY14" s="71"/>
      <c r="BZ14" s="71" t="e">
        <f>+IF(BZ5=2,1,0)</f>
        <v>#VALUE!</v>
      </c>
      <c r="CA14" s="71"/>
      <c r="CB14" s="71"/>
      <c r="CC14" s="71"/>
      <c r="CD14" s="71"/>
      <c r="CE14" s="71"/>
      <c r="CF14" s="71"/>
      <c r="CG14" s="71"/>
      <c r="CH14" s="71"/>
      <c r="CI14" s="71"/>
      <c r="CJ14" s="71"/>
      <c r="CK14" s="71"/>
      <c r="CL14" s="71"/>
      <c r="CM14" s="71"/>
      <c r="CN14" s="71"/>
      <c r="CO14" s="71"/>
      <c r="CP14" s="71"/>
      <c r="CQ14" s="71"/>
      <c r="CR14" s="71"/>
      <c r="CS14" s="71"/>
      <c r="CT14" s="71" t="e">
        <f>+IF(CT5=1,1,0)</f>
        <v>#VALUE!</v>
      </c>
      <c r="CU14" s="71"/>
      <c r="CV14" s="71"/>
      <c r="CW14" s="71"/>
      <c r="CX14" s="71"/>
      <c r="CY14" s="71" t="e">
        <f>+IF(CY5=3,1,0)</f>
        <v>#VALUE!</v>
      </c>
      <c r="CZ14" s="71"/>
      <c r="DA14" s="71"/>
      <c r="DB14" s="71" t="e">
        <f>+IF(DB5=3,1,0)</f>
        <v>#VALUE!</v>
      </c>
      <c r="DC14" s="71"/>
      <c r="DD14" s="71"/>
      <c r="DE14" s="71"/>
      <c r="DF14" s="71" t="e">
        <f>+IF(DF5=1,1,0)</f>
        <v>#VALUE!</v>
      </c>
      <c r="DG14" s="71"/>
      <c r="DH14" s="71"/>
      <c r="DI14" s="71"/>
      <c r="DJ14" s="71"/>
      <c r="DK14" s="71"/>
      <c r="DL14" s="71"/>
      <c r="DM14" s="71" t="e">
        <f>+IF(DM5=3,1,0)</f>
        <v>#VALUE!</v>
      </c>
      <c r="DN14" s="71"/>
      <c r="DO14" s="71"/>
      <c r="DP14" s="71"/>
      <c r="DQ14" s="71"/>
      <c r="DR14" s="71"/>
      <c r="DS14" s="71"/>
      <c r="DT14" s="71"/>
      <c r="DU14" s="71"/>
      <c r="DV14" s="71"/>
      <c r="DW14" s="71"/>
      <c r="DX14" s="71"/>
      <c r="DY14" s="71"/>
      <c r="DZ14" s="71"/>
      <c r="EA14" s="71"/>
      <c r="EB14" s="71" t="e">
        <f>+IF(EB5=2,1,0)</f>
        <v>#VALUE!</v>
      </c>
      <c r="EC14" s="71"/>
      <c r="ED14" s="71"/>
      <c r="EE14" s="71"/>
      <c r="EF14" s="71" t="e">
        <f>+IF(EF5=2,1,0)</f>
        <v>#VALUE!</v>
      </c>
      <c r="EG14" s="71"/>
      <c r="EH14" s="71"/>
      <c r="EI14" s="71"/>
      <c r="EJ14" s="71"/>
      <c r="EK14" s="71"/>
      <c r="EL14" s="71"/>
      <c r="EM14" s="71" t="e">
        <f>+IF(EM5=3,1,0)</f>
        <v>#VALUE!</v>
      </c>
      <c r="EN14" s="71"/>
      <c r="EO14" s="71"/>
      <c r="EP14" s="71"/>
      <c r="EQ14" s="71"/>
      <c r="ER14" s="71"/>
      <c r="ES14" s="71"/>
      <c r="ET14" s="71"/>
      <c r="EU14" s="71"/>
      <c r="EV14" s="71"/>
      <c r="EW14" s="71"/>
      <c r="EX14" s="71" t="e">
        <f>+IF(EX5=3,1,0)</f>
        <v>#VALUE!</v>
      </c>
      <c r="EY14" s="71"/>
      <c r="EZ14" s="71"/>
      <c r="FA14" s="71"/>
      <c r="FB14" s="71"/>
      <c r="FC14" s="71"/>
      <c r="FD14" s="71"/>
      <c r="FE14" s="71"/>
      <c r="FF14" s="71"/>
      <c r="FG14" s="71"/>
      <c r="FH14" s="71"/>
      <c r="FI14" s="71"/>
      <c r="FJ14" s="71"/>
      <c r="FK14" s="71"/>
      <c r="FL14" s="71"/>
      <c r="FM14" s="71"/>
      <c r="FN14" s="71"/>
      <c r="FO14" s="71"/>
      <c r="FP14" s="71"/>
      <c r="FQ14" s="71"/>
      <c r="FR14" s="71" t="e">
        <f>+IF(FR5=3,1,0)</f>
        <v>#VALUE!</v>
      </c>
      <c r="FS14" s="71"/>
      <c r="FT14" s="71"/>
      <c r="FU14" s="71"/>
      <c r="FV14" s="71"/>
      <c r="FW14" s="71"/>
      <c r="FX14" s="71"/>
      <c r="FY14" s="71" t="e">
        <f t="shared" ref="FY14:FZ14" si="7">+IF(FY5=2,1,0)</f>
        <v>#VALUE!</v>
      </c>
      <c r="FZ14" s="71" t="e">
        <f t="shared" si="7"/>
        <v>#VALUE!</v>
      </c>
      <c r="GA14" s="71"/>
      <c r="GB14" s="71"/>
      <c r="GC14" s="71"/>
      <c r="GD14" s="71"/>
      <c r="GE14" s="71"/>
      <c r="GF14" s="71"/>
    </row>
    <row r="15" spans="1:188" ht="12" customHeight="1">
      <c r="A15" s="66" t="s">
        <v>127</v>
      </c>
      <c r="B15" s="66" t="s">
        <v>128</v>
      </c>
      <c r="C15" s="66" t="e">
        <f>+U12+V12+AN12+BG12+BZ12+CS12+DL12+EE12+EX12+FQ12</f>
        <v>#VALUE!</v>
      </c>
      <c r="D15" s="66"/>
      <c r="E15" s="66"/>
      <c r="F15" s="66"/>
      <c r="G15" s="66"/>
      <c r="H15" s="66"/>
      <c r="I15" s="72"/>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row>
    <row r="16" spans="1:188" ht="12" customHeight="1">
      <c r="A16" s="66"/>
      <c r="B16" s="66" t="s">
        <v>129</v>
      </c>
      <c r="C16" s="66" t="e">
        <f>+D12+W12+AO12+AP12+BH12+BI12+CA12+CB12+CT12+DM12+EF12+EY12+FR12</f>
        <v>#VALUE!</v>
      </c>
      <c r="D16" s="66"/>
      <c r="E16" s="66"/>
      <c r="F16" s="66"/>
      <c r="G16" s="66"/>
      <c r="H16" s="66"/>
      <c r="I16" s="72"/>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row>
    <row r="17" spans="1:188" ht="12" customHeight="1">
      <c r="A17" s="66"/>
      <c r="B17" s="66" t="s">
        <v>130</v>
      </c>
      <c r="C17" s="66" t="e">
        <f>+E12+X12+AQ12+BJ12+CC12+CU12+CV12+DN12+DO12+EG12+EH12+EZ12+FS12</f>
        <v>#VALUE!</v>
      </c>
      <c r="D17" s="66"/>
      <c r="E17" s="66"/>
      <c r="F17" s="66"/>
      <c r="G17" s="66"/>
      <c r="H17" s="66"/>
      <c r="I17" s="72"/>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row>
    <row r="18" spans="1:188" ht="12" customHeight="1">
      <c r="A18" s="66"/>
      <c r="B18" s="66" t="s">
        <v>131</v>
      </c>
      <c r="C18" s="66" t="e">
        <f>+F12+G12+Y12+AR12+BK12+CD12+CW12+DP12+EI12+FA12+FB12+FT12+FU12</f>
        <v>#VALUE!</v>
      </c>
      <c r="D18" s="66"/>
      <c r="E18" s="66"/>
      <c r="F18" s="66"/>
      <c r="G18" s="66"/>
      <c r="H18" s="66"/>
      <c r="I18" s="72"/>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row>
    <row r="19" spans="1:188" ht="12" customHeight="1">
      <c r="A19" s="66"/>
      <c r="B19" s="66" t="s">
        <v>132</v>
      </c>
      <c r="C19" s="66" t="e">
        <f>+H12+Z12+AA12+AS12+AT12+BL12+BM12+CE12+CX12+DQ12+EJ12+FC12+FV12</f>
        <v>#VALUE!</v>
      </c>
      <c r="D19" s="66"/>
      <c r="E19" s="66"/>
      <c r="F19" s="66"/>
      <c r="G19" s="66"/>
      <c r="H19" s="66"/>
      <c r="I19" s="72"/>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row>
    <row r="20" spans="1:188" ht="12" customHeight="1">
      <c r="A20" s="66"/>
      <c r="B20" s="66" t="s">
        <v>133</v>
      </c>
      <c r="C20" s="66" t="e">
        <f>+I12+AB12+AU12+BN12+CF12+CY12+DR12+EK12+FD12+FW12</f>
        <v>#VALUE!</v>
      </c>
      <c r="D20" s="66"/>
      <c r="E20" s="66"/>
      <c r="F20" s="66"/>
      <c r="G20" s="66"/>
      <c r="H20" s="66"/>
      <c r="I20" s="72"/>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row>
    <row r="21" spans="1:188" ht="12" customHeight="1">
      <c r="A21" s="66"/>
      <c r="B21" s="66" t="s">
        <v>134</v>
      </c>
      <c r="C21" s="66" t="e">
        <f>+J12+AC12+AV12+BO12+CG12+CH12+CZ12+DA12+DS12+DT12+EL12+FE12+FX12</f>
        <v>#VALUE!</v>
      </c>
      <c r="D21" s="66"/>
      <c r="E21" s="66"/>
      <c r="F21" s="66"/>
      <c r="G21" s="66"/>
      <c r="H21" s="66"/>
      <c r="I21" s="72"/>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row>
    <row r="22" spans="1:188" ht="12" customHeight="1">
      <c r="A22" s="66"/>
      <c r="B22" s="66" t="s">
        <v>135</v>
      </c>
      <c r="C22" s="66" t="e">
        <f>+K12+AD12+AW12+BP12+CI12+DB12+DU12+EM12+FF12+FY12</f>
        <v>#VALUE!</v>
      </c>
      <c r="D22" s="66"/>
      <c r="E22" s="66"/>
      <c r="F22" s="66"/>
      <c r="G22" s="66"/>
      <c r="H22" s="66"/>
      <c r="I22" s="72"/>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row>
    <row r="23" spans="1:188" ht="12" customHeight="1">
      <c r="A23" s="66"/>
      <c r="B23" s="66" t="s">
        <v>136</v>
      </c>
      <c r="C23" s="66" t="e">
        <f>+L12+AE12+AX12+BQ12+CJ12+DC12+DV12+EN12+FG12+FZ12</f>
        <v>#VALUE!</v>
      </c>
      <c r="D23" s="66"/>
      <c r="E23" s="66"/>
      <c r="F23" s="66"/>
      <c r="G23" s="66"/>
      <c r="H23" s="66"/>
      <c r="I23" s="72"/>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c r="DB23" s="66"/>
      <c r="DC23" s="66"/>
      <c r="DD23" s="66"/>
      <c r="DE23" s="66"/>
      <c r="DF23" s="66"/>
      <c r="DG23" s="66"/>
      <c r="DH23" s="66"/>
      <c r="DI23" s="66"/>
      <c r="DJ23" s="66"/>
      <c r="DK23" s="66"/>
      <c r="DL23" s="66"/>
      <c r="DM23" s="66"/>
      <c r="DN23" s="66"/>
      <c r="DO23" s="66"/>
      <c r="DP23" s="66"/>
      <c r="DQ23" s="66"/>
      <c r="DR23" s="66"/>
      <c r="DS23" s="66"/>
      <c r="DT23" s="66"/>
      <c r="DU23" s="66"/>
      <c r="DV23" s="66"/>
      <c r="DW23" s="66"/>
      <c r="DX23" s="66"/>
      <c r="DY23" s="66"/>
      <c r="DZ23" s="66"/>
      <c r="EA23" s="66"/>
      <c r="EB23" s="66"/>
      <c r="EC23" s="66"/>
      <c r="ED23" s="66"/>
      <c r="EE23" s="66"/>
      <c r="EF23" s="66"/>
      <c r="EG23" s="66"/>
      <c r="EH23" s="66"/>
      <c r="EI23" s="66"/>
      <c r="EJ23" s="66"/>
      <c r="EK23" s="66"/>
      <c r="EL23" s="66"/>
      <c r="EM23" s="66"/>
      <c r="EN23" s="66"/>
      <c r="EO23" s="66"/>
      <c r="EP23" s="66"/>
      <c r="EQ23" s="66"/>
      <c r="ER23" s="66"/>
      <c r="ES23" s="66"/>
      <c r="ET23" s="66"/>
      <c r="EU23" s="66"/>
      <c r="EV23" s="66"/>
      <c r="EW23" s="66"/>
      <c r="EX23" s="66"/>
      <c r="EY23" s="66"/>
      <c r="EZ23" s="66"/>
      <c r="FA23" s="66"/>
      <c r="FB23" s="66"/>
      <c r="FC23" s="66"/>
      <c r="FD23" s="66"/>
      <c r="FE23" s="66"/>
      <c r="FF23" s="66"/>
      <c r="FG23" s="66"/>
      <c r="FH23" s="66"/>
      <c r="FI23" s="66"/>
      <c r="FJ23" s="66"/>
      <c r="FK23" s="66"/>
      <c r="FL23" s="66"/>
      <c r="FM23" s="66"/>
      <c r="FN23" s="66"/>
      <c r="FO23" s="66"/>
      <c r="FP23" s="66"/>
      <c r="FQ23" s="66"/>
      <c r="FR23" s="66"/>
      <c r="FS23" s="66"/>
      <c r="FT23" s="66"/>
      <c r="FU23" s="66"/>
      <c r="FV23" s="66"/>
      <c r="FW23" s="66"/>
      <c r="FX23" s="66"/>
      <c r="FY23" s="66"/>
      <c r="FZ23" s="66"/>
      <c r="GA23" s="66"/>
      <c r="GB23" s="66"/>
      <c r="GC23" s="66"/>
      <c r="GD23" s="66"/>
      <c r="GE23" s="66"/>
      <c r="GF23" s="66"/>
    </row>
    <row r="24" spans="1:188" ht="12" customHeight="1">
      <c r="A24" s="66"/>
      <c r="B24" s="66" t="s">
        <v>137</v>
      </c>
      <c r="C24" s="66" t="e">
        <f>+M12+AF12+AY12+BR12+CK12+DD12+DW12+EO12+EP12+FH12+FI12+GA12+GB12</f>
        <v>#VALUE!</v>
      </c>
      <c r="D24" s="66"/>
      <c r="E24" s="66"/>
      <c r="F24" s="66"/>
      <c r="G24" s="66"/>
      <c r="H24" s="66"/>
      <c r="I24" s="72"/>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row>
    <row r="25" spans="1:188" ht="12" customHeight="1">
      <c r="A25" s="66"/>
      <c r="B25" s="66" t="s">
        <v>138</v>
      </c>
      <c r="C25" s="66" t="e">
        <f>+N12+AG12+AZ12+BS12+CL12+DE12+DX12+EQ12+FJ12+GC12</f>
        <v>#VALUE!</v>
      </c>
      <c r="D25" s="66"/>
      <c r="E25" s="66"/>
      <c r="F25" s="66"/>
      <c r="G25" s="66"/>
      <c r="H25" s="66"/>
      <c r="I25" s="72"/>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row>
    <row r="26" spans="1:188" ht="12" customHeight="1">
      <c r="A26" s="66"/>
      <c r="B26" s="66" t="s">
        <v>139</v>
      </c>
      <c r="C26" s="66" t="e">
        <f>+O12+P12+AH12+AI12+BA12+BB12+BT12+CM12+DF12+DY12+ER12+FK12+GD12</f>
        <v>#VALUE!</v>
      </c>
      <c r="D26" s="66"/>
      <c r="E26" s="66"/>
      <c r="F26" s="66"/>
      <c r="G26" s="66"/>
      <c r="H26" s="66"/>
      <c r="I26" s="72"/>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row>
    <row r="27" spans="1:188" ht="12" customHeight="1">
      <c r="A27" s="66"/>
      <c r="B27" s="66" t="s">
        <v>140</v>
      </c>
      <c r="C27" s="66" t="e">
        <f>+Q12+AJ12+BC12+BU12+CN12+DG12+DZ12+ES12+FL12+GE12</f>
        <v>#VALUE!</v>
      </c>
      <c r="D27" s="66"/>
      <c r="E27" s="66"/>
      <c r="F27" s="66"/>
      <c r="G27" s="66"/>
      <c r="H27" s="66"/>
      <c r="I27" s="72"/>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row>
    <row r="28" spans="1:188" ht="12" customHeight="1">
      <c r="A28" s="66"/>
      <c r="B28" s="66" t="s">
        <v>141</v>
      </c>
      <c r="C28" s="66" t="e">
        <f>+R12+AK12+BD12+BV12+BW12+CO12+DH12+EA12+ET12+FM12</f>
        <v>#VALUE!</v>
      </c>
      <c r="D28" s="66"/>
      <c r="E28" s="66"/>
      <c r="F28" s="66"/>
      <c r="G28" s="66"/>
      <c r="H28" s="66"/>
      <c r="I28" s="72"/>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row>
    <row r="29" spans="1:188" ht="12" customHeight="1">
      <c r="A29" s="66"/>
      <c r="B29" s="66" t="s">
        <v>142</v>
      </c>
      <c r="C29" s="66" t="e">
        <f>+S12+AL12+BE12+BX12+CP12+CQ12+DI12+EB12+EU12+FN12</f>
        <v>#VALUE!</v>
      </c>
      <c r="D29" s="66"/>
      <c r="E29" s="66"/>
      <c r="F29" s="66"/>
      <c r="G29" s="66"/>
      <c r="H29" s="66"/>
      <c r="I29" s="72"/>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row>
    <row r="30" spans="1:188" ht="12" customHeight="1">
      <c r="A30" s="66"/>
      <c r="B30" s="66" t="s">
        <v>143</v>
      </c>
      <c r="C30" s="66" t="e">
        <f>+T12+AM12+BF12+BY12+CR12+DJ12+DK12+EC12+ED12+EV12+EW12+FO12+FP12</f>
        <v>#VALUE!</v>
      </c>
      <c r="D30" s="66"/>
      <c r="E30" s="66"/>
      <c r="F30" s="66"/>
      <c r="G30" s="66"/>
      <c r="H30" s="66"/>
      <c r="I30" s="72"/>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row>
    <row r="31" spans="1:188" ht="12" customHeight="1"/>
    <row r="32" spans="1:188"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B1:C1"/>
  </mergeCells>
  <pageMargins left="0.75" right="0.75" top="1" bottom="1"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1"/>
  <dimension ref="A1:Z1000"/>
  <sheetViews>
    <sheetView topLeftCell="I1" workbookViewId="0"/>
  </sheetViews>
  <sheetFormatPr baseColWidth="10" defaultColWidth="14.42578125" defaultRowHeight="15" customHeight="1"/>
  <cols>
    <col min="1" max="1" width="4.42578125" hidden="1" customWidth="1"/>
    <col min="2" max="2" width="2.85546875" hidden="1" customWidth="1"/>
    <col min="3" max="7" width="22.140625" hidden="1" customWidth="1"/>
    <col min="8" max="8" width="10.85546875" hidden="1" customWidth="1"/>
    <col min="9" max="26" width="10.85546875" customWidth="1"/>
  </cols>
  <sheetData>
    <row r="1" spans="1:26" ht="12.75" customHeight="1">
      <c r="A1" s="73"/>
      <c r="B1" s="74">
        <v>1</v>
      </c>
      <c r="C1" s="75">
        <v>-9</v>
      </c>
      <c r="D1" s="75">
        <v>4</v>
      </c>
      <c r="E1" s="75">
        <v>5</v>
      </c>
      <c r="F1" s="76">
        <v>7</v>
      </c>
      <c r="G1" s="76">
        <v>8</v>
      </c>
      <c r="H1" s="75">
        <v>19</v>
      </c>
      <c r="I1" s="73"/>
      <c r="J1" s="73"/>
      <c r="K1" s="73"/>
      <c r="L1" s="73"/>
      <c r="M1" s="73"/>
      <c r="N1" s="73"/>
      <c r="O1" s="73"/>
      <c r="P1" s="73"/>
      <c r="Q1" s="73"/>
      <c r="R1" s="73"/>
      <c r="S1" s="73"/>
      <c r="T1" s="73"/>
      <c r="U1" s="73"/>
      <c r="V1" s="73"/>
      <c r="W1" s="73"/>
      <c r="X1" s="73"/>
      <c r="Y1" s="73"/>
      <c r="Z1" s="73"/>
    </row>
    <row r="2" spans="1:26" ht="12.75" customHeight="1">
      <c r="A2" s="73" t="s">
        <v>5</v>
      </c>
      <c r="B2" s="74">
        <v>2</v>
      </c>
      <c r="C2" s="77" t="s">
        <v>144</v>
      </c>
      <c r="D2" s="77" t="s">
        <v>145</v>
      </c>
      <c r="E2" s="77" t="s">
        <v>97</v>
      </c>
      <c r="F2" s="77" t="s">
        <v>146</v>
      </c>
      <c r="G2" s="77" t="s">
        <v>147</v>
      </c>
      <c r="H2" s="78"/>
      <c r="I2" s="79"/>
      <c r="J2" s="79"/>
      <c r="K2" s="79"/>
      <c r="L2" s="79"/>
      <c r="M2" s="79"/>
      <c r="N2" s="79"/>
      <c r="O2" s="79"/>
      <c r="P2" s="79"/>
      <c r="Q2" s="79"/>
      <c r="R2" s="79"/>
      <c r="S2" s="79"/>
      <c r="T2" s="79"/>
      <c r="U2" s="79"/>
      <c r="V2" s="79"/>
      <c r="W2" s="79"/>
      <c r="X2" s="79"/>
      <c r="Y2" s="79"/>
      <c r="Z2" s="79"/>
    </row>
    <row r="3" spans="1:26" ht="12.75" customHeight="1">
      <c r="A3" s="73"/>
      <c r="B3" s="74">
        <v>3</v>
      </c>
      <c r="C3" s="77" t="s">
        <v>97</v>
      </c>
      <c r="D3" s="77" t="s">
        <v>97</v>
      </c>
      <c r="E3" s="77" t="s">
        <v>97</v>
      </c>
      <c r="F3" s="77" t="s">
        <v>97</v>
      </c>
      <c r="G3" s="77" t="s">
        <v>97</v>
      </c>
      <c r="H3" s="78"/>
      <c r="I3" s="79"/>
      <c r="J3" s="79"/>
      <c r="K3" s="79"/>
      <c r="L3" s="79"/>
      <c r="M3" s="79"/>
      <c r="N3" s="79"/>
      <c r="O3" s="79"/>
      <c r="P3" s="79"/>
      <c r="Q3" s="79"/>
      <c r="R3" s="79"/>
      <c r="S3" s="79"/>
      <c r="T3" s="79"/>
      <c r="U3" s="79"/>
      <c r="V3" s="79"/>
      <c r="W3" s="79"/>
      <c r="X3" s="79"/>
      <c r="Y3" s="79"/>
      <c r="Z3" s="79"/>
    </row>
    <row r="4" spans="1:26" ht="12.75" customHeight="1">
      <c r="A4" s="73" t="s">
        <v>8</v>
      </c>
      <c r="B4" s="74">
        <v>4</v>
      </c>
      <c r="C4" s="77" t="s">
        <v>99</v>
      </c>
      <c r="D4" s="77" t="s">
        <v>148</v>
      </c>
      <c r="E4" s="77" t="s">
        <v>97</v>
      </c>
      <c r="F4" s="77" t="s">
        <v>149</v>
      </c>
      <c r="G4" s="77" t="s">
        <v>150</v>
      </c>
      <c r="H4" s="78"/>
      <c r="I4" s="79"/>
      <c r="J4" s="79"/>
      <c r="K4" s="79"/>
      <c r="L4" s="79"/>
      <c r="M4" s="79"/>
      <c r="N4" s="79"/>
      <c r="O4" s="79"/>
      <c r="P4" s="79"/>
      <c r="Q4" s="79"/>
      <c r="R4" s="79"/>
      <c r="S4" s="79"/>
      <c r="T4" s="79"/>
      <c r="U4" s="79"/>
      <c r="V4" s="79"/>
      <c r="W4" s="79"/>
      <c r="X4" s="79"/>
      <c r="Y4" s="79"/>
      <c r="Z4" s="79"/>
    </row>
    <row r="5" spans="1:26" ht="12.75" customHeight="1">
      <c r="A5" s="73"/>
      <c r="B5" s="74">
        <v>5</v>
      </c>
      <c r="C5" s="77" t="s">
        <v>97</v>
      </c>
      <c r="D5" s="77" t="s">
        <v>97</v>
      </c>
      <c r="E5" s="77" t="s">
        <v>97</v>
      </c>
      <c r="F5" s="77" t="s">
        <v>97</v>
      </c>
      <c r="G5" s="77" t="s">
        <v>97</v>
      </c>
      <c r="H5" s="78"/>
      <c r="I5" s="79"/>
      <c r="J5" s="79"/>
      <c r="K5" s="79"/>
      <c r="L5" s="79"/>
      <c r="M5" s="79"/>
      <c r="N5" s="79"/>
      <c r="O5" s="79"/>
      <c r="P5" s="79"/>
      <c r="Q5" s="79"/>
      <c r="R5" s="79"/>
      <c r="S5" s="79"/>
      <c r="T5" s="79"/>
      <c r="U5" s="79"/>
      <c r="V5" s="79"/>
      <c r="W5" s="79"/>
      <c r="X5" s="79"/>
      <c r="Y5" s="79"/>
      <c r="Z5" s="79"/>
    </row>
    <row r="6" spans="1:26" ht="12.75" customHeight="1">
      <c r="A6" s="73" t="s">
        <v>11</v>
      </c>
      <c r="B6" s="74">
        <v>6</v>
      </c>
      <c r="C6" s="77" t="s">
        <v>151</v>
      </c>
      <c r="D6" s="77" t="s">
        <v>104</v>
      </c>
      <c r="E6" s="77" t="s">
        <v>97</v>
      </c>
      <c r="F6" s="77" t="s">
        <v>152</v>
      </c>
      <c r="G6" s="77" t="s">
        <v>153</v>
      </c>
      <c r="H6" s="78"/>
      <c r="I6" s="79"/>
      <c r="J6" s="79"/>
      <c r="K6" s="79"/>
      <c r="L6" s="79"/>
      <c r="M6" s="79"/>
      <c r="N6" s="79"/>
      <c r="O6" s="79"/>
      <c r="P6" s="79"/>
      <c r="Q6" s="79"/>
      <c r="R6" s="79"/>
      <c r="S6" s="79"/>
      <c r="T6" s="79"/>
      <c r="U6" s="79"/>
      <c r="V6" s="79"/>
      <c r="W6" s="79"/>
      <c r="X6" s="79"/>
      <c r="Y6" s="79"/>
      <c r="Z6" s="79"/>
    </row>
    <row r="7" spans="1:26" ht="12.75" customHeight="1">
      <c r="A7" s="73"/>
      <c r="B7" s="74">
        <v>7</v>
      </c>
      <c r="C7" s="77" t="s">
        <v>97</v>
      </c>
      <c r="D7" s="77" t="s">
        <v>97</v>
      </c>
      <c r="E7" s="77" t="s">
        <v>97</v>
      </c>
      <c r="F7" s="77" t="s">
        <v>97</v>
      </c>
      <c r="G7" s="77" t="s">
        <v>97</v>
      </c>
      <c r="H7" s="78"/>
      <c r="I7" s="79"/>
      <c r="J7" s="79"/>
      <c r="K7" s="79"/>
      <c r="L7" s="79"/>
      <c r="M7" s="79"/>
      <c r="N7" s="79"/>
      <c r="O7" s="79"/>
      <c r="P7" s="79"/>
      <c r="Q7" s="79"/>
      <c r="R7" s="79"/>
      <c r="S7" s="79"/>
      <c r="T7" s="79"/>
      <c r="U7" s="79"/>
      <c r="V7" s="79"/>
      <c r="W7" s="79"/>
      <c r="X7" s="79"/>
      <c r="Y7" s="79"/>
      <c r="Z7" s="79"/>
    </row>
    <row r="8" spans="1:26" ht="12.75" customHeight="1">
      <c r="A8" s="73" t="s">
        <v>14</v>
      </c>
      <c r="B8" s="74">
        <v>8</v>
      </c>
      <c r="C8" s="77" t="s">
        <v>154</v>
      </c>
      <c r="D8" s="77" t="s">
        <v>155</v>
      </c>
      <c r="E8" s="77" t="s">
        <v>156</v>
      </c>
      <c r="F8" s="77" t="s">
        <v>157</v>
      </c>
      <c r="G8" s="77" t="s">
        <v>113</v>
      </c>
      <c r="H8" s="78"/>
      <c r="I8" s="79"/>
      <c r="J8" s="79"/>
      <c r="K8" s="79"/>
      <c r="L8" s="79"/>
      <c r="M8" s="79"/>
      <c r="N8" s="79"/>
      <c r="O8" s="79"/>
      <c r="P8" s="79"/>
      <c r="Q8" s="79"/>
      <c r="R8" s="79"/>
      <c r="S8" s="79"/>
      <c r="T8" s="79"/>
      <c r="U8" s="79"/>
      <c r="V8" s="79"/>
      <c r="W8" s="79"/>
      <c r="X8" s="79"/>
      <c r="Y8" s="79"/>
      <c r="Z8" s="79"/>
    </row>
    <row r="9" spans="1:26" ht="12.75" customHeight="1">
      <c r="A9" s="73"/>
      <c r="B9" s="74">
        <v>9</v>
      </c>
      <c r="C9" s="77" t="s">
        <v>97</v>
      </c>
      <c r="D9" s="77" t="s">
        <v>97</v>
      </c>
      <c r="E9" s="77" t="s">
        <v>97</v>
      </c>
      <c r="F9" s="77" t="s">
        <v>97</v>
      </c>
      <c r="G9" s="77" t="s">
        <v>97</v>
      </c>
      <c r="H9" s="78"/>
      <c r="I9" s="79"/>
      <c r="J9" s="79"/>
      <c r="K9" s="79"/>
      <c r="L9" s="79"/>
      <c r="M9" s="79"/>
      <c r="N9" s="79"/>
      <c r="O9" s="79"/>
      <c r="P9" s="79"/>
      <c r="Q9" s="79"/>
      <c r="R9" s="79"/>
      <c r="S9" s="79"/>
      <c r="T9" s="79"/>
      <c r="U9" s="79"/>
      <c r="V9" s="79"/>
      <c r="W9" s="79"/>
      <c r="X9" s="79"/>
      <c r="Y9" s="79"/>
      <c r="Z9" s="79"/>
    </row>
    <row r="10" spans="1:26" ht="12.75" customHeight="1">
      <c r="A10" s="73" t="s">
        <v>17</v>
      </c>
      <c r="B10" s="74">
        <v>10</v>
      </c>
      <c r="C10" s="77" t="s">
        <v>158</v>
      </c>
      <c r="D10" s="77" t="s">
        <v>159</v>
      </c>
      <c r="E10" s="77" t="s">
        <v>97</v>
      </c>
      <c r="F10" s="77" t="s">
        <v>160</v>
      </c>
      <c r="G10" s="77" t="s">
        <v>161</v>
      </c>
      <c r="H10" s="78"/>
      <c r="I10" s="79"/>
      <c r="J10" s="79"/>
      <c r="K10" s="79"/>
      <c r="L10" s="79"/>
      <c r="M10" s="79"/>
      <c r="N10" s="79"/>
      <c r="O10" s="79"/>
      <c r="P10" s="79"/>
      <c r="Q10" s="79"/>
      <c r="R10" s="79"/>
      <c r="S10" s="79"/>
      <c r="T10" s="79"/>
      <c r="U10" s="79"/>
      <c r="V10" s="79"/>
      <c r="W10" s="79"/>
      <c r="X10" s="79"/>
      <c r="Y10" s="79"/>
      <c r="Z10" s="79"/>
    </row>
    <row r="11" spans="1:26" ht="12.75" customHeight="1">
      <c r="A11" s="73"/>
      <c r="B11" s="74">
        <v>11</v>
      </c>
      <c r="C11" s="77" t="s">
        <v>97</v>
      </c>
      <c r="D11" s="77" t="s">
        <v>97</v>
      </c>
      <c r="E11" s="77" t="s">
        <v>97</v>
      </c>
      <c r="F11" s="77" t="s">
        <v>97</v>
      </c>
      <c r="G11" s="77" t="s">
        <v>97</v>
      </c>
      <c r="H11" s="78"/>
      <c r="I11" s="79"/>
      <c r="J11" s="79"/>
      <c r="K11" s="79"/>
      <c r="L11" s="79"/>
      <c r="M11" s="79"/>
      <c r="N11" s="79"/>
      <c r="O11" s="79"/>
      <c r="P11" s="79"/>
      <c r="Q11" s="79"/>
      <c r="R11" s="79"/>
      <c r="S11" s="79"/>
      <c r="T11" s="79"/>
      <c r="U11" s="79"/>
      <c r="V11" s="79"/>
      <c r="W11" s="79"/>
      <c r="X11" s="79"/>
      <c r="Y11" s="79"/>
      <c r="Z11" s="79"/>
    </row>
    <row r="12" spans="1:26" ht="12.75" customHeight="1">
      <c r="A12" s="73" t="s">
        <v>20</v>
      </c>
      <c r="B12" s="74">
        <v>12</v>
      </c>
      <c r="C12" s="77" t="s">
        <v>118</v>
      </c>
      <c r="D12" s="77" t="s">
        <v>162</v>
      </c>
      <c r="E12" s="77" t="s">
        <v>97</v>
      </c>
      <c r="F12" s="77" t="s">
        <v>163</v>
      </c>
      <c r="G12" s="77" t="s">
        <v>164</v>
      </c>
      <c r="H12" s="78"/>
      <c r="I12" s="79"/>
      <c r="J12" s="79"/>
      <c r="K12" s="79"/>
      <c r="L12" s="79"/>
      <c r="M12" s="79"/>
      <c r="N12" s="79"/>
      <c r="O12" s="79"/>
      <c r="P12" s="79"/>
      <c r="Q12" s="79"/>
      <c r="R12" s="79"/>
      <c r="S12" s="79"/>
      <c r="T12" s="79"/>
      <c r="U12" s="79"/>
      <c r="V12" s="79"/>
      <c r="W12" s="79"/>
      <c r="X12" s="79"/>
      <c r="Y12" s="79"/>
      <c r="Z12" s="79"/>
    </row>
    <row r="13" spans="1:26" ht="12.75" customHeight="1">
      <c r="A13" s="73"/>
      <c r="B13" s="74">
        <v>13</v>
      </c>
      <c r="C13" s="77" t="s">
        <v>97</v>
      </c>
      <c r="D13" s="77" t="s">
        <v>97</v>
      </c>
      <c r="E13" s="77" t="s">
        <v>97</v>
      </c>
      <c r="F13" s="77" t="s">
        <v>97</v>
      </c>
      <c r="G13" s="77" t="s">
        <v>97</v>
      </c>
      <c r="H13" s="78"/>
      <c r="I13" s="79"/>
      <c r="J13" s="79"/>
      <c r="K13" s="79"/>
      <c r="L13" s="79"/>
      <c r="M13" s="79"/>
      <c r="N13" s="79"/>
      <c r="O13" s="79"/>
      <c r="P13" s="79"/>
      <c r="Q13" s="79"/>
      <c r="R13" s="79"/>
      <c r="S13" s="79"/>
      <c r="T13" s="79"/>
      <c r="U13" s="79"/>
      <c r="V13" s="79"/>
      <c r="W13" s="79"/>
      <c r="X13" s="79"/>
      <c r="Y13" s="79"/>
      <c r="Z13" s="79"/>
    </row>
    <row r="14" spans="1:26" ht="12.75" customHeight="1">
      <c r="A14" s="73" t="s">
        <v>23</v>
      </c>
      <c r="B14" s="74">
        <v>14</v>
      </c>
      <c r="C14" s="77" t="s">
        <v>165</v>
      </c>
      <c r="D14" s="77" t="s">
        <v>165</v>
      </c>
      <c r="E14" s="77" t="s">
        <v>97</v>
      </c>
      <c r="F14" s="77" t="s">
        <v>114</v>
      </c>
      <c r="G14" s="77" t="s">
        <v>166</v>
      </c>
      <c r="H14" s="78"/>
      <c r="I14" s="79"/>
      <c r="J14" s="79"/>
      <c r="K14" s="79"/>
      <c r="L14" s="79"/>
      <c r="M14" s="79"/>
      <c r="N14" s="79"/>
      <c r="O14" s="79"/>
      <c r="P14" s="79"/>
      <c r="Q14" s="79"/>
      <c r="R14" s="79"/>
      <c r="S14" s="79"/>
      <c r="T14" s="79"/>
      <c r="U14" s="79"/>
      <c r="V14" s="79"/>
      <c r="W14" s="79"/>
      <c r="X14" s="79"/>
      <c r="Y14" s="79"/>
      <c r="Z14" s="79"/>
    </row>
    <row r="15" spans="1:26" ht="12.75" customHeight="1">
      <c r="A15" s="73"/>
      <c r="B15" s="74">
        <v>15</v>
      </c>
      <c r="C15" s="77" t="s">
        <v>97</v>
      </c>
      <c r="D15" s="77" t="s">
        <v>97</v>
      </c>
      <c r="E15" s="77" t="s">
        <v>97</v>
      </c>
      <c r="F15" s="77" t="s">
        <v>97</v>
      </c>
      <c r="G15" s="77" t="s">
        <v>97</v>
      </c>
      <c r="H15" s="78"/>
      <c r="I15" s="79"/>
      <c r="J15" s="79"/>
      <c r="K15" s="79"/>
      <c r="L15" s="79"/>
      <c r="M15" s="79"/>
      <c r="N15" s="79"/>
      <c r="O15" s="79"/>
      <c r="P15" s="79"/>
      <c r="Q15" s="79"/>
      <c r="R15" s="79"/>
      <c r="S15" s="79"/>
      <c r="T15" s="79"/>
      <c r="U15" s="79"/>
      <c r="V15" s="79"/>
      <c r="W15" s="79"/>
      <c r="X15" s="79"/>
      <c r="Y15" s="79"/>
      <c r="Z15" s="79"/>
    </row>
    <row r="16" spans="1:26" ht="12.75" customHeight="1">
      <c r="A16" s="73" t="s">
        <v>26</v>
      </c>
      <c r="B16" s="74">
        <v>16</v>
      </c>
      <c r="C16" s="77" t="s">
        <v>167</v>
      </c>
      <c r="D16" s="77" t="s">
        <v>168</v>
      </c>
      <c r="E16" s="77" t="s">
        <v>97</v>
      </c>
      <c r="F16" s="77" t="s">
        <v>105</v>
      </c>
      <c r="G16" s="77" t="s">
        <v>169</v>
      </c>
      <c r="H16" s="78"/>
      <c r="I16" s="79"/>
      <c r="J16" s="79"/>
      <c r="K16" s="79"/>
      <c r="L16" s="79"/>
      <c r="M16" s="79"/>
      <c r="N16" s="79"/>
      <c r="O16" s="79"/>
      <c r="P16" s="79"/>
      <c r="Q16" s="79"/>
      <c r="R16" s="79"/>
      <c r="S16" s="79"/>
      <c r="T16" s="79"/>
      <c r="U16" s="79"/>
      <c r="V16" s="79"/>
      <c r="W16" s="79"/>
      <c r="X16" s="79"/>
      <c r="Y16" s="79"/>
      <c r="Z16" s="79"/>
    </row>
    <row r="17" spans="1:26" ht="12.75" customHeight="1">
      <c r="A17" s="73"/>
      <c r="B17" s="74">
        <v>17</v>
      </c>
      <c r="C17" s="77" t="s">
        <v>97</v>
      </c>
      <c r="D17" s="77" t="s">
        <v>97</v>
      </c>
      <c r="E17" s="77" t="s">
        <v>97</v>
      </c>
      <c r="F17" s="77" t="s">
        <v>97</v>
      </c>
      <c r="G17" s="77" t="s">
        <v>97</v>
      </c>
      <c r="H17" s="78"/>
      <c r="I17" s="79"/>
      <c r="J17" s="79"/>
      <c r="K17" s="79"/>
      <c r="L17" s="79"/>
      <c r="M17" s="79"/>
      <c r="N17" s="79"/>
      <c r="O17" s="79"/>
      <c r="P17" s="79"/>
      <c r="Q17" s="79"/>
      <c r="R17" s="79"/>
      <c r="S17" s="79"/>
      <c r="T17" s="79"/>
      <c r="U17" s="79"/>
      <c r="V17" s="79"/>
      <c r="W17" s="79"/>
      <c r="X17" s="79"/>
      <c r="Y17" s="79"/>
      <c r="Z17" s="79"/>
    </row>
    <row r="18" spans="1:26" ht="12.75" customHeight="1">
      <c r="A18" s="73" t="s">
        <v>29</v>
      </c>
      <c r="B18" s="74">
        <v>18</v>
      </c>
      <c r="C18" s="77" t="s">
        <v>170</v>
      </c>
      <c r="D18" s="77" t="s">
        <v>171</v>
      </c>
      <c r="E18" s="77" t="s">
        <v>97</v>
      </c>
      <c r="F18" s="77" t="s">
        <v>172</v>
      </c>
      <c r="G18" s="77" t="s">
        <v>173</v>
      </c>
      <c r="H18" s="78"/>
      <c r="I18" s="79"/>
      <c r="J18" s="79"/>
      <c r="K18" s="79"/>
      <c r="L18" s="79"/>
      <c r="M18" s="79"/>
      <c r="N18" s="79"/>
      <c r="O18" s="79"/>
      <c r="P18" s="79"/>
      <c r="Q18" s="79"/>
      <c r="R18" s="79"/>
      <c r="S18" s="79"/>
      <c r="T18" s="79"/>
      <c r="U18" s="79"/>
      <c r="V18" s="79"/>
      <c r="W18" s="79"/>
      <c r="X18" s="79"/>
      <c r="Y18" s="79"/>
      <c r="Z18" s="79"/>
    </row>
    <row r="19" spans="1:26" ht="12.75" customHeight="1">
      <c r="A19" s="73"/>
      <c r="B19" s="74">
        <v>19</v>
      </c>
      <c r="C19" s="77" t="s">
        <v>97</v>
      </c>
      <c r="D19" s="77" t="s">
        <v>97</v>
      </c>
      <c r="E19" s="77" t="s">
        <v>97</v>
      </c>
      <c r="F19" s="77" t="s">
        <v>97</v>
      </c>
      <c r="G19" s="77" t="s">
        <v>97</v>
      </c>
      <c r="H19" s="78"/>
      <c r="I19" s="79"/>
      <c r="J19" s="79"/>
      <c r="K19" s="79"/>
      <c r="L19" s="79"/>
      <c r="M19" s="79"/>
      <c r="N19" s="79"/>
      <c r="O19" s="79"/>
      <c r="P19" s="79"/>
      <c r="Q19" s="79"/>
      <c r="R19" s="79"/>
      <c r="S19" s="79"/>
      <c r="T19" s="79"/>
      <c r="U19" s="79"/>
      <c r="V19" s="79"/>
      <c r="W19" s="79"/>
      <c r="X19" s="79"/>
      <c r="Y19" s="79"/>
      <c r="Z19" s="79"/>
    </row>
    <row r="20" spans="1:26" ht="12.75" customHeight="1">
      <c r="A20" s="73" t="s">
        <v>32</v>
      </c>
      <c r="B20" s="74">
        <v>20</v>
      </c>
      <c r="C20" s="77" t="s">
        <v>174</v>
      </c>
      <c r="D20" s="77" t="s">
        <v>175</v>
      </c>
      <c r="E20" s="77" t="s">
        <v>97</v>
      </c>
      <c r="F20" s="77" t="s">
        <v>176</v>
      </c>
      <c r="G20" s="77" t="s">
        <v>177</v>
      </c>
      <c r="H20" s="78"/>
      <c r="I20" s="79"/>
      <c r="J20" s="79"/>
      <c r="K20" s="79"/>
      <c r="L20" s="79"/>
      <c r="M20" s="79"/>
      <c r="N20" s="79"/>
      <c r="O20" s="79"/>
      <c r="P20" s="79"/>
      <c r="Q20" s="79"/>
      <c r="R20" s="79"/>
      <c r="S20" s="79"/>
      <c r="T20" s="79"/>
      <c r="U20" s="79"/>
      <c r="V20" s="79"/>
      <c r="W20" s="79"/>
      <c r="X20" s="79"/>
      <c r="Y20" s="79"/>
      <c r="Z20" s="79"/>
    </row>
    <row r="21" spans="1:26" ht="12.75" customHeight="1">
      <c r="A21" s="73"/>
      <c r="B21" s="74">
        <v>21</v>
      </c>
      <c r="C21" s="77" t="s">
        <v>97</v>
      </c>
      <c r="D21" s="77" t="s">
        <v>97</v>
      </c>
      <c r="E21" s="77" t="s">
        <v>97</v>
      </c>
      <c r="F21" s="77" t="s">
        <v>97</v>
      </c>
      <c r="G21" s="77" t="s">
        <v>97</v>
      </c>
      <c r="H21" s="78"/>
      <c r="I21" s="79"/>
      <c r="J21" s="79"/>
      <c r="K21" s="79"/>
      <c r="L21" s="79"/>
      <c r="M21" s="79"/>
      <c r="N21" s="79"/>
      <c r="O21" s="79"/>
      <c r="P21" s="79"/>
      <c r="Q21" s="79"/>
      <c r="R21" s="79"/>
      <c r="S21" s="79"/>
      <c r="T21" s="79"/>
      <c r="U21" s="79"/>
      <c r="V21" s="79"/>
      <c r="W21" s="79"/>
      <c r="X21" s="79"/>
      <c r="Y21" s="79"/>
      <c r="Z21" s="79"/>
    </row>
    <row r="22" spans="1:26" ht="12.75" customHeight="1">
      <c r="A22" s="73" t="s">
        <v>35</v>
      </c>
      <c r="B22" s="74">
        <v>22</v>
      </c>
      <c r="C22" s="77" t="s">
        <v>178</v>
      </c>
      <c r="D22" s="77" t="s">
        <v>179</v>
      </c>
      <c r="E22" s="77" t="s">
        <v>97</v>
      </c>
      <c r="F22" s="77" t="s">
        <v>180</v>
      </c>
      <c r="G22" s="77" t="s">
        <v>181</v>
      </c>
      <c r="H22" s="78"/>
      <c r="I22" s="79"/>
      <c r="J22" s="79"/>
      <c r="K22" s="79"/>
      <c r="L22" s="79"/>
      <c r="M22" s="79"/>
      <c r="N22" s="79"/>
      <c r="O22" s="79"/>
      <c r="P22" s="79"/>
      <c r="Q22" s="79"/>
      <c r="R22" s="79"/>
      <c r="S22" s="79"/>
      <c r="T22" s="79"/>
      <c r="U22" s="79"/>
      <c r="V22" s="79"/>
      <c r="W22" s="79"/>
      <c r="X22" s="79"/>
      <c r="Y22" s="79"/>
      <c r="Z22" s="79"/>
    </row>
    <row r="23" spans="1:26" ht="12.75" customHeight="1">
      <c r="A23" s="73"/>
      <c r="B23" s="74">
        <v>23</v>
      </c>
      <c r="C23" s="77" t="s">
        <v>97</v>
      </c>
      <c r="D23" s="77" t="s">
        <v>97</v>
      </c>
      <c r="E23" s="77" t="s">
        <v>97</v>
      </c>
      <c r="F23" s="77" t="s">
        <v>97</v>
      </c>
      <c r="G23" s="77" t="s">
        <v>97</v>
      </c>
      <c r="H23" s="78"/>
      <c r="I23" s="79"/>
      <c r="J23" s="79"/>
      <c r="K23" s="79"/>
      <c r="L23" s="79"/>
      <c r="M23" s="79"/>
      <c r="N23" s="79"/>
      <c r="O23" s="79"/>
      <c r="P23" s="79"/>
      <c r="Q23" s="79"/>
      <c r="R23" s="79"/>
      <c r="S23" s="79"/>
      <c r="T23" s="79"/>
      <c r="U23" s="79"/>
      <c r="V23" s="79"/>
      <c r="W23" s="79"/>
      <c r="X23" s="79"/>
      <c r="Y23" s="79"/>
      <c r="Z23" s="79"/>
    </row>
    <row r="24" spans="1:26" ht="12.75" customHeight="1">
      <c r="A24" s="73" t="s">
        <v>38</v>
      </c>
      <c r="B24" s="74">
        <v>24</v>
      </c>
      <c r="C24" s="77" t="s">
        <v>182</v>
      </c>
      <c r="D24" s="77" t="s">
        <v>183</v>
      </c>
      <c r="E24" s="77" t="s">
        <v>106</v>
      </c>
      <c r="F24" s="77" t="s">
        <v>184</v>
      </c>
      <c r="G24" s="77" t="s">
        <v>185</v>
      </c>
      <c r="H24" s="78"/>
      <c r="I24" s="79"/>
      <c r="J24" s="79"/>
      <c r="K24" s="79"/>
      <c r="L24" s="79"/>
      <c r="M24" s="79"/>
      <c r="N24" s="79"/>
      <c r="O24" s="79"/>
      <c r="P24" s="79"/>
      <c r="Q24" s="79"/>
      <c r="R24" s="79"/>
      <c r="S24" s="79"/>
      <c r="T24" s="79"/>
      <c r="U24" s="79"/>
      <c r="V24" s="79"/>
      <c r="W24" s="79"/>
      <c r="X24" s="79"/>
      <c r="Y24" s="79"/>
      <c r="Z24" s="79"/>
    </row>
    <row r="25" spans="1:26" ht="12.75" customHeight="1">
      <c r="A25" s="73"/>
      <c r="B25" s="74">
        <v>25</v>
      </c>
      <c r="C25" s="77" t="s">
        <v>97</v>
      </c>
      <c r="D25" s="77" t="s">
        <v>97</v>
      </c>
      <c r="E25" s="77" t="s">
        <v>97</v>
      </c>
      <c r="F25" s="77" t="s">
        <v>97</v>
      </c>
      <c r="G25" s="77" t="s">
        <v>97</v>
      </c>
      <c r="H25" s="78"/>
      <c r="I25" s="79"/>
      <c r="J25" s="79"/>
      <c r="K25" s="79"/>
      <c r="L25" s="79"/>
      <c r="M25" s="79"/>
      <c r="N25" s="79"/>
      <c r="O25" s="79"/>
      <c r="P25" s="79"/>
      <c r="Q25" s="79"/>
      <c r="R25" s="79"/>
      <c r="S25" s="79"/>
      <c r="T25" s="79"/>
      <c r="U25" s="79"/>
      <c r="V25" s="79"/>
      <c r="W25" s="79"/>
      <c r="X25" s="79"/>
      <c r="Y25" s="79"/>
      <c r="Z25" s="79"/>
    </row>
    <row r="26" spans="1:26" ht="12.75" customHeight="1">
      <c r="A26" s="73" t="s">
        <v>41</v>
      </c>
      <c r="B26" s="74">
        <v>26</v>
      </c>
      <c r="C26" s="77" t="s">
        <v>186</v>
      </c>
      <c r="D26" s="77" t="s">
        <v>187</v>
      </c>
      <c r="E26" s="77" t="s">
        <v>97</v>
      </c>
      <c r="F26" s="77" t="s">
        <v>101</v>
      </c>
      <c r="G26" s="77" t="s">
        <v>188</v>
      </c>
      <c r="H26" s="78"/>
      <c r="I26" s="79"/>
      <c r="J26" s="79"/>
      <c r="K26" s="79"/>
      <c r="L26" s="79"/>
      <c r="M26" s="79"/>
      <c r="N26" s="79"/>
      <c r="O26" s="79"/>
      <c r="P26" s="79"/>
      <c r="Q26" s="79"/>
      <c r="R26" s="79"/>
      <c r="S26" s="79"/>
      <c r="T26" s="79"/>
      <c r="U26" s="79"/>
      <c r="V26" s="79"/>
      <c r="W26" s="79"/>
      <c r="X26" s="79"/>
      <c r="Y26" s="79"/>
      <c r="Z26" s="79"/>
    </row>
    <row r="27" spans="1:26" ht="12.75" customHeight="1">
      <c r="A27" s="73"/>
      <c r="B27" s="74">
        <v>27</v>
      </c>
      <c r="C27" s="77" t="s">
        <v>97</v>
      </c>
      <c r="D27" s="77" t="s">
        <v>97</v>
      </c>
      <c r="E27" s="77" t="s">
        <v>97</v>
      </c>
      <c r="F27" s="77" t="s">
        <v>97</v>
      </c>
      <c r="G27" s="77" t="s">
        <v>97</v>
      </c>
      <c r="H27" s="78"/>
      <c r="I27" s="79"/>
      <c r="J27" s="79"/>
      <c r="K27" s="79"/>
      <c r="L27" s="79"/>
      <c r="M27" s="79"/>
      <c r="N27" s="79"/>
      <c r="O27" s="79"/>
      <c r="P27" s="79"/>
      <c r="Q27" s="79"/>
      <c r="R27" s="79"/>
      <c r="S27" s="79"/>
      <c r="T27" s="79"/>
      <c r="U27" s="79"/>
      <c r="V27" s="79"/>
      <c r="W27" s="79"/>
      <c r="X27" s="79"/>
      <c r="Y27" s="79"/>
      <c r="Z27" s="79"/>
    </row>
    <row r="28" spans="1:26" ht="12.75" customHeight="1">
      <c r="A28" s="73" t="s">
        <v>44</v>
      </c>
      <c r="B28" s="74">
        <v>28</v>
      </c>
      <c r="C28" s="77" t="s">
        <v>189</v>
      </c>
      <c r="D28" s="77" t="s">
        <v>190</v>
      </c>
      <c r="E28" s="77" t="s">
        <v>97</v>
      </c>
      <c r="F28" s="77" t="s">
        <v>191</v>
      </c>
      <c r="G28" s="77" t="s">
        <v>115</v>
      </c>
      <c r="H28" s="78"/>
      <c r="I28" s="79"/>
      <c r="J28" s="79"/>
      <c r="K28" s="79"/>
      <c r="L28" s="79"/>
      <c r="M28" s="79"/>
      <c r="N28" s="79"/>
      <c r="O28" s="79"/>
      <c r="P28" s="79"/>
      <c r="Q28" s="79"/>
      <c r="R28" s="79"/>
      <c r="S28" s="79"/>
      <c r="T28" s="79"/>
      <c r="U28" s="79"/>
      <c r="V28" s="79"/>
      <c r="W28" s="79"/>
      <c r="X28" s="79"/>
      <c r="Y28" s="79"/>
      <c r="Z28" s="79"/>
    </row>
    <row r="29" spans="1:26" ht="12.75" customHeight="1">
      <c r="A29" s="73"/>
      <c r="B29" s="74">
        <v>29</v>
      </c>
      <c r="C29" s="77" t="s">
        <v>97</v>
      </c>
      <c r="D29" s="77" t="s">
        <v>97</v>
      </c>
      <c r="E29" s="77" t="s">
        <v>97</v>
      </c>
      <c r="F29" s="77" t="s">
        <v>97</v>
      </c>
      <c r="G29" s="77" t="s">
        <v>97</v>
      </c>
      <c r="H29" s="78"/>
      <c r="I29" s="79"/>
      <c r="J29" s="79"/>
      <c r="K29" s="79"/>
      <c r="L29" s="79"/>
      <c r="M29" s="79"/>
      <c r="N29" s="79"/>
      <c r="O29" s="79"/>
      <c r="P29" s="79"/>
      <c r="Q29" s="79"/>
      <c r="R29" s="79"/>
      <c r="S29" s="79"/>
      <c r="T29" s="79"/>
      <c r="U29" s="79"/>
      <c r="V29" s="79"/>
      <c r="W29" s="79"/>
      <c r="X29" s="79"/>
      <c r="Y29" s="79"/>
      <c r="Z29" s="79"/>
    </row>
    <row r="30" spans="1:26" ht="12.75" customHeight="1">
      <c r="A30" s="73" t="s">
        <v>47</v>
      </c>
      <c r="B30" s="74">
        <v>30</v>
      </c>
      <c r="C30" s="77" t="s">
        <v>192</v>
      </c>
      <c r="D30" s="77" t="s">
        <v>116</v>
      </c>
      <c r="E30" s="77" t="s">
        <v>97</v>
      </c>
      <c r="F30" s="77" t="s">
        <v>193</v>
      </c>
      <c r="G30" s="77" t="s">
        <v>194</v>
      </c>
      <c r="H30" s="78"/>
      <c r="I30" s="79"/>
      <c r="J30" s="79"/>
      <c r="K30" s="79"/>
      <c r="L30" s="79"/>
      <c r="M30" s="79"/>
      <c r="N30" s="79"/>
      <c r="O30" s="79"/>
      <c r="P30" s="79"/>
      <c r="Q30" s="79"/>
      <c r="R30" s="79"/>
      <c r="S30" s="79"/>
      <c r="T30" s="79"/>
      <c r="U30" s="79"/>
      <c r="V30" s="79"/>
      <c r="W30" s="79"/>
      <c r="X30" s="79"/>
      <c r="Y30" s="79"/>
      <c r="Z30" s="79"/>
    </row>
    <row r="31" spans="1:26" ht="12.75" customHeight="1">
      <c r="A31" s="73"/>
      <c r="B31" s="74">
        <v>31</v>
      </c>
      <c r="C31" s="77" t="s">
        <v>97</v>
      </c>
      <c r="D31" s="77" t="s">
        <v>97</v>
      </c>
      <c r="E31" s="77" t="s">
        <v>97</v>
      </c>
      <c r="F31" s="77" t="s">
        <v>97</v>
      </c>
      <c r="G31" s="77" t="s">
        <v>97</v>
      </c>
      <c r="H31" s="78"/>
      <c r="I31" s="79"/>
      <c r="J31" s="79"/>
      <c r="K31" s="79"/>
      <c r="L31" s="79"/>
      <c r="M31" s="79"/>
      <c r="N31" s="79"/>
      <c r="O31" s="79"/>
      <c r="P31" s="79"/>
      <c r="Q31" s="79"/>
      <c r="R31" s="79"/>
      <c r="S31" s="79"/>
      <c r="T31" s="79"/>
      <c r="U31" s="79"/>
      <c r="V31" s="79"/>
      <c r="W31" s="79"/>
      <c r="X31" s="79"/>
      <c r="Y31" s="79"/>
      <c r="Z31" s="79"/>
    </row>
    <row r="32" spans="1:26" ht="12.75" customHeight="1">
      <c r="A32" s="73" t="s">
        <v>50</v>
      </c>
      <c r="B32" s="74">
        <v>32</v>
      </c>
      <c r="C32" s="77" t="s">
        <v>195</v>
      </c>
      <c r="D32" s="77" t="s">
        <v>196</v>
      </c>
      <c r="E32" s="77" t="s">
        <v>97</v>
      </c>
      <c r="F32" s="77" t="s">
        <v>107</v>
      </c>
      <c r="G32" s="77" t="s">
        <v>197</v>
      </c>
      <c r="H32" s="78"/>
      <c r="I32" s="79"/>
      <c r="J32" s="79"/>
      <c r="K32" s="79"/>
      <c r="L32" s="79"/>
      <c r="M32" s="79"/>
      <c r="N32" s="79"/>
      <c r="O32" s="79"/>
      <c r="P32" s="79"/>
      <c r="Q32" s="79"/>
      <c r="R32" s="79"/>
      <c r="S32" s="79"/>
      <c r="T32" s="79"/>
      <c r="U32" s="79"/>
      <c r="V32" s="79"/>
      <c r="W32" s="79"/>
      <c r="X32" s="79"/>
      <c r="Y32" s="79"/>
      <c r="Z32" s="79"/>
    </row>
    <row r="33" spans="1:26" ht="12.75" customHeight="1">
      <c r="A33" s="73"/>
      <c r="B33" s="74">
        <v>33</v>
      </c>
      <c r="C33" s="80" t="s">
        <v>97</v>
      </c>
      <c r="D33" s="79" t="s">
        <v>97</v>
      </c>
      <c r="E33" s="77" t="s">
        <v>97</v>
      </c>
      <c r="F33" s="77" t="s">
        <v>97</v>
      </c>
      <c r="G33" s="81" t="s">
        <v>97</v>
      </c>
      <c r="H33" s="78"/>
      <c r="I33" s="79"/>
      <c r="J33" s="79"/>
      <c r="K33" s="79"/>
      <c r="L33" s="79"/>
      <c r="M33" s="79"/>
      <c r="N33" s="79"/>
      <c r="O33" s="79"/>
      <c r="P33" s="79"/>
      <c r="Q33" s="79"/>
      <c r="R33" s="79"/>
      <c r="S33" s="79"/>
      <c r="T33" s="79"/>
      <c r="U33" s="79"/>
      <c r="V33" s="79"/>
      <c r="W33" s="79"/>
      <c r="X33" s="79"/>
      <c r="Y33" s="79"/>
      <c r="Z33" s="79"/>
    </row>
    <row r="34" spans="1:26" ht="12.75" customHeight="1">
      <c r="A34" s="73" t="s">
        <v>198</v>
      </c>
      <c r="B34" s="74">
        <v>34</v>
      </c>
      <c r="C34" s="82" t="s">
        <v>199</v>
      </c>
      <c r="D34" s="82" t="s">
        <v>199</v>
      </c>
      <c r="E34" s="82" t="s">
        <v>97</v>
      </c>
      <c r="F34" s="82" t="s">
        <v>200</v>
      </c>
      <c r="G34" s="82" t="s">
        <v>201</v>
      </c>
      <c r="H34" s="78"/>
      <c r="I34" s="79"/>
      <c r="J34" s="79"/>
      <c r="K34" s="79"/>
      <c r="L34" s="79"/>
      <c r="M34" s="79"/>
      <c r="N34" s="79"/>
      <c r="O34" s="79"/>
      <c r="P34" s="79"/>
      <c r="Q34" s="79"/>
      <c r="R34" s="79"/>
      <c r="S34" s="79"/>
      <c r="T34" s="79"/>
      <c r="U34" s="79"/>
      <c r="V34" s="79"/>
      <c r="W34" s="79"/>
      <c r="X34" s="79"/>
      <c r="Y34" s="79"/>
      <c r="Z34" s="79"/>
    </row>
    <row r="35" spans="1:26" ht="12.75" customHeight="1">
      <c r="A35" s="73" t="s">
        <v>202</v>
      </c>
      <c r="B35" s="74">
        <v>35</v>
      </c>
      <c r="C35" s="82" t="s">
        <v>203</v>
      </c>
      <c r="D35" s="82" t="s">
        <v>204</v>
      </c>
      <c r="E35" s="82" t="s">
        <v>111</v>
      </c>
      <c r="F35" s="82" t="s">
        <v>205</v>
      </c>
      <c r="G35" s="82" t="s">
        <v>206</v>
      </c>
      <c r="H35" s="78"/>
      <c r="I35" s="79"/>
      <c r="J35" s="79"/>
      <c r="K35" s="79"/>
      <c r="L35" s="79"/>
      <c r="M35" s="79"/>
      <c r="N35" s="79"/>
      <c r="O35" s="79"/>
      <c r="P35" s="79"/>
      <c r="Q35" s="79"/>
      <c r="R35" s="79"/>
      <c r="S35" s="79"/>
      <c r="T35" s="79"/>
      <c r="U35" s="79"/>
      <c r="V35" s="79"/>
      <c r="W35" s="79"/>
      <c r="X35" s="79"/>
      <c r="Y35" s="79"/>
      <c r="Z35" s="79"/>
    </row>
    <row r="36" spans="1:26" ht="12.75" customHeight="1">
      <c r="A36" s="73" t="s">
        <v>207</v>
      </c>
      <c r="B36" s="74">
        <v>36</v>
      </c>
      <c r="C36" s="82" t="s">
        <v>112</v>
      </c>
      <c r="D36" s="82" t="s">
        <v>208</v>
      </c>
      <c r="E36" s="82" t="s">
        <v>97</v>
      </c>
      <c r="F36" s="82" t="s">
        <v>209</v>
      </c>
      <c r="G36" s="82" t="s">
        <v>210</v>
      </c>
      <c r="H36" s="78"/>
      <c r="I36" s="79"/>
      <c r="J36" s="79"/>
      <c r="K36" s="79"/>
      <c r="L36" s="79"/>
      <c r="M36" s="79"/>
      <c r="N36" s="79"/>
      <c r="O36" s="79"/>
      <c r="P36" s="79"/>
      <c r="Q36" s="79"/>
      <c r="R36" s="79"/>
      <c r="S36" s="79"/>
      <c r="T36" s="79"/>
      <c r="U36" s="79"/>
      <c r="V36" s="79"/>
      <c r="W36" s="79"/>
      <c r="X36" s="79"/>
      <c r="Y36" s="79"/>
      <c r="Z36" s="79"/>
    </row>
    <row r="37" spans="1:26" ht="12.75" customHeight="1">
      <c r="A37" s="73" t="s">
        <v>211</v>
      </c>
      <c r="B37" s="74">
        <v>37</v>
      </c>
      <c r="C37" s="82" t="s">
        <v>212</v>
      </c>
      <c r="D37" s="82" t="s">
        <v>213</v>
      </c>
      <c r="E37" s="82" t="s">
        <v>97</v>
      </c>
      <c r="F37" s="82" t="s">
        <v>214</v>
      </c>
      <c r="G37" s="82" t="s">
        <v>215</v>
      </c>
      <c r="H37" s="78"/>
      <c r="I37" s="79"/>
      <c r="J37" s="79"/>
      <c r="K37" s="79"/>
      <c r="L37" s="79"/>
      <c r="M37" s="79"/>
      <c r="N37" s="79"/>
      <c r="O37" s="79"/>
      <c r="P37" s="79"/>
      <c r="Q37" s="79"/>
      <c r="R37" s="79"/>
      <c r="S37" s="79"/>
      <c r="T37" s="79"/>
      <c r="U37" s="79"/>
      <c r="V37" s="79"/>
      <c r="W37" s="79"/>
      <c r="X37" s="79"/>
      <c r="Y37" s="79"/>
      <c r="Z37" s="79"/>
    </row>
    <row r="38" spans="1:26" ht="12.75" customHeight="1">
      <c r="A38" s="73" t="s">
        <v>216</v>
      </c>
      <c r="B38" s="74">
        <v>38</v>
      </c>
      <c r="C38" s="82" t="s">
        <v>217</v>
      </c>
      <c r="D38" s="82" t="s">
        <v>218</v>
      </c>
      <c r="E38" s="82" t="s">
        <v>103</v>
      </c>
      <c r="F38" s="82" t="s">
        <v>219</v>
      </c>
      <c r="G38" s="82" t="s">
        <v>220</v>
      </c>
      <c r="H38" s="78"/>
      <c r="I38" s="79"/>
      <c r="J38" s="79"/>
      <c r="K38" s="79"/>
      <c r="L38" s="79"/>
      <c r="M38" s="79"/>
      <c r="N38" s="79"/>
      <c r="O38" s="79"/>
      <c r="P38" s="79"/>
      <c r="Q38" s="79"/>
      <c r="R38" s="79"/>
      <c r="S38" s="79"/>
      <c r="T38" s="79"/>
      <c r="U38" s="79"/>
      <c r="V38" s="79"/>
      <c r="W38" s="79"/>
      <c r="X38" s="79"/>
      <c r="Y38" s="79"/>
      <c r="Z38" s="79"/>
    </row>
    <row r="39" spans="1:26" ht="12.75" customHeight="1">
      <c r="A39" s="73" t="s">
        <v>221</v>
      </c>
      <c r="B39" s="74">
        <v>39</v>
      </c>
      <c r="C39" s="82" t="s">
        <v>97</v>
      </c>
      <c r="D39" s="82" t="s">
        <v>97</v>
      </c>
      <c r="E39" s="82" t="s">
        <v>97</v>
      </c>
      <c r="F39" s="82" t="s">
        <v>108</v>
      </c>
      <c r="G39" s="82" t="s">
        <v>222</v>
      </c>
      <c r="H39" s="78"/>
      <c r="I39" s="79"/>
      <c r="J39" s="79"/>
      <c r="K39" s="79"/>
      <c r="L39" s="79"/>
      <c r="M39" s="79"/>
      <c r="N39" s="79"/>
      <c r="O39" s="79"/>
      <c r="P39" s="79"/>
      <c r="Q39" s="79"/>
      <c r="R39" s="79"/>
      <c r="S39" s="79"/>
      <c r="T39" s="79"/>
      <c r="U39" s="79"/>
      <c r="V39" s="79"/>
      <c r="W39" s="79"/>
      <c r="X39" s="79"/>
      <c r="Y39" s="79"/>
      <c r="Z39" s="79"/>
    </row>
    <row r="40" spans="1:26" ht="12.75" customHeight="1">
      <c r="A40" s="73" t="s">
        <v>223</v>
      </c>
      <c r="B40" s="74">
        <v>40</v>
      </c>
      <c r="C40" s="82" t="s">
        <v>224</v>
      </c>
      <c r="D40" s="82" t="s">
        <v>110</v>
      </c>
      <c r="E40" s="82" t="s">
        <v>97</v>
      </c>
      <c r="F40" s="82" t="s">
        <v>225</v>
      </c>
      <c r="G40" s="82" t="s">
        <v>226</v>
      </c>
      <c r="H40" s="78"/>
      <c r="I40" s="79"/>
      <c r="J40" s="79"/>
      <c r="K40" s="79"/>
      <c r="L40" s="79"/>
      <c r="M40" s="79"/>
      <c r="N40" s="79"/>
      <c r="O40" s="79"/>
      <c r="P40" s="79"/>
      <c r="Q40" s="79"/>
      <c r="R40" s="79"/>
      <c r="S40" s="79"/>
      <c r="T40" s="79"/>
      <c r="U40" s="79"/>
      <c r="V40" s="79"/>
      <c r="W40" s="79"/>
      <c r="X40" s="79"/>
      <c r="Y40" s="79"/>
      <c r="Z40" s="79"/>
    </row>
    <row r="41" spans="1:26" ht="12.75" customHeight="1">
      <c r="A41" s="73"/>
      <c r="B41" s="74">
        <v>41</v>
      </c>
      <c r="C41" s="83" t="s">
        <v>97</v>
      </c>
      <c r="D41" s="83" t="s">
        <v>97</v>
      </c>
      <c r="E41" s="83" t="s">
        <v>97</v>
      </c>
      <c r="F41" s="83" t="s">
        <v>97</v>
      </c>
      <c r="G41" s="83" t="s">
        <v>97</v>
      </c>
      <c r="H41" s="78"/>
      <c r="I41" s="79"/>
      <c r="J41" s="79"/>
      <c r="K41" s="79"/>
      <c r="L41" s="79"/>
      <c r="M41" s="79"/>
      <c r="N41" s="79"/>
      <c r="O41" s="79"/>
      <c r="P41" s="79"/>
      <c r="Q41" s="79"/>
      <c r="R41" s="79"/>
      <c r="S41" s="79"/>
      <c r="T41" s="79"/>
      <c r="U41" s="79"/>
      <c r="V41" s="79"/>
      <c r="W41" s="79"/>
      <c r="X41" s="79"/>
      <c r="Y41" s="79"/>
      <c r="Z41" s="79"/>
    </row>
    <row r="42" spans="1:26" ht="12.75" customHeight="1">
      <c r="A42" s="73" t="s">
        <v>38</v>
      </c>
      <c r="B42" s="74">
        <v>42</v>
      </c>
      <c r="C42" s="82" t="s">
        <v>227</v>
      </c>
      <c r="D42" s="82" t="s">
        <v>228</v>
      </c>
      <c r="E42" s="82" t="s">
        <v>97</v>
      </c>
      <c r="F42" s="82" t="s">
        <v>229</v>
      </c>
      <c r="G42" s="82" t="s">
        <v>230</v>
      </c>
      <c r="H42" s="78"/>
      <c r="I42" s="79"/>
      <c r="J42" s="79"/>
      <c r="K42" s="79"/>
      <c r="L42" s="79"/>
      <c r="M42" s="79"/>
      <c r="N42" s="79"/>
      <c r="O42" s="79"/>
      <c r="P42" s="79"/>
      <c r="Q42" s="79"/>
      <c r="R42" s="79"/>
      <c r="S42" s="79"/>
      <c r="T42" s="79"/>
      <c r="U42" s="79"/>
      <c r="V42" s="79"/>
      <c r="W42" s="79"/>
      <c r="X42" s="79"/>
      <c r="Y42" s="79"/>
      <c r="Z42" s="79"/>
    </row>
    <row r="43" spans="1:26" ht="12.75" customHeight="1">
      <c r="A43" s="73" t="s">
        <v>8</v>
      </c>
      <c r="B43" s="74">
        <v>43</v>
      </c>
      <c r="C43" s="82" t="s">
        <v>120</v>
      </c>
      <c r="D43" s="82" t="s">
        <v>231</v>
      </c>
      <c r="E43" s="82" t="s">
        <v>97</v>
      </c>
      <c r="F43" s="82" t="s">
        <v>232</v>
      </c>
      <c r="G43" s="82" t="s">
        <v>233</v>
      </c>
      <c r="H43" s="78"/>
      <c r="I43" s="79"/>
      <c r="J43" s="79"/>
      <c r="K43" s="79"/>
      <c r="L43" s="79"/>
      <c r="M43" s="79"/>
      <c r="N43" s="79"/>
      <c r="O43" s="79"/>
      <c r="P43" s="79"/>
      <c r="Q43" s="79"/>
      <c r="R43" s="79"/>
      <c r="S43" s="79"/>
      <c r="T43" s="79"/>
      <c r="U43" s="79"/>
      <c r="V43" s="79"/>
      <c r="W43" s="79"/>
      <c r="X43" s="79"/>
      <c r="Y43" s="79"/>
      <c r="Z43" s="79"/>
    </row>
    <row r="44" spans="1:26" ht="12.75" customHeight="1">
      <c r="A44" s="73" t="s">
        <v>23</v>
      </c>
      <c r="B44" s="74">
        <v>44</v>
      </c>
      <c r="C44" s="82" t="s">
        <v>234</v>
      </c>
      <c r="D44" s="82" t="s">
        <v>235</v>
      </c>
      <c r="E44" s="82" t="s">
        <v>97</v>
      </c>
      <c r="F44" s="82" t="s">
        <v>100</v>
      </c>
      <c r="G44" s="82" t="s">
        <v>236</v>
      </c>
      <c r="H44" s="78"/>
      <c r="I44" s="79"/>
      <c r="J44" s="79"/>
      <c r="K44" s="79"/>
      <c r="L44" s="79"/>
      <c r="M44" s="79"/>
      <c r="N44" s="79"/>
      <c r="O44" s="79"/>
      <c r="P44" s="79"/>
      <c r="Q44" s="79"/>
      <c r="R44" s="79"/>
      <c r="S44" s="79"/>
      <c r="T44" s="79"/>
      <c r="U44" s="79"/>
      <c r="V44" s="79"/>
      <c r="W44" s="79"/>
      <c r="X44" s="79"/>
      <c r="Y44" s="79"/>
      <c r="Z44" s="79"/>
    </row>
    <row r="45" spans="1:26" ht="12.75" customHeight="1">
      <c r="A45" s="73" t="s">
        <v>11</v>
      </c>
      <c r="B45" s="74">
        <v>45</v>
      </c>
      <c r="C45" s="82" t="s">
        <v>237</v>
      </c>
      <c r="D45" s="82" t="s">
        <v>119</v>
      </c>
      <c r="E45" s="84" t="s">
        <v>97</v>
      </c>
      <c r="F45" s="82" t="s">
        <v>238</v>
      </c>
      <c r="G45" s="82" t="s">
        <v>239</v>
      </c>
      <c r="H45" s="85"/>
      <c r="I45" s="79"/>
      <c r="J45" s="79"/>
      <c r="K45" s="79"/>
      <c r="L45" s="79"/>
      <c r="M45" s="79"/>
      <c r="N45" s="79"/>
      <c r="O45" s="79"/>
      <c r="P45" s="79"/>
      <c r="Q45" s="79"/>
      <c r="R45" s="79"/>
      <c r="S45" s="79"/>
      <c r="T45" s="79"/>
      <c r="U45" s="79"/>
      <c r="V45" s="79"/>
      <c r="W45" s="79"/>
      <c r="X45" s="79"/>
      <c r="Y45" s="79"/>
      <c r="Z45" s="79"/>
    </row>
    <row r="46" spans="1:26" ht="12.75" customHeight="1">
      <c r="A46" s="73" t="s">
        <v>240</v>
      </c>
      <c r="B46" s="74">
        <v>46</v>
      </c>
      <c r="C46" s="86" t="s">
        <v>97</v>
      </c>
      <c r="D46" s="86" t="s">
        <v>97</v>
      </c>
      <c r="E46" s="86" t="s">
        <v>97</v>
      </c>
      <c r="F46" s="87" t="s">
        <v>97</v>
      </c>
      <c r="G46" s="87" t="s">
        <v>97</v>
      </c>
      <c r="H46" s="79"/>
      <c r="I46" s="79"/>
      <c r="J46" s="79"/>
      <c r="K46" s="79"/>
      <c r="L46" s="79"/>
      <c r="M46" s="79"/>
      <c r="N46" s="79"/>
      <c r="O46" s="79"/>
      <c r="P46" s="79"/>
      <c r="Q46" s="79"/>
      <c r="R46" s="79"/>
      <c r="S46" s="79"/>
      <c r="T46" s="79"/>
      <c r="U46" s="79"/>
      <c r="V46" s="79"/>
      <c r="W46" s="79"/>
      <c r="X46" s="79"/>
      <c r="Y46" s="79"/>
      <c r="Z46" s="79"/>
    </row>
    <row r="47" spans="1:26" ht="12.75" customHeight="1">
      <c r="A47" s="73" t="s">
        <v>241</v>
      </c>
      <c r="B47" s="74">
        <v>47</v>
      </c>
      <c r="C47" s="86" t="s">
        <v>97</v>
      </c>
      <c r="D47" s="86" t="s">
        <v>97</v>
      </c>
      <c r="E47" s="88" t="s">
        <v>97</v>
      </c>
      <c r="F47" s="87" t="s">
        <v>97</v>
      </c>
      <c r="G47" s="87" t="s">
        <v>97</v>
      </c>
      <c r="H47" s="79"/>
      <c r="I47" s="79"/>
      <c r="J47" s="79"/>
      <c r="K47" s="79"/>
      <c r="L47" s="79"/>
      <c r="M47" s="79"/>
      <c r="N47" s="79"/>
      <c r="O47" s="79"/>
      <c r="P47" s="79"/>
      <c r="Q47" s="79"/>
      <c r="R47" s="79"/>
      <c r="S47" s="79"/>
      <c r="T47" s="79"/>
      <c r="U47" s="79"/>
      <c r="V47" s="79"/>
      <c r="W47" s="79"/>
      <c r="X47" s="79"/>
      <c r="Y47" s="79"/>
      <c r="Z47" s="79"/>
    </row>
    <row r="48" spans="1:26" ht="12.75" customHeight="1">
      <c r="A48" s="73" t="s">
        <v>242</v>
      </c>
      <c r="B48" s="74">
        <v>48</v>
      </c>
      <c r="C48" s="88" t="s">
        <v>121</v>
      </c>
      <c r="D48" s="88" t="s">
        <v>243</v>
      </c>
      <c r="E48" s="88" t="s">
        <v>97</v>
      </c>
      <c r="F48" s="87"/>
      <c r="G48" s="87"/>
      <c r="H48" s="79"/>
      <c r="I48" s="79"/>
      <c r="J48" s="79"/>
      <c r="K48" s="79"/>
      <c r="L48" s="79"/>
      <c r="M48" s="79"/>
      <c r="N48" s="79"/>
      <c r="O48" s="79"/>
      <c r="P48" s="79"/>
      <c r="Q48" s="79"/>
      <c r="R48" s="79"/>
      <c r="S48" s="79"/>
      <c r="T48" s="79"/>
      <c r="U48" s="79"/>
      <c r="V48" s="79"/>
      <c r="W48" s="79"/>
      <c r="X48" s="79"/>
      <c r="Y48" s="79"/>
      <c r="Z48" s="79"/>
    </row>
    <row r="49" spans="1:26" ht="12.75" customHeight="1">
      <c r="A49" s="73"/>
      <c r="B49" s="74">
        <v>49</v>
      </c>
      <c r="C49" s="89" t="s">
        <v>97</v>
      </c>
      <c r="D49" s="89" t="s">
        <v>97</v>
      </c>
      <c r="E49" s="89" t="s">
        <v>97</v>
      </c>
      <c r="F49" s="89" t="s">
        <v>97</v>
      </c>
      <c r="G49" s="89" t="s">
        <v>97</v>
      </c>
      <c r="H49" s="79"/>
      <c r="I49" s="79"/>
      <c r="J49" s="79"/>
      <c r="K49" s="79"/>
      <c r="L49" s="79"/>
      <c r="M49" s="79"/>
      <c r="N49" s="79"/>
      <c r="O49" s="79"/>
      <c r="P49" s="79"/>
      <c r="Q49" s="79"/>
      <c r="R49" s="79"/>
      <c r="S49" s="79"/>
      <c r="T49" s="79"/>
      <c r="U49" s="79"/>
      <c r="V49" s="79"/>
      <c r="W49" s="79"/>
      <c r="X49" s="79"/>
      <c r="Y49" s="79"/>
      <c r="Z49" s="79"/>
    </row>
    <row r="50" spans="1:26" ht="12.75" customHeight="1">
      <c r="A50" s="73"/>
      <c r="B50" s="74">
        <v>50</v>
      </c>
      <c r="C50" s="89" t="s">
        <v>97</v>
      </c>
      <c r="D50" s="89" t="s">
        <v>97</v>
      </c>
      <c r="E50" s="89" t="s">
        <v>97</v>
      </c>
      <c r="F50" s="89" t="s">
        <v>97</v>
      </c>
      <c r="G50" s="89" t="s">
        <v>97</v>
      </c>
      <c r="H50" s="79"/>
      <c r="I50" s="79"/>
      <c r="J50" s="79"/>
      <c r="K50" s="79"/>
      <c r="L50" s="79"/>
      <c r="M50" s="79"/>
      <c r="N50" s="79"/>
      <c r="O50" s="79"/>
      <c r="P50" s="79"/>
      <c r="Q50" s="79"/>
      <c r="R50" s="79"/>
      <c r="S50" s="79"/>
      <c r="T50" s="79"/>
      <c r="U50" s="79"/>
      <c r="V50" s="79"/>
      <c r="W50" s="79"/>
      <c r="X50" s="79"/>
      <c r="Y50" s="79"/>
      <c r="Z50" s="79"/>
    </row>
    <row r="51" spans="1:26" ht="12.75" customHeight="1">
      <c r="A51" s="73"/>
      <c r="B51" s="74">
        <v>51</v>
      </c>
      <c r="C51" s="89" t="s">
        <v>97</v>
      </c>
      <c r="D51" s="89" t="s">
        <v>97</v>
      </c>
      <c r="E51" s="89" t="s">
        <v>97</v>
      </c>
      <c r="F51" s="89" t="s">
        <v>97</v>
      </c>
      <c r="G51" s="89" t="s">
        <v>97</v>
      </c>
      <c r="H51" s="79"/>
      <c r="I51" s="79"/>
      <c r="J51" s="79"/>
      <c r="K51" s="79"/>
      <c r="L51" s="79"/>
      <c r="M51" s="79"/>
      <c r="N51" s="79"/>
      <c r="O51" s="79"/>
      <c r="P51" s="79"/>
      <c r="Q51" s="79"/>
      <c r="R51" s="79"/>
      <c r="S51" s="79"/>
      <c r="T51" s="79"/>
      <c r="U51" s="79"/>
      <c r="V51" s="79"/>
      <c r="W51" s="79"/>
      <c r="X51" s="79"/>
      <c r="Y51" s="79"/>
      <c r="Z51" s="79"/>
    </row>
    <row r="52" spans="1:26" ht="12.75" customHeight="1">
      <c r="A52" s="73"/>
      <c r="B52" s="74">
        <v>52</v>
      </c>
      <c r="C52" s="89" t="s">
        <v>97</v>
      </c>
      <c r="D52" s="89" t="s">
        <v>97</v>
      </c>
      <c r="E52" s="89" t="s">
        <v>97</v>
      </c>
      <c r="F52" s="89" t="s">
        <v>97</v>
      </c>
      <c r="G52" s="89" t="s">
        <v>97</v>
      </c>
      <c r="H52" s="79"/>
      <c r="I52" s="79"/>
      <c r="J52" s="79"/>
      <c r="K52" s="79"/>
      <c r="L52" s="79"/>
      <c r="M52" s="79"/>
      <c r="N52" s="79"/>
      <c r="O52" s="79"/>
      <c r="P52" s="79"/>
      <c r="Q52" s="79"/>
      <c r="R52" s="79"/>
      <c r="S52" s="79"/>
      <c r="T52" s="79"/>
      <c r="U52" s="79"/>
      <c r="V52" s="79"/>
      <c r="W52" s="79"/>
      <c r="X52" s="79"/>
      <c r="Y52" s="79"/>
      <c r="Z52" s="79"/>
    </row>
    <row r="53" spans="1:26" ht="12.75" customHeight="1">
      <c r="A53" s="73"/>
      <c r="B53" s="74">
        <v>53</v>
      </c>
      <c r="C53" s="89" t="s">
        <v>97</v>
      </c>
      <c r="D53" s="89" t="s">
        <v>97</v>
      </c>
      <c r="E53" s="89" t="s">
        <v>97</v>
      </c>
      <c r="F53" s="89" t="s">
        <v>97</v>
      </c>
      <c r="G53" s="89" t="s">
        <v>97</v>
      </c>
      <c r="H53" s="79"/>
      <c r="I53" s="79"/>
      <c r="J53" s="79"/>
      <c r="K53" s="79"/>
      <c r="L53" s="79"/>
      <c r="M53" s="79"/>
      <c r="N53" s="79"/>
      <c r="O53" s="79"/>
      <c r="P53" s="79"/>
      <c r="Q53" s="79"/>
      <c r="R53" s="79"/>
      <c r="S53" s="79"/>
      <c r="T53" s="79"/>
      <c r="U53" s="79"/>
      <c r="V53" s="79"/>
      <c r="W53" s="79"/>
      <c r="X53" s="79"/>
      <c r="Y53" s="79"/>
      <c r="Z53" s="79"/>
    </row>
    <row r="54" spans="1:26" ht="12.75" customHeight="1">
      <c r="A54" s="73"/>
      <c r="B54" s="74">
        <v>54</v>
      </c>
      <c r="C54" s="89" t="s">
        <v>97</v>
      </c>
      <c r="D54" s="89" t="s">
        <v>97</v>
      </c>
      <c r="E54" s="89" t="s">
        <v>97</v>
      </c>
      <c r="F54" s="89" t="s">
        <v>97</v>
      </c>
      <c r="G54" s="89" t="s">
        <v>97</v>
      </c>
      <c r="H54" s="79"/>
      <c r="I54" s="79"/>
      <c r="J54" s="79"/>
      <c r="K54" s="79"/>
      <c r="L54" s="79"/>
      <c r="M54" s="79"/>
      <c r="N54" s="79"/>
      <c r="O54" s="79"/>
      <c r="P54" s="79"/>
      <c r="Q54" s="79"/>
      <c r="R54" s="79"/>
      <c r="S54" s="79"/>
      <c r="T54" s="79"/>
      <c r="U54" s="79"/>
      <c r="V54" s="79"/>
      <c r="W54" s="79"/>
      <c r="X54" s="79"/>
      <c r="Y54" s="79"/>
      <c r="Z54" s="79"/>
    </row>
    <row r="55" spans="1:26" ht="12.75" customHeight="1">
      <c r="A55" s="73"/>
      <c r="B55" s="74">
        <v>55</v>
      </c>
      <c r="C55" s="89" t="s">
        <v>97</v>
      </c>
      <c r="D55" s="89" t="s">
        <v>97</v>
      </c>
      <c r="E55" s="89" t="s">
        <v>97</v>
      </c>
      <c r="F55" s="89" t="s">
        <v>97</v>
      </c>
      <c r="G55" s="89" t="s">
        <v>97</v>
      </c>
      <c r="H55" s="79"/>
      <c r="I55" s="79"/>
      <c r="J55" s="79"/>
      <c r="K55" s="79"/>
      <c r="L55" s="79"/>
      <c r="M55" s="79"/>
      <c r="N55" s="79"/>
      <c r="O55" s="79"/>
      <c r="P55" s="79"/>
      <c r="Q55" s="79"/>
      <c r="R55" s="79"/>
      <c r="S55" s="79"/>
      <c r="T55" s="79"/>
      <c r="U55" s="79"/>
      <c r="V55" s="79"/>
      <c r="W55" s="79"/>
      <c r="X55" s="79"/>
      <c r="Y55" s="79"/>
      <c r="Z55" s="79"/>
    </row>
    <row r="56" spans="1:26" ht="12.75" customHeight="1">
      <c r="A56" s="73"/>
      <c r="B56" s="74">
        <v>56</v>
      </c>
      <c r="C56" s="89" t="s">
        <v>97</v>
      </c>
      <c r="D56" s="89" t="s">
        <v>97</v>
      </c>
      <c r="E56" s="89" t="s">
        <v>97</v>
      </c>
      <c r="F56" s="89" t="s">
        <v>97</v>
      </c>
      <c r="G56" s="89" t="s">
        <v>97</v>
      </c>
      <c r="H56" s="79"/>
      <c r="I56" s="79"/>
      <c r="J56" s="79"/>
      <c r="K56" s="79"/>
      <c r="L56" s="79"/>
      <c r="M56" s="79"/>
      <c r="N56" s="79"/>
      <c r="O56" s="79"/>
      <c r="P56" s="79"/>
      <c r="Q56" s="79"/>
      <c r="R56" s="79"/>
      <c r="S56" s="79"/>
      <c r="T56" s="79"/>
      <c r="U56" s="79"/>
      <c r="V56" s="79"/>
      <c r="W56" s="79"/>
      <c r="X56" s="79"/>
      <c r="Y56" s="79"/>
      <c r="Z56" s="79"/>
    </row>
    <row r="57" spans="1:26" ht="12.75" customHeight="1">
      <c r="A57" s="73"/>
      <c r="B57" s="74"/>
      <c r="C57" s="80"/>
      <c r="D57" s="80"/>
      <c r="E57" s="79"/>
      <c r="F57" s="81"/>
      <c r="G57" s="81"/>
      <c r="H57" s="79"/>
      <c r="I57" s="79"/>
      <c r="J57" s="79"/>
      <c r="K57" s="79"/>
      <c r="L57" s="79"/>
      <c r="M57" s="79"/>
      <c r="N57" s="79"/>
      <c r="O57" s="79"/>
      <c r="P57" s="79"/>
      <c r="Q57" s="79"/>
      <c r="R57" s="79"/>
      <c r="S57" s="79"/>
      <c r="T57" s="79"/>
      <c r="U57" s="79"/>
      <c r="V57" s="79"/>
      <c r="W57" s="79"/>
      <c r="X57" s="79"/>
      <c r="Y57" s="79"/>
      <c r="Z57" s="79"/>
    </row>
    <row r="58" spans="1:26" ht="12.75" customHeight="1">
      <c r="A58" s="73"/>
      <c r="B58" s="74"/>
      <c r="C58" s="80"/>
      <c r="D58" s="80"/>
      <c r="E58" s="79"/>
      <c r="F58" s="81"/>
      <c r="G58" s="81"/>
      <c r="H58" s="79"/>
      <c r="I58" s="79"/>
      <c r="J58" s="79"/>
      <c r="K58" s="79"/>
      <c r="L58" s="79"/>
      <c r="M58" s="79"/>
      <c r="N58" s="79"/>
      <c r="O58" s="79"/>
      <c r="P58" s="79"/>
      <c r="Q58" s="79"/>
      <c r="R58" s="79"/>
      <c r="S58" s="79"/>
      <c r="T58" s="79"/>
      <c r="U58" s="79"/>
      <c r="V58" s="79"/>
      <c r="W58" s="79"/>
      <c r="X58" s="79"/>
      <c r="Y58" s="79"/>
      <c r="Z58" s="79"/>
    </row>
    <row r="59" spans="1:26" ht="12.75" customHeight="1">
      <c r="A59" s="73"/>
      <c r="B59" s="74"/>
      <c r="C59" s="80"/>
      <c r="D59" s="80"/>
      <c r="E59" s="79"/>
      <c r="F59" s="81"/>
      <c r="G59" s="81"/>
      <c r="H59" s="79"/>
      <c r="I59" s="79"/>
      <c r="J59" s="79"/>
      <c r="K59" s="79"/>
      <c r="L59" s="79"/>
      <c r="M59" s="79"/>
      <c r="N59" s="79"/>
      <c r="O59" s="79"/>
      <c r="P59" s="79"/>
      <c r="Q59" s="79"/>
      <c r="R59" s="79"/>
      <c r="S59" s="79"/>
      <c r="T59" s="79"/>
      <c r="U59" s="79"/>
      <c r="V59" s="79"/>
      <c r="W59" s="79"/>
      <c r="X59" s="79"/>
      <c r="Y59" s="79"/>
      <c r="Z59" s="79"/>
    </row>
    <row r="60" spans="1:26" ht="12.75" customHeight="1">
      <c r="A60" s="73"/>
      <c r="B60" s="74"/>
      <c r="C60" s="80"/>
      <c r="D60" s="80"/>
      <c r="E60" s="79"/>
      <c r="F60" s="81"/>
      <c r="G60" s="81"/>
      <c r="H60" s="79"/>
      <c r="I60" s="79"/>
      <c r="J60" s="79"/>
      <c r="K60" s="79"/>
      <c r="L60" s="79"/>
      <c r="M60" s="79"/>
      <c r="N60" s="79"/>
      <c r="O60" s="79"/>
      <c r="P60" s="79"/>
      <c r="Q60" s="79"/>
      <c r="R60" s="79"/>
      <c r="S60" s="79"/>
      <c r="T60" s="79"/>
      <c r="U60" s="79"/>
      <c r="V60" s="79"/>
      <c r="W60" s="79"/>
      <c r="X60" s="79"/>
      <c r="Y60" s="79"/>
      <c r="Z60" s="79"/>
    </row>
    <row r="61" spans="1:26" ht="12.75" customHeight="1">
      <c r="A61" s="73"/>
      <c r="B61" s="73"/>
      <c r="C61" s="90"/>
      <c r="D61" s="73"/>
      <c r="E61" s="79"/>
      <c r="F61" s="81"/>
      <c r="G61" s="81"/>
      <c r="H61" s="79"/>
      <c r="I61" s="79"/>
      <c r="J61" s="79"/>
      <c r="K61" s="79"/>
      <c r="L61" s="79"/>
      <c r="M61" s="79"/>
      <c r="N61" s="79"/>
      <c r="O61" s="79"/>
      <c r="P61" s="79"/>
      <c r="Q61" s="79"/>
      <c r="R61" s="79"/>
      <c r="S61" s="79"/>
      <c r="T61" s="79"/>
      <c r="U61" s="79"/>
      <c r="V61" s="79"/>
      <c r="W61" s="79"/>
      <c r="X61" s="79"/>
      <c r="Y61" s="79"/>
      <c r="Z61" s="79"/>
    </row>
    <row r="62" spans="1:26" ht="12.75" customHeight="1">
      <c r="A62" s="73"/>
      <c r="B62" s="73"/>
      <c r="C62" s="90"/>
      <c r="D62" s="73"/>
      <c r="E62" s="79"/>
      <c r="F62" s="81"/>
      <c r="G62" s="81"/>
      <c r="H62" s="79"/>
      <c r="I62" s="79"/>
      <c r="J62" s="79"/>
      <c r="K62" s="79"/>
      <c r="L62" s="79"/>
      <c r="M62" s="79"/>
      <c r="N62" s="79"/>
      <c r="O62" s="79"/>
      <c r="P62" s="79"/>
      <c r="Q62" s="79"/>
      <c r="R62" s="79"/>
      <c r="S62" s="79"/>
      <c r="T62" s="79"/>
      <c r="U62" s="79"/>
      <c r="V62" s="79"/>
      <c r="W62" s="79"/>
      <c r="X62" s="79"/>
      <c r="Y62" s="79"/>
      <c r="Z62" s="79"/>
    </row>
    <row r="63" spans="1:26" ht="12.75" customHeight="1">
      <c r="A63" s="73"/>
      <c r="B63" s="73"/>
      <c r="C63" s="80"/>
      <c r="D63" s="79" t="s">
        <v>96</v>
      </c>
      <c r="E63" s="79"/>
      <c r="F63" s="81"/>
      <c r="G63" s="81"/>
      <c r="H63" s="79"/>
      <c r="I63" s="79"/>
      <c r="J63" s="79"/>
      <c r="K63" s="79"/>
      <c r="L63" s="79"/>
      <c r="M63" s="79"/>
      <c r="N63" s="79"/>
      <c r="O63" s="79"/>
      <c r="P63" s="79"/>
      <c r="Q63" s="79"/>
      <c r="R63" s="79"/>
      <c r="S63" s="79"/>
      <c r="T63" s="79"/>
      <c r="U63" s="79"/>
      <c r="V63" s="79"/>
      <c r="W63" s="79"/>
      <c r="X63" s="79"/>
      <c r="Y63" s="79"/>
      <c r="Z63" s="79"/>
    </row>
    <row r="64" spans="1:26" ht="12.75" customHeight="1">
      <c r="A64" s="73"/>
      <c r="B64" s="73"/>
      <c r="C64" s="80"/>
      <c r="D64" s="79" t="str">
        <f>+'PTI-16'!D5</f>
        <v>Digite un nombre</v>
      </c>
      <c r="E64" s="79"/>
      <c r="F64" s="81"/>
      <c r="G64" s="81"/>
      <c r="H64" s="79"/>
      <c r="I64" s="79"/>
      <c r="J64" s="79"/>
      <c r="K64" s="79"/>
      <c r="L64" s="79"/>
      <c r="M64" s="79"/>
      <c r="N64" s="79"/>
      <c r="O64" s="79"/>
      <c r="P64" s="79"/>
      <c r="Q64" s="79"/>
      <c r="R64" s="79"/>
      <c r="S64" s="79"/>
      <c r="T64" s="79"/>
      <c r="U64" s="79"/>
      <c r="V64" s="79"/>
      <c r="W64" s="79"/>
      <c r="X64" s="79"/>
      <c r="Y64" s="79"/>
      <c r="Z64" s="79"/>
    </row>
    <row r="65" spans="1:26" ht="12.75" customHeight="1">
      <c r="A65" s="73"/>
      <c r="B65" s="73"/>
      <c r="C65" s="80"/>
      <c r="D65" s="79" t="str">
        <f>+CONCATENATE("Edad: ",'PTI-16'!L5)</f>
        <v>Edad: 18</v>
      </c>
      <c r="E65" s="79"/>
      <c r="F65" s="81"/>
      <c r="G65" s="81"/>
      <c r="H65" s="79"/>
      <c r="I65" s="79"/>
      <c r="J65" s="79"/>
      <c r="K65" s="79"/>
      <c r="L65" s="79"/>
      <c r="M65" s="79"/>
      <c r="N65" s="79"/>
      <c r="O65" s="79"/>
      <c r="P65" s="79"/>
      <c r="Q65" s="79"/>
      <c r="R65" s="79"/>
      <c r="S65" s="79"/>
      <c r="T65" s="79"/>
      <c r="U65" s="79"/>
      <c r="V65" s="79"/>
      <c r="W65" s="79"/>
      <c r="X65" s="79"/>
      <c r="Y65" s="79"/>
      <c r="Z65" s="79"/>
    </row>
    <row r="66" spans="1:26" ht="12.75" customHeight="1">
      <c r="A66" s="73"/>
      <c r="B66" s="73"/>
      <c r="C66" s="80"/>
      <c r="D66" s="91">
        <f ca="1">+TODAY()</f>
        <v>46314</v>
      </c>
      <c r="E66" s="79"/>
      <c r="F66" s="81"/>
      <c r="G66" s="81"/>
      <c r="H66" s="79"/>
      <c r="I66" s="79"/>
      <c r="J66" s="79"/>
      <c r="K66" s="79"/>
      <c r="L66" s="79"/>
      <c r="M66" s="79"/>
      <c r="N66" s="79"/>
      <c r="O66" s="79"/>
      <c r="P66" s="79"/>
      <c r="Q66" s="79"/>
      <c r="R66" s="79"/>
      <c r="S66" s="79"/>
      <c r="T66" s="79"/>
      <c r="U66" s="79"/>
      <c r="V66" s="79"/>
      <c r="W66" s="79"/>
      <c r="X66" s="79"/>
      <c r="Y66" s="79"/>
      <c r="Z66" s="79"/>
    </row>
    <row r="67" spans="1:26" ht="12.75" customHeight="1">
      <c r="A67" s="73"/>
      <c r="B67" s="73"/>
      <c r="C67" s="80"/>
      <c r="D67" s="91" t="s">
        <v>97</v>
      </c>
      <c r="E67" s="79"/>
      <c r="F67" s="81"/>
      <c r="G67" s="81"/>
      <c r="H67" s="79"/>
      <c r="I67" s="79"/>
      <c r="J67" s="79"/>
      <c r="K67" s="79"/>
      <c r="L67" s="79"/>
      <c r="M67" s="79"/>
      <c r="N67" s="79"/>
      <c r="O67" s="79"/>
      <c r="P67" s="79"/>
      <c r="Q67" s="79"/>
      <c r="R67" s="79"/>
      <c r="S67" s="79"/>
      <c r="T67" s="79"/>
      <c r="U67" s="79"/>
      <c r="V67" s="79"/>
      <c r="W67" s="79"/>
      <c r="X67" s="79"/>
      <c r="Y67" s="79"/>
      <c r="Z67" s="79"/>
    </row>
    <row r="68" spans="1:26" ht="12.75" customHeight="1">
      <c r="A68" s="73"/>
      <c r="B68" s="73"/>
      <c r="C68" s="80"/>
      <c r="D68" s="79" t="s">
        <v>98</v>
      </c>
      <c r="E68" s="79"/>
      <c r="F68" s="81"/>
      <c r="G68" s="81"/>
      <c r="H68" s="79"/>
      <c r="I68" s="79"/>
      <c r="J68" s="79"/>
      <c r="K68" s="79"/>
      <c r="L68" s="79"/>
      <c r="M68" s="79"/>
      <c r="N68" s="79"/>
      <c r="O68" s="79"/>
      <c r="P68" s="79"/>
      <c r="Q68" s="79"/>
      <c r="R68" s="79"/>
      <c r="S68" s="79"/>
      <c r="T68" s="79"/>
      <c r="U68" s="79"/>
      <c r="V68" s="79"/>
      <c r="W68" s="79"/>
      <c r="X68" s="79"/>
      <c r="Y68" s="79"/>
      <c r="Z68" s="79"/>
    </row>
    <row r="69" spans="1:26" ht="12.75" customHeight="1">
      <c r="A69" s="73"/>
      <c r="B69" s="73"/>
      <c r="C69" s="80" t="s">
        <v>244</v>
      </c>
      <c r="D69" s="79" t="str">
        <f>+HLOOKUP(B,mat,4)</f>
        <v>Se le dificulta la comprensión de instrucciones complejas y la realización de abstracciones y generalizaciones.</v>
      </c>
      <c r="E69" s="79"/>
      <c r="F69" s="81"/>
      <c r="G69" s="81"/>
      <c r="H69" s="79"/>
      <c r="I69" s="79"/>
      <c r="J69" s="79"/>
      <c r="K69" s="79"/>
      <c r="L69" s="79"/>
      <c r="M69" s="79"/>
      <c r="N69" s="79"/>
      <c r="O69" s="79"/>
      <c r="P69" s="79"/>
      <c r="Q69" s="79"/>
      <c r="R69" s="79"/>
      <c r="S69" s="79"/>
      <c r="T69" s="79"/>
      <c r="U69" s="79"/>
      <c r="V69" s="79"/>
      <c r="W69" s="79"/>
      <c r="X69" s="79"/>
      <c r="Y69" s="79"/>
      <c r="Z69" s="79"/>
    </row>
    <row r="70" spans="1:26" ht="12.75" customHeight="1">
      <c r="A70" s="73"/>
      <c r="B70" s="73"/>
      <c r="C70" s="80" t="s">
        <v>211</v>
      </c>
      <c r="D70" s="79" t="str">
        <f>+HLOOKUP('PTI-16'!F32,mat,37)</f>
        <v xml:space="preserve">Es muy poco creativo. </v>
      </c>
      <c r="E70" s="79"/>
      <c r="F70" s="81"/>
      <c r="G70" s="81"/>
      <c r="H70" s="79"/>
      <c r="I70" s="79"/>
      <c r="J70" s="79"/>
      <c r="K70" s="79"/>
      <c r="L70" s="79"/>
      <c r="M70" s="79"/>
      <c r="N70" s="79"/>
      <c r="O70" s="79"/>
      <c r="P70" s="79"/>
      <c r="Q70" s="79"/>
      <c r="R70" s="79"/>
      <c r="S70" s="79"/>
      <c r="T70" s="79"/>
      <c r="U70" s="79"/>
      <c r="V70" s="79"/>
      <c r="W70" s="79"/>
      <c r="X70" s="79"/>
      <c r="Y70" s="79"/>
      <c r="Z70" s="79"/>
    </row>
    <row r="71" spans="1:26" ht="12.75" customHeight="1">
      <c r="A71" s="73"/>
      <c r="B71" s="73"/>
      <c r="C71" s="80" t="s">
        <v>245</v>
      </c>
      <c r="D71" s="79" t="str">
        <f>+HLOOKUP(_F,mat,10)</f>
        <v>Indeciso de tomar riesgos. Tiene poco sentido del humor. Su falta de alegría y capacidad de conversación, le resta aceptación en sus subalternos. Suele ser responsable y tomar muy en serio su trabajo.</v>
      </c>
      <c r="E71" s="79"/>
      <c r="F71" s="81"/>
      <c r="G71" s="81"/>
      <c r="H71" s="79"/>
      <c r="I71" s="79"/>
      <c r="J71" s="79"/>
      <c r="K71" s="79"/>
      <c r="L71" s="79"/>
      <c r="M71" s="79"/>
      <c r="N71" s="79"/>
      <c r="O71" s="79"/>
      <c r="P71" s="79"/>
      <c r="Q71" s="79"/>
      <c r="R71" s="79"/>
      <c r="S71" s="79"/>
      <c r="T71" s="79"/>
      <c r="U71" s="79"/>
      <c r="V71" s="79"/>
      <c r="W71" s="79"/>
      <c r="X71" s="79"/>
      <c r="Y71" s="79"/>
      <c r="Z71" s="79"/>
    </row>
    <row r="72" spans="1:26" ht="12.75" customHeight="1">
      <c r="A72" s="73"/>
      <c r="B72" s="73"/>
      <c r="C72" s="80" t="s">
        <v>23</v>
      </c>
      <c r="D72" s="79" t="str">
        <f>+HLOOKUP(H,mat,44)</f>
        <v>Se concentra mucho en la tarea.</v>
      </c>
      <c r="E72" s="79"/>
      <c r="F72" s="81"/>
      <c r="G72" s="81"/>
      <c r="H72" s="79"/>
      <c r="I72" s="79"/>
      <c r="J72" s="79"/>
      <c r="K72" s="79"/>
      <c r="L72" s="79"/>
      <c r="M72" s="79"/>
      <c r="N72" s="79"/>
      <c r="O72" s="79"/>
      <c r="P72" s="79"/>
      <c r="Q72" s="79"/>
      <c r="R72" s="79"/>
      <c r="S72" s="79"/>
      <c r="T72" s="79"/>
      <c r="U72" s="79"/>
      <c r="V72" s="79"/>
      <c r="W72" s="79"/>
      <c r="X72" s="79"/>
      <c r="Y72" s="79"/>
      <c r="Z72" s="79"/>
    </row>
    <row r="73" spans="1:26" ht="12.75" customHeight="1">
      <c r="A73" s="73"/>
      <c r="B73" s="73"/>
      <c r="C73" s="80" t="s">
        <v>32</v>
      </c>
      <c r="D73" s="79" t="str">
        <f>+HLOOKUP(M,mat,20)</f>
        <v>Posee gran habilidad para atender varios frentes de trabajo, con un mínimo de errores. Competente en labores que exijan buena memoria y que requieran observar y recordar detalles irrelevantes. Se adapta con facilidad a la rutina</v>
      </c>
      <c r="E73" s="79"/>
      <c r="F73" s="81"/>
      <c r="G73" s="81"/>
      <c r="H73" s="79"/>
      <c r="I73" s="79"/>
      <c r="J73" s="79"/>
      <c r="K73" s="79"/>
      <c r="L73" s="79"/>
      <c r="M73" s="79"/>
      <c r="N73" s="79"/>
      <c r="O73" s="79"/>
      <c r="P73" s="79"/>
      <c r="Q73" s="79"/>
      <c r="R73" s="79"/>
      <c r="S73" s="79"/>
      <c r="T73" s="79"/>
      <c r="U73" s="79"/>
      <c r="V73" s="79"/>
      <c r="W73" s="79"/>
      <c r="X73" s="79"/>
      <c r="Y73" s="79"/>
      <c r="Z73" s="79"/>
    </row>
    <row r="74" spans="1:26" ht="12.75" customHeight="1">
      <c r="A74" s="73"/>
      <c r="B74" s="73"/>
      <c r="C74" s="80" t="s">
        <v>246</v>
      </c>
      <c r="D74" s="79" t="str">
        <f>+HLOOKUP(Q1_,mat,26)</f>
        <v>Se resigna en las condiciones difíciles. Tolera demasiado los trabajos rutinarios y frustrantes. Tiende a oponerse y a posponer el cambio. Es recomendable para trabajos que requieran una adherencia constante al status quo y un respeto por los métodos establecidos y por las maneras de hacer las cosas.</v>
      </c>
      <c r="E74" s="79"/>
      <c r="F74" s="81"/>
      <c r="G74" s="81"/>
      <c r="H74" s="79"/>
      <c r="I74" s="79"/>
      <c r="J74" s="79"/>
      <c r="K74" s="79"/>
      <c r="L74" s="79"/>
      <c r="M74" s="79"/>
      <c r="N74" s="79"/>
      <c r="O74" s="79"/>
      <c r="P74" s="79"/>
      <c r="Q74" s="79"/>
      <c r="R74" s="79"/>
      <c r="S74" s="79"/>
      <c r="T74" s="79"/>
      <c r="U74" s="79"/>
      <c r="V74" s="79"/>
      <c r="W74" s="79"/>
      <c r="X74" s="79"/>
      <c r="Y74" s="79"/>
      <c r="Z74" s="79"/>
    </row>
    <row r="75" spans="1:26" ht="12.75" customHeight="1">
      <c r="A75" s="73"/>
      <c r="B75" s="73"/>
      <c r="C75" s="80"/>
      <c r="D75" s="79"/>
      <c r="E75" s="79"/>
      <c r="F75" s="81"/>
      <c r="G75" s="81"/>
      <c r="H75" s="79"/>
      <c r="I75" s="79"/>
      <c r="J75" s="79"/>
      <c r="K75" s="79"/>
      <c r="L75" s="79"/>
      <c r="M75" s="79"/>
      <c r="N75" s="79"/>
      <c r="O75" s="79"/>
      <c r="P75" s="79"/>
      <c r="Q75" s="79"/>
      <c r="R75" s="79"/>
      <c r="S75" s="79"/>
      <c r="T75" s="79"/>
      <c r="U75" s="79"/>
      <c r="V75" s="79"/>
      <c r="W75" s="79"/>
      <c r="X75" s="79"/>
      <c r="Y75" s="79"/>
      <c r="Z75" s="79"/>
    </row>
    <row r="76" spans="1:26" ht="12.75" customHeight="1">
      <c r="A76" s="73"/>
      <c r="B76" s="73"/>
      <c r="C76" s="80"/>
      <c r="D76" s="81" t="s">
        <v>102</v>
      </c>
      <c r="E76" s="79"/>
      <c r="F76" s="81"/>
      <c r="G76" s="81"/>
      <c r="H76" s="79"/>
      <c r="I76" s="79"/>
      <c r="J76" s="79"/>
      <c r="K76" s="79"/>
      <c r="L76" s="79"/>
      <c r="M76" s="79"/>
      <c r="N76" s="79"/>
      <c r="O76" s="79"/>
      <c r="P76" s="79"/>
      <c r="Q76" s="79"/>
      <c r="R76" s="79"/>
      <c r="S76" s="79"/>
      <c r="T76" s="79"/>
      <c r="U76" s="79"/>
      <c r="V76" s="79"/>
      <c r="W76" s="79"/>
      <c r="X76" s="79"/>
      <c r="Y76" s="79"/>
      <c r="Z76" s="79"/>
    </row>
    <row r="77" spans="1:26" ht="12.75" customHeight="1">
      <c r="A77" s="73"/>
      <c r="B77" s="73"/>
      <c r="C77" s="80" t="s">
        <v>247</v>
      </c>
      <c r="D77" s="79" t="str">
        <f>+HLOOKUP('PTI-16'!F25,mat,34)</f>
        <v xml:space="preserve"> </v>
      </c>
      <c r="E77" s="79"/>
      <c r="F77" s="81"/>
      <c r="G77" s="81"/>
      <c r="H77" s="79"/>
      <c r="I77" s="79"/>
      <c r="J77" s="79"/>
      <c r="K77" s="79"/>
      <c r="L77" s="79"/>
      <c r="M77" s="79"/>
      <c r="N77" s="79"/>
      <c r="O77" s="79"/>
      <c r="P77" s="79"/>
      <c r="Q77" s="79"/>
      <c r="R77" s="79"/>
      <c r="S77" s="79"/>
      <c r="T77" s="79"/>
      <c r="U77" s="79"/>
      <c r="V77" s="79"/>
      <c r="W77" s="79"/>
      <c r="X77" s="79"/>
      <c r="Y77" s="79"/>
      <c r="Z77" s="79"/>
    </row>
    <row r="78" spans="1:26" ht="12.75" customHeight="1">
      <c r="A78" s="73"/>
      <c r="B78" s="73"/>
      <c r="C78" s="80" t="s">
        <v>248</v>
      </c>
      <c r="D78" s="79" t="str">
        <f>+HLOOKUP('PTI-16'!F33,mat,38)</f>
        <v xml:space="preserve">Presenta leves tendencias de neuroticismo, en general manejables. </v>
      </c>
      <c r="E78" s="79"/>
      <c r="F78" s="81"/>
      <c r="G78" s="81"/>
      <c r="H78" s="79"/>
      <c r="I78" s="79"/>
      <c r="J78" s="79"/>
      <c r="K78" s="79"/>
      <c r="L78" s="79"/>
      <c r="M78" s="79"/>
      <c r="N78" s="79"/>
      <c r="O78" s="79"/>
      <c r="P78" s="79"/>
      <c r="Q78" s="79"/>
      <c r="R78" s="79"/>
      <c r="S78" s="79"/>
      <c r="T78" s="79"/>
      <c r="U78" s="79"/>
      <c r="V78" s="79"/>
      <c r="W78" s="79"/>
      <c r="X78" s="79"/>
      <c r="Y78" s="79"/>
      <c r="Z78" s="79"/>
    </row>
    <row r="79" spans="1:26" ht="12.75" customHeight="1">
      <c r="A79" s="73"/>
      <c r="B79" s="73"/>
      <c r="C79" s="80" t="s">
        <v>249</v>
      </c>
      <c r="D79" s="79" t="str">
        <f>+HLOOKUP(C_,mat,6)</f>
        <v xml:space="preserve">poca fortaleza interior para hacerle frente a las dificultades. Inconstante en actitudes e intereses y tiende a renunciar. Se le dificultará la realización de trabajos que exijan vencer constantemente obstáculos e impliquen asumir y conseguir retos. Funciona mejor en trabajos rutinarios. </v>
      </c>
      <c r="E79" s="79"/>
      <c r="F79" s="81"/>
      <c r="G79" s="81"/>
      <c r="H79" s="79"/>
      <c r="I79" s="79"/>
      <c r="J79" s="79"/>
      <c r="K79" s="79"/>
      <c r="L79" s="79"/>
      <c r="M79" s="79"/>
      <c r="N79" s="79"/>
      <c r="O79" s="79"/>
      <c r="P79" s="79"/>
      <c r="Q79" s="79"/>
      <c r="R79" s="79"/>
      <c r="S79" s="79"/>
      <c r="T79" s="79"/>
      <c r="U79" s="79"/>
      <c r="V79" s="79"/>
      <c r="W79" s="79"/>
      <c r="X79" s="79"/>
      <c r="Y79" s="79"/>
      <c r="Z79" s="79"/>
    </row>
    <row r="80" spans="1:26" ht="12.75" customHeight="1">
      <c r="A80" s="73"/>
      <c r="B80" s="73"/>
      <c r="C80" s="80" t="s">
        <v>250</v>
      </c>
      <c r="D80" s="79" t="str">
        <f>+HLOOKUP(I,mat,16)</f>
        <v>Es muy poco empático. Se sentirá poco confortable en labores de servicio. Es muy adecuado en cargos expuestos a tensión continuada. Tiene éxito en labores que implique auditoria objetiva. Pocas competencias para ponerse en el lugar del otro.</v>
      </c>
      <c r="E80" s="79"/>
      <c r="F80" s="81"/>
      <c r="G80" s="81"/>
      <c r="H80" s="79"/>
      <c r="I80" s="79"/>
      <c r="J80" s="79"/>
      <c r="K80" s="79"/>
      <c r="L80" s="79"/>
      <c r="M80" s="79"/>
      <c r="N80" s="79"/>
      <c r="O80" s="79"/>
      <c r="P80" s="79"/>
      <c r="Q80" s="79"/>
      <c r="R80" s="79"/>
      <c r="S80" s="79"/>
      <c r="T80" s="79"/>
      <c r="U80" s="79"/>
      <c r="V80" s="79"/>
      <c r="W80" s="79"/>
      <c r="X80" s="79"/>
      <c r="Y80" s="79"/>
      <c r="Z80" s="79"/>
    </row>
    <row r="81" spans="1:26" ht="12.75" customHeight="1">
      <c r="A81" s="73"/>
      <c r="B81" s="73"/>
      <c r="C81" s="80" t="s">
        <v>251</v>
      </c>
      <c r="D81" s="79" t="str">
        <f>+HLOOKUP(O,mat,24)</f>
        <v>No siente incomodidad ni preocupación frente al no acato de las normas y al no cumplimiento de compromisos. Muy poco sensible a la aprobación o desaprobación de los demás. Despreocupado frente al compromiso, carece de empatía.</v>
      </c>
      <c r="E81" s="79"/>
      <c r="F81" s="81"/>
      <c r="G81" s="81"/>
      <c r="H81" s="79"/>
      <c r="I81" s="79"/>
      <c r="J81" s="79"/>
      <c r="K81" s="79"/>
      <c r="L81" s="79"/>
      <c r="M81" s="79"/>
      <c r="N81" s="79"/>
      <c r="O81" s="79"/>
      <c r="P81" s="79"/>
      <c r="Q81" s="79"/>
      <c r="R81" s="79"/>
      <c r="S81" s="79"/>
      <c r="T81" s="79"/>
      <c r="U81" s="79"/>
      <c r="V81" s="79"/>
      <c r="W81" s="79"/>
      <c r="X81" s="79"/>
      <c r="Y81" s="79"/>
      <c r="Z81" s="79"/>
    </row>
    <row r="82" spans="1:26" ht="12.75" customHeight="1">
      <c r="A82" s="73"/>
      <c r="B82" s="73"/>
      <c r="C82" s="80" t="s">
        <v>252</v>
      </c>
      <c r="D82" s="79" t="str">
        <f>+HLOOKUP(Q4_,mat,32)</f>
        <v>Vive en el presente, no se proyecta al futuro. Tiene pocas ambiciones y tiende a lograr poco. Difícil de motivar. Es indiferente frente al esfuerzo para lograr éxito social o económico.</v>
      </c>
      <c r="E82" s="79"/>
      <c r="F82" s="81"/>
      <c r="G82" s="81"/>
      <c r="H82" s="79"/>
      <c r="I82" s="79"/>
      <c r="J82" s="79"/>
      <c r="K82" s="79"/>
      <c r="L82" s="79"/>
      <c r="M82" s="79"/>
      <c r="N82" s="79"/>
      <c r="O82" s="79"/>
      <c r="P82" s="79"/>
      <c r="Q82" s="79"/>
      <c r="R82" s="79"/>
      <c r="S82" s="79"/>
      <c r="T82" s="79"/>
      <c r="U82" s="79"/>
      <c r="V82" s="79"/>
      <c r="W82" s="79"/>
      <c r="X82" s="79"/>
      <c r="Y82" s="79"/>
      <c r="Z82" s="79"/>
    </row>
    <row r="83" spans="1:26" ht="12.75" customHeight="1">
      <c r="A83" s="73"/>
      <c r="B83" s="73"/>
      <c r="C83" s="80" t="s">
        <v>253</v>
      </c>
      <c r="D83" s="79" t="str">
        <f>+HLOOKUP('PTI-16'!F34,mat,39)</f>
        <v xml:space="preserve"> </v>
      </c>
      <c r="E83" s="79"/>
      <c r="F83" s="81"/>
      <c r="G83" s="81"/>
      <c r="H83" s="79"/>
      <c r="I83" s="79"/>
      <c r="J83" s="79"/>
      <c r="K83" s="79"/>
      <c r="L83" s="79"/>
      <c r="M83" s="79"/>
      <c r="N83" s="79"/>
      <c r="O83" s="79"/>
      <c r="P83" s="79"/>
      <c r="Q83" s="79"/>
      <c r="R83" s="79"/>
      <c r="S83" s="79"/>
      <c r="T83" s="79"/>
      <c r="U83" s="79"/>
      <c r="V83" s="79"/>
      <c r="W83" s="79"/>
      <c r="X83" s="79"/>
      <c r="Y83" s="79"/>
      <c r="Z83" s="79"/>
    </row>
    <row r="84" spans="1:26" ht="12.75" customHeight="1">
      <c r="A84" s="73"/>
      <c r="B84" s="73"/>
      <c r="C84" s="80"/>
      <c r="D84" s="81" t="s">
        <v>109</v>
      </c>
      <c r="E84" s="79"/>
      <c r="F84" s="81"/>
      <c r="G84" s="81"/>
      <c r="H84" s="79"/>
      <c r="I84" s="79"/>
      <c r="J84" s="79"/>
      <c r="K84" s="79"/>
      <c r="L84" s="79"/>
      <c r="M84" s="79"/>
      <c r="N84" s="79"/>
      <c r="O84" s="79"/>
      <c r="P84" s="79"/>
      <c r="Q84" s="79"/>
      <c r="R84" s="79"/>
      <c r="S84" s="79"/>
      <c r="T84" s="79"/>
      <c r="U84" s="79"/>
      <c r="V84" s="79"/>
      <c r="W84" s="79"/>
      <c r="X84" s="79"/>
      <c r="Y84" s="79"/>
      <c r="Z84" s="79"/>
    </row>
    <row r="85" spans="1:26" ht="12.75" customHeight="1">
      <c r="A85" s="73"/>
      <c r="B85" s="73"/>
      <c r="C85" s="80" t="s">
        <v>254</v>
      </c>
      <c r="D85" s="79" t="str">
        <f>+HLOOKUP('PTI-16'!F35,mat,40)</f>
        <v>Presenta muy deficientes competencias de liderazgo.</v>
      </c>
      <c r="E85" s="79"/>
      <c r="F85" s="81"/>
      <c r="G85" s="81"/>
      <c r="H85" s="79"/>
      <c r="I85" s="79"/>
      <c r="J85" s="79"/>
      <c r="K85" s="79"/>
      <c r="L85" s="79"/>
      <c r="M85" s="79"/>
      <c r="N85" s="79"/>
      <c r="O85" s="79"/>
      <c r="P85" s="79"/>
      <c r="Q85" s="79"/>
      <c r="R85" s="79"/>
      <c r="S85" s="79"/>
      <c r="T85" s="79"/>
      <c r="U85" s="79"/>
      <c r="V85" s="79"/>
      <c r="W85" s="79"/>
      <c r="X85" s="79"/>
      <c r="Y85" s="79"/>
      <c r="Z85" s="79"/>
    </row>
    <row r="86" spans="1:26" ht="12.75" customHeight="1">
      <c r="A86" s="73"/>
      <c r="B86" s="73"/>
      <c r="C86" s="80" t="s">
        <v>255</v>
      </c>
      <c r="D86" s="79" t="str">
        <f>+HLOOKUP('PTI-16'!F26,mat,35)</f>
        <v>Tiende a participar poco en su ambiente y tiene poco contacto social. Es una persona notoriamente introvertida.</v>
      </c>
      <c r="E86" s="79"/>
      <c r="F86" s="81"/>
      <c r="G86" s="81"/>
      <c r="H86" s="79"/>
      <c r="I86" s="79"/>
      <c r="J86" s="79"/>
      <c r="K86" s="79"/>
      <c r="L86" s="79"/>
      <c r="M86" s="79"/>
      <c r="N86" s="79"/>
      <c r="O86" s="79"/>
      <c r="P86" s="79"/>
      <c r="Q86" s="79"/>
      <c r="R86" s="79"/>
      <c r="S86" s="79"/>
      <c r="T86" s="79"/>
      <c r="U86" s="79"/>
      <c r="V86" s="79"/>
      <c r="W86" s="79"/>
      <c r="X86" s="79"/>
      <c r="Y86" s="79"/>
      <c r="Z86" s="79"/>
    </row>
    <row r="87" spans="1:26" ht="12.75" customHeight="1">
      <c r="A87" s="73"/>
      <c r="B87" s="73"/>
      <c r="C87" s="80" t="s">
        <v>256</v>
      </c>
      <c r="D87" s="79" t="str">
        <f>+HLOOKUP('PTI-16'!F28,mat,36)</f>
        <v>Actúa siguiendo las normas y guías externas. Depende de modelos convencionales. Es dependiente en su pensamiento y en el modo de comportarse.</v>
      </c>
      <c r="E87" s="79"/>
      <c r="F87" s="81"/>
      <c r="G87" s="81"/>
      <c r="H87" s="79"/>
      <c r="I87" s="79"/>
      <c r="J87" s="79"/>
      <c r="K87" s="79"/>
      <c r="L87" s="79"/>
      <c r="M87" s="79"/>
      <c r="N87" s="79"/>
      <c r="O87" s="79"/>
      <c r="P87" s="79"/>
      <c r="Q87" s="79"/>
      <c r="R87" s="79"/>
      <c r="S87" s="79"/>
      <c r="T87" s="79"/>
      <c r="U87" s="79"/>
      <c r="V87" s="79"/>
      <c r="W87" s="79"/>
      <c r="X87" s="79"/>
      <c r="Y87" s="79"/>
      <c r="Z87" s="79"/>
    </row>
    <row r="88" spans="1:26" ht="12.75" customHeight="1">
      <c r="A88" s="73"/>
      <c r="B88" s="73"/>
      <c r="C88" s="80" t="s">
        <v>257</v>
      </c>
      <c r="D88" s="79" t="str">
        <f>+HLOOKUP(A,mat,2)</f>
        <v>Se mantiene en sus propias ideas. Evita el contacto humanoPuede tener dificultades para establecer y mantener relaciones afectuosas con la genteCompetente en actividades que requieran trabajo en solitario.</v>
      </c>
      <c r="E88" s="79"/>
      <c r="F88" s="81"/>
      <c r="G88" s="81"/>
      <c r="H88" s="79"/>
      <c r="I88" s="79"/>
      <c r="J88" s="79"/>
      <c r="K88" s="79"/>
      <c r="L88" s="79"/>
      <c r="M88" s="79"/>
      <c r="N88" s="79"/>
      <c r="O88" s="79"/>
      <c r="P88" s="79"/>
      <c r="Q88" s="79"/>
      <c r="R88" s="79"/>
      <c r="S88" s="79"/>
      <c r="T88" s="79"/>
      <c r="U88" s="79"/>
      <c r="V88" s="79"/>
      <c r="W88" s="79"/>
      <c r="X88" s="79"/>
      <c r="Y88" s="79"/>
      <c r="Z88" s="79"/>
    </row>
    <row r="89" spans="1:26" ht="12.75" customHeight="1">
      <c r="A89" s="73"/>
      <c r="B89" s="73"/>
      <c r="C89" s="80" t="s">
        <v>258</v>
      </c>
      <c r="D89" s="79" t="str">
        <f>+HLOOKUP(E,mat,8)</f>
        <v>Suele ser poco exigente; se acomoda a los deseos de los demás. En sus relaciones interpersonales, se orienta a evitar el conflicto, lo que con frecuencia se acompaña de un esfuerzo por agradar y obtener aprobación. Poca tendencia a defender sus puntos de vista. Se turba frente a figuras de autoridad.</v>
      </c>
      <c r="E89" s="79"/>
      <c r="F89" s="81"/>
      <c r="G89" s="81"/>
      <c r="H89" s="79"/>
      <c r="I89" s="79"/>
      <c r="J89" s="79"/>
      <c r="K89" s="79"/>
      <c r="L89" s="79"/>
      <c r="M89" s="79"/>
      <c r="N89" s="79"/>
      <c r="O89" s="79"/>
      <c r="P89" s="79"/>
      <c r="Q89" s="79"/>
      <c r="R89" s="79"/>
      <c r="S89" s="79"/>
      <c r="T89" s="79"/>
      <c r="U89" s="79"/>
      <c r="V89" s="79"/>
      <c r="W89" s="79"/>
      <c r="X89" s="79"/>
      <c r="Y89" s="79"/>
      <c r="Z89" s="79"/>
    </row>
    <row r="90" spans="1:26" ht="12.75" customHeight="1">
      <c r="A90" s="73"/>
      <c r="B90" s="73"/>
      <c r="C90" s="80" t="s">
        <v>259</v>
      </c>
      <c r="D90" s="79" t="str">
        <f>+HLOOKUP(H,mat,14)</f>
        <v>Reacciona en forma excesiva a cualquier amenaza percibida. Prefiere mantenerse en lo que es fijo, predecible y seguro, por lo que evita sistemáticamente cualquier experiencia que pueda amenazar su timidez, como competencias y experiencias nuevas. Estos aspectos limitan su desempeño en trabajos que impliquen viajar con frecuencia, conocer nuevas personas y estar expuesto a aspectos impredecibles. Muy concentrado en su trabajo</v>
      </c>
      <c r="E90" s="79"/>
      <c r="F90" s="81"/>
      <c r="G90" s="81"/>
      <c r="H90" s="79"/>
      <c r="I90" s="79"/>
      <c r="J90" s="79"/>
      <c r="K90" s="79"/>
      <c r="L90" s="79"/>
      <c r="M90" s="79"/>
      <c r="N90" s="79"/>
      <c r="O90" s="79"/>
      <c r="P90" s="79"/>
      <c r="Q90" s="79"/>
      <c r="R90" s="79"/>
      <c r="S90" s="79"/>
      <c r="T90" s="79"/>
      <c r="U90" s="79"/>
      <c r="V90" s="79"/>
      <c r="W90" s="79"/>
      <c r="X90" s="79"/>
      <c r="Y90" s="79"/>
      <c r="Z90" s="79"/>
    </row>
    <row r="91" spans="1:26" ht="12.75" customHeight="1">
      <c r="A91" s="73"/>
      <c r="B91" s="73"/>
      <c r="C91" s="80" t="s">
        <v>260</v>
      </c>
      <c r="D91" s="79" t="str">
        <f>+HLOOKUP(_l,mat,18)</f>
        <v>Débil para corregir y exigirle a las personas. Conciliatorio. No es competitivo en lo social. Poco alerta a los errores e intenciones de los demás. Altamente ingenuo y presa fácil de estafadores y mentirosos. No se recomienda para cargos, donde se requiera control y seguimiento a personas ni aquellos que estén expuestos a engaños y estafas, como el de vigilancia.</v>
      </c>
      <c r="E91" s="79"/>
      <c r="F91" s="81"/>
      <c r="G91" s="81"/>
      <c r="H91" s="79"/>
      <c r="I91" s="79"/>
      <c r="J91" s="79"/>
      <c r="K91" s="79"/>
      <c r="L91" s="79"/>
      <c r="M91" s="79"/>
      <c r="N91" s="79"/>
      <c r="O91" s="79"/>
      <c r="P91" s="79"/>
      <c r="Q91" s="79"/>
      <c r="R91" s="79"/>
      <c r="S91" s="79"/>
      <c r="T91" s="79"/>
      <c r="U91" s="79"/>
      <c r="V91" s="79"/>
      <c r="W91" s="79"/>
      <c r="X91" s="79"/>
      <c r="Y91" s="79"/>
      <c r="Z91" s="79"/>
    </row>
    <row r="92" spans="1:26" ht="12.75" customHeight="1">
      <c r="A92" s="73"/>
      <c r="B92" s="73"/>
      <c r="C92" s="80" t="s">
        <v>261</v>
      </c>
      <c r="D92" s="79" t="str">
        <f>+HLOOKUP(N,mat,22)</f>
        <v xml:space="preserve">Poco competente en trabajos que requieran malicia, ya que es ingenuo y tiene una confianza ciega en la naturaleza humana. Es frecuente que se tome ventaja de él, algunas veces la misma persona. Baja su desempeño en labores que exijan discreción y tacto, como las relaciones públicas y las ventas. </v>
      </c>
      <c r="E92" s="79"/>
      <c r="F92" s="81"/>
      <c r="G92" s="81"/>
      <c r="H92" s="79"/>
      <c r="I92" s="79"/>
      <c r="J92" s="79"/>
      <c r="K92" s="79"/>
      <c r="L92" s="79"/>
      <c r="M92" s="79"/>
      <c r="N92" s="79"/>
      <c r="O92" s="79"/>
      <c r="P92" s="79"/>
      <c r="Q92" s="79"/>
      <c r="R92" s="79"/>
      <c r="S92" s="79"/>
      <c r="T92" s="79"/>
      <c r="U92" s="79"/>
      <c r="V92" s="79"/>
      <c r="W92" s="79"/>
      <c r="X92" s="79"/>
      <c r="Y92" s="79"/>
      <c r="Z92" s="79"/>
    </row>
    <row r="93" spans="1:26" ht="12.75" customHeight="1">
      <c r="A93" s="73"/>
      <c r="B93" s="73"/>
      <c r="C93" s="80" t="s">
        <v>262</v>
      </c>
      <c r="D93" s="79" t="str">
        <f>+HLOOKUP(Q2_,mat,28)</f>
        <v>Prefiere estar en compañía de otros más que solo, decide sobre lo correcto de su desempeño al compararse con otros, más que confiar en su propio juicio. Compromete con frecuencia su criterio, por la necesidad de hacer alianzas afectivas con otros. No le gusta estar solo, sus relaciones se caracterizan por una necesidad imperiosa de pertenecer.</v>
      </c>
      <c r="E93" s="79"/>
      <c r="F93" s="81"/>
      <c r="G93" s="81"/>
      <c r="H93" s="79"/>
      <c r="I93" s="79"/>
      <c r="J93" s="79"/>
      <c r="K93" s="79"/>
      <c r="L93" s="79"/>
      <c r="M93" s="79"/>
      <c r="N93" s="79"/>
      <c r="O93" s="79"/>
      <c r="P93" s="79"/>
      <c r="Q93" s="79"/>
      <c r="R93" s="79"/>
      <c r="S93" s="79"/>
      <c r="T93" s="79"/>
      <c r="U93" s="79"/>
      <c r="V93" s="79"/>
      <c r="W93" s="79"/>
      <c r="X93" s="79"/>
      <c r="Y93" s="79"/>
      <c r="Z93" s="79"/>
    </row>
    <row r="94" spans="1:26" ht="12.75" customHeight="1">
      <c r="A94" s="73"/>
      <c r="B94" s="73"/>
      <c r="C94" s="80" t="s">
        <v>263</v>
      </c>
      <c r="D94" s="79" t="str">
        <f>+HLOOKUP(Q3_,mat,30)</f>
        <v>Debe desarrollar fuerza interior para persistir y lograr metas y para realizar sus ambiciones.</v>
      </c>
      <c r="E94" s="79"/>
      <c r="F94" s="81"/>
      <c r="G94" s="81"/>
      <c r="H94" s="79"/>
      <c r="I94" s="79"/>
      <c r="J94" s="79"/>
      <c r="K94" s="79"/>
      <c r="L94" s="79"/>
      <c r="M94" s="79"/>
      <c r="N94" s="79"/>
      <c r="O94" s="79"/>
      <c r="P94" s="79"/>
      <c r="Q94" s="79"/>
      <c r="R94" s="79"/>
      <c r="S94" s="79"/>
      <c r="T94" s="79"/>
      <c r="U94" s="79"/>
      <c r="V94" s="79"/>
      <c r="W94" s="79"/>
      <c r="X94" s="79"/>
      <c r="Y94" s="79"/>
      <c r="Z94" s="79"/>
    </row>
    <row r="95" spans="1:26" ht="12.75" customHeight="1">
      <c r="A95" s="73"/>
      <c r="B95" s="73"/>
      <c r="C95" s="80"/>
      <c r="D95" s="79" t="s">
        <v>117</v>
      </c>
      <c r="E95" s="79"/>
      <c r="F95" s="81"/>
      <c r="G95" s="81"/>
      <c r="H95" s="79"/>
      <c r="I95" s="79"/>
      <c r="J95" s="79"/>
      <c r="K95" s="79"/>
      <c r="L95" s="79"/>
      <c r="M95" s="79"/>
      <c r="N95" s="79"/>
      <c r="O95" s="79"/>
      <c r="P95" s="79"/>
      <c r="Q95" s="79"/>
      <c r="R95" s="79"/>
      <c r="S95" s="79"/>
      <c r="T95" s="79"/>
      <c r="U95" s="79"/>
      <c r="V95" s="79"/>
      <c r="W95" s="79"/>
      <c r="X95" s="79"/>
      <c r="Y95" s="79"/>
      <c r="Z95" s="79"/>
    </row>
    <row r="96" spans="1:26" ht="12.75" customHeight="1">
      <c r="A96" s="73"/>
      <c r="B96" s="73"/>
      <c r="C96" s="80" t="s">
        <v>264</v>
      </c>
      <c r="D96" s="79" t="str">
        <f>+HLOOKUP(G,mat,12)</f>
        <v>Abandonador, inconstante, descuida sus obligaciones personales, indulgente consigo mismo. Poco perseverante. Desacata las normas, no es confiable en cargos que impliquen apego irrestricto a normas y procedimientos organizacionales. Tiene hábitos de trabajo poco eficientes.</v>
      </c>
      <c r="E96" s="79"/>
      <c r="F96" s="81"/>
      <c r="G96" s="81"/>
      <c r="H96" s="79"/>
      <c r="I96" s="79"/>
      <c r="J96" s="79"/>
      <c r="K96" s="79"/>
      <c r="L96" s="79"/>
      <c r="M96" s="79"/>
      <c r="N96" s="79"/>
      <c r="O96" s="79"/>
      <c r="P96" s="79"/>
      <c r="Q96" s="79"/>
      <c r="R96" s="79"/>
      <c r="S96" s="79"/>
      <c r="T96" s="79"/>
      <c r="U96" s="79"/>
      <c r="V96" s="79"/>
      <c r="W96" s="79"/>
      <c r="X96" s="79"/>
      <c r="Y96" s="79"/>
      <c r="Z96" s="79"/>
    </row>
    <row r="97" spans="1:26" ht="12.75" customHeight="1">
      <c r="A97" s="73"/>
      <c r="B97" s="73"/>
      <c r="C97" s="80" t="s">
        <v>249</v>
      </c>
      <c r="D97" s="79" t="str">
        <f>+HLOOKUP(C_,mat,45)</f>
        <v xml:space="preserve">Su muy baja estabilidad emocional perjudica su nivel de competencias morales generales. </v>
      </c>
      <c r="E97" s="79"/>
      <c r="F97" s="81"/>
      <c r="G97" s="81"/>
      <c r="H97" s="79"/>
      <c r="I97" s="79"/>
      <c r="J97" s="79"/>
      <c r="K97" s="79"/>
      <c r="L97" s="79"/>
      <c r="M97" s="79"/>
      <c r="N97" s="79"/>
      <c r="O97" s="79"/>
      <c r="P97" s="79"/>
      <c r="Q97" s="79"/>
      <c r="R97" s="79"/>
      <c r="S97" s="79"/>
      <c r="T97" s="79"/>
      <c r="U97" s="79"/>
      <c r="V97" s="79"/>
      <c r="W97" s="79"/>
      <c r="X97" s="79"/>
      <c r="Y97" s="79"/>
      <c r="Z97" s="79"/>
    </row>
    <row r="98" spans="1:26" ht="12.75" customHeight="1">
      <c r="A98" s="73"/>
      <c r="B98" s="73"/>
      <c r="C98" s="80" t="s">
        <v>265</v>
      </c>
      <c r="D98" s="79" t="str">
        <f>+HLOOKUP(O,mat,42)</f>
        <v xml:space="preserve">No sufre por las faltas. </v>
      </c>
      <c r="E98" s="79"/>
      <c r="F98" s="81"/>
      <c r="G98" s="81"/>
      <c r="H98" s="79"/>
      <c r="I98" s="79"/>
      <c r="J98" s="79"/>
      <c r="K98" s="79"/>
      <c r="L98" s="79"/>
      <c r="M98" s="79"/>
      <c r="N98" s="79"/>
      <c r="O98" s="79"/>
      <c r="P98" s="79"/>
      <c r="Q98" s="79"/>
      <c r="R98" s="79"/>
      <c r="S98" s="79"/>
      <c r="T98" s="79"/>
      <c r="U98" s="79"/>
      <c r="V98" s="79"/>
      <c r="W98" s="79"/>
      <c r="X98" s="79"/>
      <c r="Y98" s="79"/>
      <c r="Z98" s="79"/>
    </row>
    <row r="99" spans="1:26" ht="12.75" customHeight="1">
      <c r="A99" s="73"/>
      <c r="B99" s="73"/>
      <c r="C99" s="80" t="s">
        <v>244</v>
      </c>
      <c r="D99" s="79" t="str">
        <f>+HLOOKUP(B,mat,43)</f>
        <v xml:space="preserve">Su pensamiento concreto no le ayuda en las competencias para interpretar las normas. </v>
      </c>
      <c r="E99" s="79"/>
      <c r="F99" s="81"/>
      <c r="G99" s="81"/>
      <c r="H99" s="79"/>
      <c r="I99" s="79"/>
      <c r="J99" s="79"/>
      <c r="K99" s="79"/>
      <c r="L99" s="79"/>
      <c r="M99" s="79"/>
      <c r="N99" s="79"/>
      <c r="O99" s="79"/>
      <c r="P99" s="79"/>
      <c r="Q99" s="79"/>
      <c r="R99" s="79"/>
      <c r="S99" s="79"/>
      <c r="T99" s="79"/>
      <c r="U99" s="79"/>
      <c r="V99" s="79"/>
      <c r="W99" s="79"/>
      <c r="X99" s="79"/>
      <c r="Y99" s="79"/>
      <c r="Z99" s="79"/>
    </row>
    <row r="100" spans="1:26" ht="12.75" customHeight="1">
      <c r="A100" s="73"/>
      <c r="B100" s="73"/>
      <c r="C100" s="80" t="s">
        <v>240</v>
      </c>
      <c r="D100" s="79" t="e">
        <f>+HLOOKUP('PTI-16'!#REF!,mat,46)</f>
        <v>#REF!</v>
      </c>
      <c r="E100" s="79"/>
      <c r="F100" s="81"/>
      <c r="G100" s="81"/>
      <c r="H100" s="79"/>
      <c r="I100" s="79"/>
      <c r="J100" s="79"/>
      <c r="K100" s="79"/>
      <c r="L100" s="79"/>
      <c r="M100" s="79"/>
      <c r="N100" s="79"/>
      <c r="O100" s="79"/>
      <c r="P100" s="79"/>
      <c r="Q100" s="79"/>
      <c r="R100" s="79"/>
      <c r="S100" s="79"/>
      <c r="T100" s="79"/>
      <c r="U100" s="79"/>
      <c r="V100" s="79"/>
      <c r="W100" s="79"/>
      <c r="X100" s="79"/>
      <c r="Y100" s="79"/>
      <c r="Z100" s="79"/>
    </row>
    <row r="101" spans="1:26" ht="12.75" customHeight="1">
      <c r="A101" s="73"/>
      <c r="B101" s="73"/>
      <c r="C101" s="80" t="s">
        <v>241</v>
      </c>
      <c r="D101" s="79" t="e">
        <f>+HLOOKUP('PTI-16'!#REF!,mat,47)</f>
        <v>#REF!</v>
      </c>
      <c r="E101" s="79"/>
      <c r="F101" s="81"/>
      <c r="G101" s="81"/>
      <c r="H101" s="79"/>
      <c r="I101" s="79"/>
      <c r="J101" s="79"/>
      <c r="K101" s="79"/>
      <c r="L101" s="79"/>
      <c r="M101" s="79"/>
      <c r="N101" s="79"/>
      <c r="O101" s="79"/>
      <c r="P101" s="79"/>
      <c r="Q101" s="79"/>
      <c r="R101" s="79"/>
      <c r="S101" s="79"/>
      <c r="T101" s="79"/>
      <c r="U101" s="79"/>
      <c r="V101" s="79"/>
      <c r="W101" s="79"/>
      <c r="X101" s="79"/>
      <c r="Y101" s="79"/>
      <c r="Z101" s="79"/>
    </row>
    <row r="102" spans="1:26" ht="12.75" customHeight="1">
      <c r="A102" s="73"/>
      <c r="B102" s="73"/>
      <c r="C102" s="80" t="s">
        <v>242</v>
      </c>
      <c r="D102" s="79" t="str">
        <f>+HLOOKUP('PTI-16'!F36,mat,48)</f>
        <v xml:space="preserve"> </v>
      </c>
      <c r="E102" s="79"/>
      <c r="F102" s="81"/>
      <c r="G102" s="81"/>
      <c r="H102" s="79"/>
      <c r="I102" s="79"/>
      <c r="J102" s="79"/>
      <c r="K102" s="79"/>
      <c r="L102" s="79"/>
      <c r="M102" s="79"/>
      <c r="N102" s="79"/>
      <c r="O102" s="79"/>
      <c r="P102" s="79"/>
      <c r="Q102" s="79"/>
      <c r="R102" s="79"/>
      <c r="S102" s="79"/>
      <c r="T102" s="79"/>
      <c r="U102" s="79"/>
      <c r="V102" s="79"/>
      <c r="W102" s="79"/>
      <c r="X102" s="79"/>
      <c r="Y102" s="79"/>
      <c r="Z102" s="79"/>
    </row>
    <row r="103" spans="1:26" ht="12.75" customHeight="1">
      <c r="A103" s="73"/>
      <c r="B103" s="73"/>
      <c r="C103" s="80"/>
      <c r="D103" s="79"/>
      <c r="E103" s="79"/>
      <c r="F103" s="81"/>
      <c r="G103" s="81"/>
      <c r="H103" s="79"/>
      <c r="I103" s="79"/>
      <c r="J103" s="79"/>
      <c r="K103" s="79"/>
      <c r="L103" s="79"/>
      <c r="M103" s="79"/>
      <c r="N103" s="79"/>
      <c r="O103" s="79"/>
      <c r="P103" s="79"/>
      <c r="Q103" s="79"/>
      <c r="R103" s="79"/>
      <c r="S103" s="79"/>
      <c r="T103" s="79"/>
      <c r="U103" s="79"/>
      <c r="V103" s="79"/>
      <c r="W103" s="79"/>
      <c r="X103" s="79"/>
      <c r="Y103" s="79"/>
      <c r="Z103" s="79"/>
    </row>
    <row r="104" spans="1:26" ht="12.75" customHeight="1">
      <c r="A104" s="73"/>
      <c r="B104" s="73"/>
      <c r="C104" s="80"/>
      <c r="D104" s="79"/>
      <c r="E104" s="79"/>
      <c r="F104" s="81"/>
      <c r="G104" s="81"/>
      <c r="H104" s="79"/>
      <c r="I104" s="79"/>
      <c r="J104" s="79"/>
      <c r="K104" s="79"/>
      <c r="L104" s="79"/>
      <c r="M104" s="79"/>
      <c r="N104" s="79"/>
      <c r="O104" s="79"/>
      <c r="P104" s="79"/>
      <c r="Q104" s="79"/>
      <c r="R104" s="79"/>
      <c r="S104" s="79"/>
      <c r="T104" s="79"/>
      <c r="U104" s="79"/>
      <c r="V104" s="79"/>
      <c r="W104" s="79"/>
      <c r="X104" s="79"/>
      <c r="Y104" s="79"/>
      <c r="Z104" s="79"/>
    </row>
    <row r="105" spans="1:26" ht="12.75" customHeight="1">
      <c r="A105" s="73"/>
      <c r="B105" s="73"/>
      <c r="C105" s="80"/>
      <c r="D105" s="79"/>
      <c r="E105" s="79"/>
      <c r="F105" s="81"/>
      <c r="G105" s="81"/>
      <c r="H105" s="79"/>
      <c r="I105" s="79"/>
      <c r="J105" s="79"/>
      <c r="K105" s="79"/>
      <c r="L105" s="79"/>
      <c r="M105" s="79"/>
      <c r="N105" s="79"/>
      <c r="O105" s="79"/>
      <c r="P105" s="79"/>
      <c r="Q105" s="79"/>
      <c r="R105" s="79"/>
      <c r="S105" s="79"/>
      <c r="T105" s="79"/>
      <c r="U105" s="79"/>
      <c r="V105" s="79"/>
      <c r="W105" s="79"/>
      <c r="X105" s="79"/>
      <c r="Y105" s="79"/>
      <c r="Z105" s="79"/>
    </row>
    <row r="106" spans="1:26" ht="12.75" customHeight="1">
      <c r="A106" s="73"/>
      <c r="B106" s="73">
        <v>1</v>
      </c>
      <c r="C106" s="80"/>
      <c r="D106" s="79"/>
      <c r="E106" s="79"/>
      <c r="F106" s="81"/>
      <c r="G106" s="81"/>
      <c r="H106" s="79"/>
      <c r="I106" s="79"/>
      <c r="J106" s="79"/>
      <c r="K106" s="79"/>
      <c r="L106" s="79"/>
      <c r="M106" s="79"/>
      <c r="N106" s="79"/>
      <c r="O106" s="79"/>
      <c r="P106" s="79"/>
      <c r="Q106" s="79"/>
      <c r="R106" s="79"/>
      <c r="S106" s="79"/>
      <c r="T106" s="79"/>
      <c r="U106" s="79"/>
      <c r="V106" s="79"/>
      <c r="W106" s="79"/>
      <c r="X106" s="79"/>
      <c r="Y106" s="79"/>
      <c r="Z106" s="79"/>
    </row>
    <row r="107" spans="1:26" ht="12.75" customHeight="1">
      <c r="A107" s="73"/>
      <c r="B107" s="73"/>
      <c r="C107" s="80"/>
      <c r="D107" s="79"/>
      <c r="E107" s="79"/>
      <c r="F107" s="81"/>
      <c r="G107" s="81"/>
      <c r="H107" s="79"/>
      <c r="I107" s="79"/>
      <c r="J107" s="79"/>
      <c r="K107" s="79"/>
      <c r="L107" s="79"/>
      <c r="M107" s="79"/>
      <c r="N107" s="79"/>
      <c r="O107" s="79"/>
      <c r="P107" s="79"/>
      <c r="Q107" s="79"/>
      <c r="R107" s="79"/>
      <c r="S107" s="79"/>
      <c r="T107" s="79"/>
      <c r="U107" s="79"/>
      <c r="V107" s="79"/>
      <c r="W107" s="79"/>
      <c r="X107" s="79"/>
      <c r="Y107" s="79"/>
      <c r="Z107" s="79"/>
    </row>
    <row r="108" spans="1:26" ht="12.75" customHeight="1">
      <c r="A108" s="73"/>
      <c r="B108" s="73"/>
      <c r="C108" s="80"/>
      <c r="D108" s="79"/>
      <c r="E108" s="79"/>
      <c r="F108" s="81"/>
      <c r="G108" s="81"/>
      <c r="H108" s="79"/>
      <c r="I108" s="79"/>
      <c r="J108" s="79"/>
      <c r="K108" s="79"/>
      <c r="L108" s="79"/>
      <c r="M108" s="79"/>
      <c r="N108" s="79"/>
      <c r="O108" s="79"/>
      <c r="P108" s="79"/>
      <c r="Q108" s="79"/>
      <c r="R108" s="79"/>
      <c r="S108" s="79"/>
      <c r="T108" s="79"/>
      <c r="U108" s="79"/>
      <c r="V108" s="79"/>
      <c r="W108" s="79"/>
      <c r="X108" s="79"/>
      <c r="Y108" s="79"/>
      <c r="Z108" s="79"/>
    </row>
    <row r="109" spans="1:26" ht="12.75" customHeight="1">
      <c r="A109" s="73"/>
      <c r="B109" s="73"/>
      <c r="C109" s="80"/>
      <c r="D109" s="79"/>
      <c r="E109" s="79"/>
      <c r="F109" s="81"/>
      <c r="G109" s="81"/>
      <c r="H109" s="79"/>
      <c r="I109" s="79"/>
      <c r="J109" s="79"/>
      <c r="K109" s="79"/>
      <c r="L109" s="79"/>
      <c r="M109" s="79"/>
      <c r="N109" s="79"/>
      <c r="O109" s="79"/>
      <c r="P109" s="79"/>
      <c r="Q109" s="79"/>
      <c r="R109" s="79"/>
      <c r="S109" s="79"/>
      <c r="T109" s="79"/>
      <c r="U109" s="79"/>
      <c r="V109" s="79"/>
      <c r="W109" s="79"/>
      <c r="X109" s="79"/>
      <c r="Y109" s="79"/>
      <c r="Z109" s="79"/>
    </row>
    <row r="110" spans="1:26" ht="12.75" customHeight="1">
      <c r="A110" s="73"/>
      <c r="B110" s="73"/>
      <c r="C110" s="80"/>
      <c r="D110" s="79"/>
      <c r="E110" s="79"/>
      <c r="F110" s="81"/>
      <c r="G110" s="81"/>
      <c r="H110" s="79"/>
      <c r="I110" s="79"/>
      <c r="J110" s="79"/>
      <c r="K110" s="79"/>
      <c r="L110" s="79"/>
      <c r="M110" s="79"/>
      <c r="N110" s="79"/>
      <c r="O110" s="79"/>
      <c r="P110" s="79"/>
      <c r="Q110" s="79"/>
      <c r="R110" s="79"/>
      <c r="S110" s="79"/>
      <c r="T110" s="79"/>
      <c r="U110" s="79"/>
      <c r="V110" s="79"/>
      <c r="W110" s="79"/>
      <c r="X110" s="79"/>
      <c r="Y110" s="79"/>
      <c r="Z110" s="79"/>
    </row>
    <row r="111" spans="1:26" ht="12.75" customHeight="1">
      <c r="A111" s="73"/>
      <c r="B111" s="73"/>
      <c r="C111" s="80"/>
      <c r="D111" s="79"/>
      <c r="E111" s="79"/>
      <c r="F111" s="81"/>
      <c r="G111" s="81"/>
      <c r="H111" s="79"/>
      <c r="I111" s="79"/>
      <c r="J111" s="79"/>
      <c r="K111" s="79"/>
      <c r="L111" s="79"/>
      <c r="M111" s="79"/>
      <c r="N111" s="79"/>
      <c r="O111" s="79"/>
      <c r="P111" s="79"/>
      <c r="Q111" s="79"/>
      <c r="R111" s="79"/>
      <c r="S111" s="79"/>
      <c r="T111" s="79"/>
      <c r="U111" s="79"/>
      <c r="V111" s="79"/>
      <c r="W111" s="79"/>
      <c r="X111" s="79"/>
      <c r="Y111" s="79"/>
      <c r="Z111" s="79"/>
    </row>
    <row r="112" spans="1:26" ht="12.75" customHeight="1">
      <c r="A112" s="73"/>
      <c r="B112" s="73"/>
      <c r="C112" s="80"/>
      <c r="D112" s="79"/>
      <c r="E112" s="79"/>
      <c r="F112" s="81"/>
      <c r="G112" s="81"/>
      <c r="H112" s="79"/>
      <c r="I112" s="79"/>
      <c r="J112" s="79"/>
      <c r="K112" s="79"/>
      <c r="L112" s="79"/>
      <c r="M112" s="79"/>
      <c r="N112" s="79"/>
      <c r="O112" s="79"/>
      <c r="P112" s="79"/>
      <c r="Q112" s="79"/>
      <c r="R112" s="79"/>
      <c r="S112" s="79"/>
      <c r="T112" s="79"/>
      <c r="U112" s="79"/>
      <c r="V112" s="79"/>
      <c r="W112" s="79"/>
      <c r="X112" s="79"/>
      <c r="Y112" s="79"/>
      <c r="Z112" s="79"/>
    </row>
    <row r="113" spans="1:26" ht="12.75" customHeight="1">
      <c r="A113" s="73"/>
      <c r="B113" s="73"/>
      <c r="C113" s="80"/>
      <c r="D113" s="79"/>
      <c r="E113" s="79"/>
      <c r="F113" s="81"/>
      <c r="G113" s="81"/>
      <c r="H113" s="79"/>
      <c r="I113" s="79"/>
      <c r="J113" s="79"/>
      <c r="K113" s="79"/>
      <c r="L113" s="79"/>
      <c r="M113" s="79"/>
      <c r="N113" s="79"/>
      <c r="O113" s="79"/>
      <c r="P113" s="79"/>
      <c r="Q113" s="79"/>
      <c r="R113" s="79"/>
      <c r="S113" s="79"/>
      <c r="T113" s="79"/>
      <c r="U113" s="79"/>
      <c r="V113" s="79"/>
      <c r="W113" s="79"/>
      <c r="X113" s="79"/>
      <c r="Y113" s="79"/>
      <c r="Z113" s="79"/>
    </row>
    <row r="114" spans="1:26" ht="12.75" customHeight="1">
      <c r="A114" s="73"/>
      <c r="B114" s="73"/>
      <c r="C114" s="80"/>
      <c r="D114" s="79"/>
      <c r="E114" s="79"/>
      <c r="F114" s="81"/>
      <c r="G114" s="81"/>
      <c r="H114" s="79"/>
      <c r="I114" s="79"/>
      <c r="J114" s="79"/>
      <c r="K114" s="79"/>
      <c r="L114" s="79"/>
      <c r="M114" s="79"/>
      <c r="N114" s="79"/>
      <c r="O114" s="79"/>
      <c r="P114" s="79"/>
      <c r="Q114" s="79"/>
      <c r="R114" s="79"/>
      <c r="S114" s="79"/>
      <c r="T114" s="79"/>
      <c r="U114" s="79"/>
      <c r="V114" s="79"/>
      <c r="W114" s="79"/>
      <c r="X114" s="79"/>
      <c r="Y114" s="79"/>
      <c r="Z114" s="79"/>
    </row>
    <row r="115" spans="1:26" ht="12.75" customHeight="1">
      <c r="A115" s="73"/>
      <c r="B115" s="73"/>
      <c r="C115" s="80"/>
      <c r="D115" s="79"/>
      <c r="E115" s="79"/>
      <c r="F115" s="81"/>
      <c r="G115" s="81"/>
      <c r="H115" s="79"/>
      <c r="I115" s="79"/>
      <c r="J115" s="79"/>
      <c r="K115" s="79"/>
      <c r="L115" s="79"/>
      <c r="M115" s="79"/>
      <c r="N115" s="79"/>
      <c r="O115" s="79"/>
      <c r="P115" s="79"/>
      <c r="Q115" s="79"/>
      <c r="R115" s="79"/>
      <c r="S115" s="79"/>
      <c r="T115" s="79"/>
      <c r="U115" s="79"/>
      <c r="V115" s="79"/>
      <c r="W115" s="79"/>
      <c r="X115" s="79"/>
      <c r="Y115" s="79"/>
      <c r="Z115" s="79"/>
    </row>
    <row r="116" spans="1:26" ht="12.75" customHeight="1">
      <c r="A116" s="73"/>
      <c r="B116" s="73"/>
      <c r="C116" s="80"/>
      <c r="D116" s="79"/>
      <c r="E116" s="79"/>
      <c r="F116" s="81"/>
      <c r="G116" s="81"/>
      <c r="H116" s="79"/>
      <c r="I116" s="79"/>
      <c r="J116" s="79"/>
      <c r="K116" s="79"/>
      <c r="L116" s="79"/>
      <c r="M116" s="79"/>
      <c r="N116" s="79"/>
      <c r="O116" s="79"/>
      <c r="P116" s="79"/>
      <c r="Q116" s="79"/>
      <c r="R116" s="79"/>
      <c r="S116" s="79"/>
      <c r="T116" s="79"/>
      <c r="U116" s="79"/>
      <c r="V116" s="79"/>
      <c r="W116" s="79"/>
      <c r="X116" s="79"/>
      <c r="Y116" s="79"/>
      <c r="Z116" s="79"/>
    </row>
    <row r="117" spans="1:26" ht="12.75" customHeight="1">
      <c r="A117" s="73"/>
      <c r="B117" s="73"/>
      <c r="C117" s="80"/>
      <c r="D117" s="79"/>
      <c r="E117" s="79"/>
      <c r="F117" s="81"/>
      <c r="G117" s="81"/>
      <c r="H117" s="79"/>
      <c r="I117" s="79"/>
      <c r="J117" s="79"/>
      <c r="K117" s="79"/>
      <c r="L117" s="79"/>
      <c r="M117" s="79"/>
      <c r="N117" s="79"/>
      <c r="O117" s="79"/>
      <c r="P117" s="79"/>
      <c r="Q117" s="79"/>
      <c r="R117" s="79"/>
      <c r="S117" s="79"/>
      <c r="T117" s="79"/>
      <c r="U117" s="79"/>
      <c r="V117" s="79"/>
      <c r="W117" s="79"/>
      <c r="X117" s="79"/>
      <c r="Y117" s="79"/>
      <c r="Z117" s="79"/>
    </row>
    <row r="118" spans="1:26" ht="12.75" customHeight="1">
      <c r="A118" s="73"/>
      <c r="B118" s="73"/>
      <c r="C118" s="80"/>
      <c r="D118" s="79"/>
      <c r="E118" s="79"/>
      <c r="F118" s="81"/>
      <c r="G118" s="81"/>
      <c r="H118" s="79"/>
      <c r="I118" s="79"/>
      <c r="J118" s="79"/>
      <c r="K118" s="79"/>
      <c r="L118" s="79"/>
      <c r="M118" s="79"/>
      <c r="N118" s="79"/>
      <c r="O118" s="79"/>
      <c r="P118" s="79"/>
      <c r="Q118" s="79"/>
      <c r="R118" s="79"/>
      <c r="S118" s="79"/>
      <c r="T118" s="79"/>
      <c r="U118" s="79"/>
      <c r="V118" s="79"/>
      <c r="W118" s="79"/>
      <c r="X118" s="79"/>
      <c r="Y118" s="79"/>
      <c r="Z118" s="79"/>
    </row>
    <row r="119" spans="1:26" ht="12.75" customHeight="1">
      <c r="A119" s="73"/>
      <c r="B119" s="73"/>
      <c r="C119" s="80"/>
      <c r="D119" s="79"/>
      <c r="E119" s="79"/>
      <c r="F119" s="81"/>
      <c r="G119" s="81"/>
      <c r="H119" s="79"/>
      <c r="I119" s="79"/>
      <c r="J119" s="79"/>
      <c r="K119" s="79"/>
      <c r="L119" s="79"/>
      <c r="M119" s="79"/>
      <c r="N119" s="79"/>
      <c r="O119" s="79"/>
      <c r="P119" s="79"/>
      <c r="Q119" s="79"/>
      <c r="R119" s="79"/>
      <c r="S119" s="79"/>
      <c r="T119" s="79"/>
      <c r="U119" s="79"/>
      <c r="V119" s="79"/>
      <c r="W119" s="79"/>
      <c r="X119" s="79"/>
      <c r="Y119" s="79"/>
      <c r="Z119" s="79"/>
    </row>
    <row r="120" spans="1:26" ht="12.75" customHeight="1">
      <c r="A120" s="73"/>
      <c r="B120" s="73"/>
      <c r="C120" s="80"/>
      <c r="D120" s="79"/>
      <c r="E120" s="79"/>
      <c r="F120" s="81"/>
      <c r="G120" s="81"/>
      <c r="H120" s="79"/>
      <c r="I120" s="79"/>
      <c r="J120" s="79"/>
      <c r="K120" s="79"/>
      <c r="L120" s="79"/>
      <c r="M120" s="79"/>
      <c r="N120" s="79"/>
      <c r="O120" s="79"/>
      <c r="P120" s="79"/>
      <c r="Q120" s="79"/>
      <c r="R120" s="79"/>
      <c r="S120" s="79"/>
      <c r="T120" s="79"/>
      <c r="U120" s="79"/>
      <c r="V120" s="79"/>
      <c r="W120" s="79"/>
      <c r="X120" s="79"/>
      <c r="Y120" s="79"/>
      <c r="Z120" s="79"/>
    </row>
    <row r="121" spans="1:26" ht="12.75" customHeight="1">
      <c r="A121" s="73"/>
      <c r="B121" s="73"/>
      <c r="C121" s="80"/>
      <c r="D121" s="79"/>
      <c r="E121" s="79"/>
      <c r="F121" s="81"/>
      <c r="G121" s="81"/>
      <c r="H121" s="79"/>
      <c r="I121" s="79"/>
      <c r="J121" s="79"/>
      <c r="K121" s="79"/>
      <c r="L121" s="79"/>
      <c r="M121" s="79"/>
      <c r="N121" s="79"/>
      <c r="O121" s="79"/>
      <c r="P121" s="79"/>
      <c r="Q121" s="79"/>
      <c r="R121" s="79"/>
      <c r="S121" s="79"/>
      <c r="T121" s="79"/>
      <c r="U121" s="79"/>
      <c r="V121" s="79"/>
      <c r="W121" s="79"/>
      <c r="X121" s="79"/>
      <c r="Y121" s="79"/>
      <c r="Z121" s="79"/>
    </row>
    <row r="122" spans="1:26" ht="12.75" customHeight="1">
      <c r="A122" s="73"/>
      <c r="B122" s="73"/>
      <c r="C122" s="80"/>
      <c r="D122" s="79"/>
      <c r="E122" s="79"/>
      <c r="F122" s="81"/>
      <c r="G122" s="81"/>
      <c r="H122" s="79"/>
      <c r="I122" s="79"/>
      <c r="J122" s="79"/>
      <c r="K122" s="79"/>
      <c r="L122" s="79"/>
      <c r="M122" s="79"/>
      <c r="N122" s="79"/>
      <c r="O122" s="79"/>
      <c r="P122" s="79"/>
      <c r="Q122" s="79"/>
      <c r="R122" s="79"/>
      <c r="S122" s="79"/>
      <c r="T122" s="79"/>
      <c r="U122" s="79"/>
      <c r="V122" s="79"/>
      <c r="W122" s="79"/>
      <c r="X122" s="79"/>
      <c r="Y122" s="79"/>
      <c r="Z122" s="79"/>
    </row>
    <row r="123" spans="1:26" ht="12.75" customHeight="1">
      <c r="A123" s="73"/>
      <c r="B123" s="73"/>
      <c r="C123" s="80"/>
      <c r="D123" s="79"/>
      <c r="E123" s="79"/>
      <c r="F123" s="81"/>
      <c r="G123" s="81"/>
      <c r="H123" s="79"/>
      <c r="I123" s="79"/>
      <c r="J123" s="79"/>
      <c r="K123" s="79"/>
      <c r="L123" s="79"/>
      <c r="M123" s="79"/>
      <c r="N123" s="79"/>
      <c r="O123" s="79"/>
      <c r="P123" s="79"/>
      <c r="Q123" s="79"/>
      <c r="R123" s="79"/>
      <c r="S123" s="79"/>
      <c r="T123" s="79"/>
      <c r="U123" s="79"/>
      <c r="V123" s="79"/>
      <c r="W123" s="79"/>
      <c r="X123" s="79"/>
      <c r="Y123" s="79"/>
      <c r="Z123" s="79"/>
    </row>
    <row r="124" spans="1:26" ht="12.75" customHeight="1">
      <c r="A124" s="73"/>
      <c r="B124" s="73"/>
      <c r="C124" s="80"/>
      <c r="D124" s="79"/>
      <c r="E124" s="79"/>
      <c r="F124" s="81"/>
      <c r="G124" s="81"/>
      <c r="H124" s="79"/>
      <c r="I124" s="79"/>
      <c r="J124" s="79"/>
      <c r="K124" s="79"/>
      <c r="L124" s="79"/>
      <c r="M124" s="79"/>
      <c r="N124" s="79"/>
      <c r="O124" s="79"/>
      <c r="P124" s="79"/>
      <c r="Q124" s="79"/>
      <c r="R124" s="79"/>
      <c r="S124" s="79"/>
      <c r="T124" s="79"/>
      <c r="U124" s="79"/>
      <c r="V124" s="79"/>
      <c r="W124" s="79"/>
      <c r="X124" s="79"/>
      <c r="Y124" s="79"/>
      <c r="Z124" s="79"/>
    </row>
    <row r="125" spans="1:26" ht="12.75" customHeight="1">
      <c r="A125" s="73"/>
      <c r="B125" s="73"/>
      <c r="C125" s="80"/>
      <c r="D125" s="79"/>
      <c r="E125" s="79"/>
      <c r="F125" s="81"/>
      <c r="G125" s="81"/>
      <c r="H125" s="79"/>
      <c r="I125" s="79"/>
      <c r="J125" s="79"/>
      <c r="K125" s="79"/>
      <c r="L125" s="79"/>
      <c r="M125" s="79"/>
      <c r="N125" s="79"/>
      <c r="O125" s="79"/>
      <c r="P125" s="79"/>
      <c r="Q125" s="79"/>
      <c r="R125" s="79"/>
      <c r="S125" s="79"/>
      <c r="T125" s="79"/>
      <c r="U125" s="79"/>
      <c r="V125" s="79"/>
      <c r="W125" s="79"/>
      <c r="X125" s="79"/>
      <c r="Y125" s="79"/>
      <c r="Z125" s="79"/>
    </row>
    <row r="126" spans="1:26" ht="12.75" customHeight="1">
      <c r="A126" s="73"/>
      <c r="B126" s="73"/>
      <c r="C126" s="80"/>
      <c r="D126" s="79"/>
      <c r="E126" s="79"/>
      <c r="F126" s="81"/>
      <c r="G126" s="81"/>
      <c r="H126" s="79"/>
      <c r="I126" s="79"/>
      <c r="J126" s="79"/>
      <c r="K126" s="79"/>
      <c r="L126" s="79"/>
      <c r="M126" s="79"/>
      <c r="N126" s="79"/>
      <c r="O126" s="79"/>
      <c r="P126" s="79"/>
      <c r="Q126" s="79"/>
      <c r="R126" s="79"/>
      <c r="S126" s="79"/>
      <c r="T126" s="79"/>
      <c r="U126" s="79"/>
      <c r="V126" s="79"/>
      <c r="W126" s="79"/>
      <c r="X126" s="79"/>
      <c r="Y126" s="79"/>
      <c r="Z126" s="79"/>
    </row>
    <row r="127" spans="1:26" ht="12.75" customHeight="1">
      <c r="A127" s="73"/>
      <c r="B127" s="73"/>
      <c r="C127" s="80"/>
      <c r="D127" s="79"/>
      <c r="E127" s="79"/>
      <c r="F127" s="81"/>
      <c r="G127" s="81"/>
      <c r="H127" s="79"/>
      <c r="I127" s="79"/>
      <c r="J127" s="79"/>
      <c r="K127" s="79"/>
      <c r="L127" s="79"/>
      <c r="M127" s="79"/>
      <c r="N127" s="79"/>
      <c r="O127" s="79"/>
      <c r="P127" s="79"/>
      <c r="Q127" s="79"/>
      <c r="R127" s="79"/>
      <c r="S127" s="79"/>
      <c r="T127" s="79"/>
      <c r="U127" s="79"/>
      <c r="V127" s="79"/>
      <c r="W127" s="79"/>
      <c r="X127" s="79"/>
      <c r="Y127" s="79"/>
      <c r="Z127" s="79"/>
    </row>
    <row r="128" spans="1:26" ht="12.75" customHeight="1">
      <c r="A128" s="73"/>
      <c r="B128" s="73"/>
      <c r="C128" s="80"/>
      <c r="D128" s="79"/>
      <c r="E128" s="79"/>
      <c r="F128" s="81"/>
      <c r="G128" s="81"/>
      <c r="H128" s="79"/>
      <c r="I128" s="79"/>
      <c r="J128" s="79"/>
      <c r="K128" s="79"/>
      <c r="L128" s="79"/>
      <c r="M128" s="79"/>
      <c r="N128" s="79"/>
      <c r="O128" s="79"/>
      <c r="P128" s="79"/>
      <c r="Q128" s="79"/>
      <c r="R128" s="79"/>
      <c r="S128" s="79"/>
      <c r="T128" s="79"/>
      <c r="U128" s="79"/>
      <c r="V128" s="79"/>
      <c r="W128" s="79"/>
      <c r="X128" s="79"/>
      <c r="Y128" s="79"/>
      <c r="Z128" s="79"/>
    </row>
    <row r="129" spans="1:26" ht="12.75" customHeight="1">
      <c r="A129" s="73"/>
      <c r="B129" s="73"/>
      <c r="C129" s="80"/>
      <c r="D129" s="79"/>
      <c r="E129" s="79"/>
      <c r="F129" s="81"/>
      <c r="G129" s="81"/>
      <c r="H129" s="79"/>
      <c r="I129" s="79"/>
      <c r="J129" s="79"/>
      <c r="K129" s="79"/>
      <c r="L129" s="79"/>
      <c r="M129" s="79"/>
      <c r="N129" s="79"/>
      <c r="O129" s="79"/>
      <c r="P129" s="79"/>
      <c r="Q129" s="79"/>
      <c r="R129" s="79"/>
      <c r="S129" s="79"/>
      <c r="T129" s="79"/>
      <c r="U129" s="79"/>
      <c r="V129" s="79"/>
      <c r="W129" s="79"/>
      <c r="X129" s="79"/>
      <c r="Y129" s="79"/>
      <c r="Z129" s="79"/>
    </row>
    <row r="130" spans="1:26" ht="12.75" customHeight="1">
      <c r="A130" s="73"/>
      <c r="B130" s="73"/>
      <c r="C130" s="80"/>
      <c r="D130" s="79"/>
      <c r="E130" s="79"/>
      <c r="F130" s="81"/>
      <c r="G130" s="81"/>
      <c r="H130" s="79"/>
      <c r="I130" s="79"/>
      <c r="J130" s="79"/>
      <c r="K130" s="79"/>
      <c r="L130" s="79"/>
      <c r="M130" s="79"/>
      <c r="N130" s="79"/>
      <c r="O130" s="79"/>
      <c r="P130" s="79"/>
      <c r="Q130" s="79"/>
      <c r="R130" s="79"/>
      <c r="S130" s="79"/>
      <c r="T130" s="79"/>
      <c r="U130" s="79"/>
      <c r="V130" s="79"/>
      <c r="W130" s="79"/>
      <c r="X130" s="79"/>
      <c r="Y130" s="79"/>
      <c r="Z130" s="79"/>
    </row>
    <row r="131" spans="1:26" ht="12.75" customHeight="1">
      <c r="A131" s="73"/>
      <c r="B131" s="73"/>
      <c r="C131" s="80"/>
      <c r="D131" s="79"/>
      <c r="E131" s="79"/>
      <c r="F131" s="81"/>
      <c r="G131" s="81"/>
      <c r="H131" s="79"/>
      <c r="I131" s="79"/>
      <c r="J131" s="79"/>
      <c r="K131" s="79"/>
      <c r="L131" s="79"/>
      <c r="M131" s="79"/>
      <c r="N131" s="79"/>
      <c r="O131" s="79"/>
      <c r="P131" s="79"/>
      <c r="Q131" s="79"/>
      <c r="R131" s="79"/>
      <c r="S131" s="79"/>
      <c r="T131" s="79"/>
      <c r="U131" s="79"/>
      <c r="V131" s="79"/>
      <c r="W131" s="79"/>
      <c r="X131" s="79"/>
      <c r="Y131" s="79"/>
      <c r="Z131" s="79"/>
    </row>
    <row r="132" spans="1:26" ht="12.75" customHeight="1">
      <c r="A132" s="73"/>
      <c r="B132" s="73"/>
      <c r="C132" s="80"/>
      <c r="D132" s="79"/>
      <c r="E132" s="79"/>
      <c r="F132" s="81"/>
      <c r="G132" s="81"/>
      <c r="H132" s="79"/>
      <c r="I132" s="79"/>
      <c r="J132" s="79"/>
      <c r="K132" s="79"/>
      <c r="L132" s="79"/>
      <c r="M132" s="79"/>
      <c r="N132" s="79"/>
      <c r="O132" s="79"/>
      <c r="P132" s="79"/>
      <c r="Q132" s="79"/>
      <c r="R132" s="79"/>
      <c r="S132" s="79"/>
      <c r="T132" s="79"/>
      <c r="U132" s="79"/>
      <c r="V132" s="79"/>
      <c r="W132" s="79"/>
      <c r="X132" s="79"/>
      <c r="Y132" s="79"/>
      <c r="Z132" s="79"/>
    </row>
    <row r="133" spans="1:26" ht="12.75" customHeight="1">
      <c r="A133" s="73"/>
      <c r="B133" s="73"/>
      <c r="C133" s="80"/>
      <c r="D133" s="79"/>
      <c r="E133" s="79"/>
      <c r="F133" s="81"/>
      <c r="G133" s="81"/>
      <c r="H133" s="79"/>
      <c r="I133" s="79"/>
      <c r="J133" s="79"/>
      <c r="K133" s="79"/>
      <c r="L133" s="79"/>
      <c r="M133" s="79"/>
      <c r="N133" s="79"/>
      <c r="O133" s="79"/>
      <c r="P133" s="79"/>
      <c r="Q133" s="79"/>
      <c r="R133" s="79"/>
      <c r="S133" s="79"/>
      <c r="T133" s="79"/>
      <c r="U133" s="79"/>
      <c r="V133" s="79"/>
      <c r="W133" s="79"/>
      <c r="X133" s="79"/>
      <c r="Y133" s="79"/>
      <c r="Z133" s="79"/>
    </row>
    <row r="134" spans="1:26" ht="12.75" customHeight="1">
      <c r="A134" s="73"/>
      <c r="B134" s="73"/>
      <c r="C134" s="80"/>
      <c r="D134" s="79"/>
      <c r="E134" s="79"/>
      <c r="F134" s="81"/>
      <c r="G134" s="81"/>
      <c r="H134" s="79"/>
      <c r="I134" s="79"/>
      <c r="J134" s="79"/>
      <c r="K134" s="79"/>
      <c r="L134" s="79"/>
      <c r="M134" s="79"/>
      <c r="N134" s="79"/>
      <c r="O134" s="79"/>
      <c r="P134" s="79"/>
      <c r="Q134" s="79"/>
      <c r="R134" s="79"/>
      <c r="S134" s="79"/>
      <c r="T134" s="79"/>
      <c r="U134" s="79"/>
      <c r="V134" s="79"/>
      <c r="W134" s="79"/>
      <c r="X134" s="79"/>
      <c r="Y134" s="79"/>
      <c r="Z134" s="79"/>
    </row>
    <row r="135" spans="1:26" ht="12.75" customHeight="1">
      <c r="A135" s="73"/>
      <c r="B135" s="73"/>
      <c r="C135" s="80"/>
      <c r="D135" s="79"/>
      <c r="E135" s="79"/>
      <c r="F135" s="81"/>
      <c r="G135" s="81"/>
      <c r="H135" s="79"/>
      <c r="I135" s="79"/>
      <c r="J135" s="79"/>
      <c r="K135" s="79"/>
      <c r="L135" s="79"/>
      <c r="M135" s="79"/>
      <c r="N135" s="79"/>
      <c r="O135" s="79"/>
      <c r="P135" s="79"/>
      <c r="Q135" s="79"/>
      <c r="R135" s="79"/>
      <c r="S135" s="79"/>
      <c r="T135" s="79"/>
      <c r="U135" s="79"/>
      <c r="V135" s="79"/>
      <c r="W135" s="79"/>
      <c r="X135" s="79"/>
      <c r="Y135" s="79"/>
      <c r="Z135" s="79"/>
    </row>
    <row r="136" spans="1:26" ht="12.75" customHeight="1">
      <c r="A136" s="73"/>
      <c r="B136" s="73"/>
      <c r="C136" s="80"/>
      <c r="D136" s="79"/>
      <c r="E136" s="79"/>
      <c r="F136" s="81"/>
      <c r="G136" s="81"/>
      <c r="H136" s="79"/>
      <c r="I136" s="79"/>
      <c r="J136" s="79"/>
      <c r="K136" s="79"/>
      <c r="L136" s="79"/>
      <c r="M136" s="79"/>
      <c r="N136" s="79"/>
      <c r="O136" s="79"/>
      <c r="P136" s="79"/>
      <c r="Q136" s="79"/>
      <c r="R136" s="79"/>
      <c r="S136" s="79"/>
      <c r="T136" s="79"/>
      <c r="U136" s="79"/>
      <c r="V136" s="79"/>
      <c r="W136" s="79"/>
      <c r="X136" s="79"/>
      <c r="Y136" s="79"/>
      <c r="Z136" s="79"/>
    </row>
    <row r="137" spans="1:26" ht="12.75" customHeight="1">
      <c r="A137" s="73"/>
      <c r="B137" s="73"/>
      <c r="C137" s="80"/>
      <c r="D137" s="79"/>
      <c r="E137" s="79"/>
      <c r="F137" s="81"/>
      <c r="G137" s="81"/>
      <c r="H137" s="79"/>
      <c r="I137" s="79"/>
      <c r="J137" s="79"/>
      <c r="K137" s="79"/>
      <c r="L137" s="79"/>
      <c r="M137" s="79"/>
      <c r="N137" s="79"/>
      <c r="O137" s="79"/>
      <c r="P137" s="79"/>
      <c r="Q137" s="79"/>
      <c r="R137" s="79"/>
      <c r="S137" s="79"/>
      <c r="T137" s="79"/>
      <c r="U137" s="79"/>
      <c r="V137" s="79"/>
      <c r="W137" s="79"/>
      <c r="X137" s="79"/>
      <c r="Y137" s="79"/>
      <c r="Z137" s="79"/>
    </row>
    <row r="138" spans="1:26" ht="12.75" customHeight="1">
      <c r="A138" s="73"/>
      <c r="B138" s="73"/>
      <c r="C138" s="80"/>
      <c r="D138" s="79"/>
      <c r="E138" s="79"/>
      <c r="F138" s="81"/>
      <c r="G138" s="81"/>
      <c r="H138" s="79"/>
      <c r="I138" s="79"/>
      <c r="J138" s="79"/>
      <c r="K138" s="79"/>
      <c r="L138" s="79"/>
      <c r="M138" s="79"/>
      <c r="N138" s="79"/>
      <c r="O138" s="79"/>
      <c r="P138" s="79"/>
      <c r="Q138" s="79"/>
      <c r="R138" s="79"/>
      <c r="S138" s="79"/>
      <c r="T138" s="79"/>
      <c r="U138" s="79"/>
      <c r="V138" s="79"/>
      <c r="W138" s="79"/>
      <c r="X138" s="79"/>
      <c r="Y138" s="79"/>
      <c r="Z138" s="79"/>
    </row>
    <row r="139" spans="1:26" ht="12.75" customHeight="1">
      <c r="A139" s="73"/>
      <c r="B139" s="73"/>
      <c r="C139" s="80"/>
      <c r="D139" s="79"/>
      <c r="E139" s="79"/>
      <c r="F139" s="81"/>
      <c r="G139" s="81"/>
      <c r="H139" s="79"/>
      <c r="I139" s="79"/>
      <c r="J139" s="79"/>
      <c r="K139" s="79"/>
      <c r="L139" s="79"/>
      <c r="M139" s="79"/>
      <c r="N139" s="79"/>
      <c r="O139" s="79"/>
      <c r="P139" s="79"/>
      <c r="Q139" s="79"/>
      <c r="R139" s="79"/>
      <c r="S139" s="79"/>
      <c r="T139" s="79"/>
      <c r="U139" s="79"/>
      <c r="V139" s="79"/>
      <c r="W139" s="79"/>
      <c r="X139" s="79"/>
      <c r="Y139" s="79"/>
      <c r="Z139" s="79"/>
    </row>
    <row r="140" spans="1:26" ht="12.75" customHeight="1">
      <c r="A140" s="73"/>
      <c r="B140" s="73"/>
      <c r="C140" s="80"/>
      <c r="D140" s="79"/>
      <c r="E140" s="79"/>
      <c r="F140" s="81"/>
      <c r="G140" s="81"/>
      <c r="H140" s="79"/>
      <c r="I140" s="79"/>
      <c r="J140" s="79"/>
      <c r="K140" s="79"/>
      <c r="L140" s="79"/>
      <c r="M140" s="79"/>
      <c r="N140" s="79"/>
      <c r="O140" s="79"/>
      <c r="P140" s="79"/>
      <c r="Q140" s="79"/>
      <c r="R140" s="79"/>
      <c r="S140" s="79"/>
      <c r="T140" s="79"/>
      <c r="U140" s="79"/>
      <c r="V140" s="79"/>
      <c r="W140" s="79"/>
      <c r="X140" s="79"/>
      <c r="Y140" s="79"/>
      <c r="Z140" s="79"/>
    </row>
    <row r="141" spans="1:26" ht="12.75" customHeight="1">
      <c r="A141" s="73"/>
      <c r="B141" s="73"/>
      <c r="C141" s="80"/>
      <c r="D141" s="79"/>
      <c r="E141" s="79"/>
      <c r="F141" s="81"/>
      <c r="G141" s="81"/>
      <c r="H141" s="79"/>
      <c r="I141" s="79"/>
      <c r="J141" s="79"/>
      <c r="K141" s="79"/>
      <c r="L141" s="79"/>
      <c r="M141" s="79"/>
      <c r="N141" s="79"/>
      <c r="O141" s="79"/>
      <c r="P141" s="79"/>
      <c r="Q141" s="79"/>
      <c r="R141" s="79"/>
      <c r="S141" s="79"/>
      <c r="T141" s="79"/>
      <c r="U141" s="79"/>
      <c r="V141" s="79"/>
      <c r="W141" s="79"/>
      <c r="X141" s="79"/>
      <c r="Y141" s="79"/>
      <c r="Z141" s="79"/>
    </row>
    <row r="142" spans="1:26" ht="12.75" customHeight="1">
      <c r="A142" s="73"/>
      <c r="B142" s="73"/>
      <c r="C142" s="80"/>
      <c r="D142" s="79"/>
      <c r="E142" s="79"/>
      <c r="F142" s="81"/>
      <c r="G142" s="81"/>
      <c r="H142" s="79"/>
      <c r="I142" s="79"/>
      <c r="J142" s="79"/>
      <c r="K142" s="79"/>
      <c r="L142" s="79"/>
      <c r="M142" s="79"/>
      <c r="N142" s="79"/>
      <c r="O142" s="79"/>
      <c r="P142" s="79"/>
      <c r="Q142" s="79"/>
      <c r="R142" s="79"/>
      <c r="S142" s="79"/>
      <c r="T142" s="79"/>
      <c r="U142" s="79"/>
      <c r="V142" s="79"/>
      <c r="W142" s="79"/>
      <c r="X142" s="79"/>
      <c r="Y142" s="79"/>
      <c r="Z142" s="79"/>
    </row>
    <row r="143" spans="1:26" ht="12.75" customHeight="1">
      <c r="A143" s="73"/>
      <c r="B143" s="73"/>
      <c r="C143" s="80"/>
      <c r="D143" s="79"/>
      <c r="E143" s="79"/>
      <c r="F143" s="81"/>
      <c r="G143" s="81"/>
      <c r="H143" s="79"/>
      <c r="I143" s="79"/>
      <c r="J143" s="79"/>
      <c r="K143" s="79"/>
      <c r="L143" s="79"/>
      <c r="M143" s="79"/>
      <c r="N143" s="79"/>
      <c r="O143" s="79"/>
      <c r="P143" s="79"/>
      <c r="Q143" s="79"/>
      <c r="R143" s="79"/>
      <c r="S143" s="79"/>
      <c r="T143" s="79"/>
      <c r="U143" s="79"/>
      <c r="V143" s="79"/>
      <c r="W143" s="79"/>
      <c r="X143" s="79"/>
      <c r="Y143" s="79"/>
      <c r="Z143" s="79"/>
    </row>
    <row r="144" spans="1:26" ht="12.75" customHeight="1">
      <c r="A144" s="73"/>
      <c r="B144" s="73"/>
      <c r="C144" s="80"/>
      <c r="D144" s="79"/>
      <c r="E144" s="79"/>
      <c r="F144" s="81"/>
      <c r="G144" s="81"/>
      <c r="H144" s="79"/>
      <c r="I144" s="79"/>
      <c r="J144" s="79"/>
      <c r="K144" s="79"/>
      <c r="L144" s="79"/>
      <c r="M144" s="79"/>
      <c r="N144" s="79"/>
      <c r="O144" s="79"/>
      <c r="P144" s="79"/>
      <c r="Q144" s="79"/>
      <c r="R144" s="79"/>
      <c r="S144" s="79"/>
      <c r="T144" s="79"/>
      <c r="U144" s="79"/>
      <c r="V144" s="79"/>
      <c r="W144" s="79"/>
      <c r="X144" s="79"/>
      <c r="Y144" s="79"/>
      <c r="Z144" s="79"/>
    </row>
    <row r="145" spans="1:26" ht="12.75" customHeight="1">
      <c r="A145" s="73"/>
      <c r="B145" s="73"/>
      <c r="C145" s="80"/>
      <c r="D145" s="79"/>
      <c r="E145" s="79"/>
      <c r="F145" s="81"/>
      <c r="G145" s="81"/>
      <c r="H145" s="79"/>
      <c r="I145" s="79"/>
      <c r="J145" s="79"/>
      <c r="K145" s="79"/>
      <c r="L145" s="79"/>
      <c r="M145" s="79"/>
      <c r="N145" s="79"/>
      <c r="O145" s="79"/>
      <c r="P145" s="79"/>
      <c r="Q145" s="79"/>
      <c r="R145" s="79"/>
      <c r="S145" s="79"/>
      <c r="T145" s="79"/>
      <c r="U145" s="79"/>
      <c r="V145" s="79"/>
      <c r="W145" s="79"/>
      <c r="X145" s="79"/>
      <c r="Y145" s="79"/>
      <c r="Z145" s="79"/>
    </row>
    <row r="146" spans="1:26" ht="12.75" customHeight="1">
      <c r="A146" s="73"/>
      <c r="B146" s="73"/>
      <c r="C146" s="80"/>
      <c r="D146" s="79"/>
      <c r="E146" s="79"/>
      <c r="F146" s="81"/>
      <c r="G146" s="81"/>
      <c r="H146" s="79"/>
      <c r="I146" s="79"/>
      <c r="J146" s="79"/>
      <c r="K146" s="79"/>
      <c r="L146" s="79"/>
      <c r="M146" s="79"/>
      <c r="N146" s="79"/>
      <c r="O146" s="79"/>
      <c r="P146" s="79"/>
      <c r="Q146" s="79"/>
      <c r="R146" s="79"/>
      <c r="S146" s="79"/>
      <c r="T146" s="79"/>
      <c r="U146" s="79"/>
      <c r="V146" s="79"/>
      <c r="W146" s="79"/>
      <c r="X146" s="79"/>
      <c r="Y146" s="79"/>
      <c r="Z146" s="79"/>
    </row>
    <row r="147" spans="1:26" ht="12.75" customHeight="1">
      <c r="A147" s="73"/>
      <c r="B147" s="73"/>
      <c r="C147" s="80"/>
      <c r="D147" s="79"/>
      <c r="E147" s="79"/>
      <c r="F147" s="81"/>
      <c r="G147" s="81"/>
      <c r="H147" s="79"/>
      <c r="I147" s="79"/>
      <c r="J147" s="79"/>
      <c r="K147" s="79"/>
      <c r="L147" s="79"/>
      <c r="M147" s="79"/>
      <c r="N147" s="79"/>
      <c r="O147" s="79"/>
      <c r="P147" s="79"/>
      <c r="Q147" s="79"/>
      <c r="R147" s="79"/>
      <c r="S147" s="79"/>
      <c r="T147" s="79"/>
      <c r="U147" s="79"/>
      <c r="V147" s="79"/>
      <c r="W147" s="79"/>
      <c r="X147" s="79"/>
      <c r="Y147" s="79"/>
      <c r="Z147" s="79"/>
    </row>
    <row r="148" spans="1:26" ht="12.75" customHeight="1">
      <c r="A148" s="73"/>
      <c r="B148" s="73"/>
      <c r="C148" s="80"/>
      <c r="D148" s="79"/>
      <c r="E148" s="79"/>
      <c r="F148" s="81"/>
      <c r="G148" s="81"/>
      <c r="H148" s="79"/>
      <c r="I148" s="79"/>
      <c r="J148" s="79"/>
      <c r="K148" s="79"/>
      <c r="L148" s="79"/>
      <c r="M148" s="79"/>
      <c r="N148" s="79"/>
      <c r="O148" s="79"/>
      <c r="P148" s="79"/>
      <c r="Q148" s="79"/>
      <c r="R148" s="79"/>
      <c r="S148" s="79"/>
      <c r="T148" s="79"/>
      <c r="U148" s="79"/>
      <c r="V148" s="79"/>
      <c r="W148" s="79"/>
      <c r="X148" s="79"/>
      <c r="Y148" s="79"/>
      <c r="Z148" s="79"/>
    </row>
    <row r="149" spans="1:26" ht="12.75" customHeight="1">
      <c r="A149" s="73"/>
      <c r="B149" s="73"/>
      <c r="C149" s="80"/>
      <c r="D149" s="79"/>
      <c r="E149" s="79"/>
      <c r="F149" s="81"/>
      <c r="G149" s="81"/>
      <c r="H149" s="79"/>
      <c r="I149" s="79"/>
      <c r="J149" s="79"/>
      <c r="K149" s="79"/>
      <c r="L149" s="79"/>
      <c r="M149" s="79"/>
      <c r="N149" s="79"/>
      <c r="O149" s="79"/>
      <c r="P149" s="79"/>
      <c r="Q149" s="79"/>
      <c r="R149" s="79"/>
      <c r="S149" s="79"/>
      <c r="T149" s="79"/>
      <c r="U149" s="79"/>
      <c r="V149" s="79"/>
      <c r="W149" s="79"/>
      <c r="X149" s="79"/>
      <c r="Y149" s="79"/>
      <c r="Z149" s="79"/>
    </row>
    <row r="150" spans="1:26" ht="12.75" customHeight="1">
      <c r="A150" s="73"/>
      <c r="B150" s="73"/>
      <c r="C150" s="80"/>
      <c r="D150" s="79"/>
      <c r="E150" s="79"/>
      <c r="F150" s="81"/>
      <c r="G150" s="81"/>
      <c r="H150" s="79"/>
      <c r="I150" s="79"/>
      <c r="J150" s="79"/>
      <c r="K150" s="79"/>
      <c r="L150" s="79"/>
      <c r="M150" s="79"/>
      <c r="N150" s="79"/>
      <c r="O150" s="79"/>
      <c r="P150" s="79"/>
      <c r="Q150" s="79"/>
      <c r="R150" s="79"/>
      <c r="S150" s="79"/>
      <c r="T150" s="79"/>
      <c r="U150" s="79"/>
      <c r="V150" s="79"/>
      <c r="W150" s="79"/>
      <c r="X150" s="79"/>
      <c r="Y150" s="79"/>
      <c r="Z150" s="79"/>
    </row>
    <row r="151" spans="1:26" ht="12.75" customHeight="1">
      <c r="A151" s="73"/>
      <c r="B151" s="73"/>
      <c r="C151" s="80"/>
      <c r="D151" s="79"/>
      <c r="E151" s="79"/>
      <c r="F151" s="81"/>
      <c r="G151" s="81"/>
      <c r="H151" s="79"/>
      <c r="I151" s="79"/>
      <c r="J151" s="79"/>
      <c r="K151" s="79"/>
      <c r="L151" s="79"/>
      <c r="M151" s="79"/>
      <c r="N151" s="79"/>
      <c r="O151" s="79"/>
      <c r="P151" s="79"/>
      <c r="Q151" s="79"/>
      <c r="R151" s="79"/>
      <c r="S151" s="79"/>
      <c r="T151" s="79"/>
      <c r="U151" s="79"/>
      <c r="V151" s="79"/>
      <c r="W151" s="79"/>
      <c r="X151" s="79"/>
      <c r="Y151" s="79"/>
      <c r="Z151" s="79"/>
    </row>
    <row r="152" spans="1:26" ht="12.75" customHeight="1">
      <c r="A152" s="73"/>
      <c r="B152" s="73"/>
      <c r="C152" s="80"/>
      <c r="D152" s="79"/>
      <c r="E152" s="79"/>
      <c r="F152" s="81"/>
      <c r="G152" s="81"/>
      <c r="H152" s="79"/>
      <c r="I152" s="79"/>
      <c r="J152" s="79"/>
      <c r="K152" s="79"/>
      <c r="L152" s="79"/>
      <c r="M152" s="79"/>
      <c r="N152" s="79"/>
      <c r="O152" s="79"/>
      <c r="P152" s="79"/>
      <c r="Q152" s="79"/>
      <c r="R152" s="79"/>
      <c r="S152" s="79"/>
      <c r="T152" s="79"/>
      <c r="U152" s="79"/>
      <c r="V152" s="79"/>
      <c r="W152" s="79"/>
      <c r="X152" s="79"/>
      <c r="Y152" s="79"/>
      <c r="Z152" s="79"/>
    </row>
    <row r="153" spans="1:26" ht="12.75" customHeight="1">
      <c r="A153" s="73"/>
      <c r="B153" s="73"/>
      <c r="C153" s="80"/>
      <c r="D153" s="79"/>
      <c r="E153" s="79"/>
      <c r="F153" s="81"/>
      <c r="G153" s="81"/>
      <c r="H153" s="79"/>
      <c r="I153" s="79"/>
      <c r="J153" s="79"/>
      <c r="K153" s="79"/>
      <c r="L153" s="79"/>
      <c r="M153" s="79"/>
      <c r="N153" s="79"/>
      <c r="O153" s="79"/>
      <c r="P153" s="79"/>
      <c r="Q153" s="79"/>
      <c r="R153" s="79"/>
      <c r="S153" s="79"/>
      <c r="T153" s="79"/>
      <c r="U153" s="79"/>
      <c r="V153" s="79"/>
      <c r="W153" s="79"/>
      <c r="X153" s="79"/>
      <c r="Y153" s="79"/>
      <c r="Z153" s="79"/>
    </row>
    <row r="154" spans="1:26" ht="12.75" customHeight="1">
      <c r="A154" s="73"/>
      <c r="B154" s="73"/>
      <c r="C154" s="80"/>
      <c r="D154" s="79"/>
      <c r="E154" s="79"/>
      <c r="F154" s="81"/>
      <c r="G154" s="81"/>
      <c r="H154" s="79"/>
      <c r="I154" s="79"/>
      <c r="J154" s="79"/>
      <c r="K154" s="79"/>
      <c r="L154" s="79"/>
      <c r="M154" s="79"/>
      <c r="N154" s="79"/>
      <c r="O154" s="79"/>
      <c r="P154" s="79"/>
      <c r="Q154" s="79"/>
      <c r="R154" s="79"/>
      <c r="S154" s="79"/>
      <c r="T154" s="79"/>
      <c r="U154" s="79"/>
      <c r="V154" s="79"/>
      <c r="W154" s="79"/>
      <c r="X154" s="79"/>
      <c r="Y154" s="79"/>
      <c r="Z154" s="79"/>
    </row>
    <row r="155" spans="1:26" ht="12.75" customHeight="1">
      <c r="A155" s="73"/>
      <c r="B155" s="73"/>
      <c r="C155" s="80"/>
      <c r="D155" s="79"/>
      <c r="E155" s="79"/>
      <c r="F155" s="81"/>
      <c r="G155" s="81"/>
      <c r="H155" s="79"/>
      <c r="I155" s="79"/>
      <c r="J155" s="79"/>
      <c r="K155" s="79"/>
      <c r="L155" s="79"/>
      <c r="M155" s="79"/>
      <c r="N155" s="79"/>
      <c r="O155" s="79"/>
      <c r="P155" s="79"/>
      <c r="Q155" s="79"/>
      <c r="R155" s="79"/>
      <c r="S155" s="79"/>
      <c r="T155" s="79"/>
      <c r="U155" s="79"/>
      <c r="V155" s="79"/>
      <c r="W155" s="79"/>
      <c r="X155" s="79"/>
      <c r="Y155" s="79"/>
      <c r="Z155" s="79"/>
    </row>
    <row r="156" spans="1:26" ht="12.75" customHeight="1">
      <c r="A156" s="73"/>
      <c r="B156" s="73"/>
      <c r="C156" s="80"/>
      <c r="D156" s="79"/>
      <c r="E156" s="79"/>
      <c r="F156" s="81"/>
      <c r="G156" s="81"/>
      <c r="H156" s="79"/>
      <c r="I156" s="79"/>
      <c r="J156" s="79"/>
      <c r="K156" s="79"/>
      <c r="L156" s="79"/>
      <c r="M156" s="79"/>
      <c r="N156" s="79"/>
      <c r="O156" s="79"/>
      <c r="P156" s="79"/>
      <c r="Q156" s="79"/>
      <c r="R156" s="79"/>
      <c r="S156" s="79"/>
      <c r="T156" s="79"/>
      <c r="U156" s="79"/>
      <c r="V156" s="79"/>
      <c r="W156" s="79"/>
      <c r="X156" s="79"/>
      <c r="Y156" s="79"/>
      <c r="Z156" s="79"/>
    </row>
    <row r="157" spans="1:26" ht="12.75" customHeight="1">
      <c r="A157" s="73"/>
      <c r="B157" s="73"/>
      <c r="C157" s="80"/>
      <c r="D157" s="79"/>
      <c r="E157" s="79"/>
      <c r="F157" s="81"/>
      <c r="G157" s="81"/>
      <c r="H157" s="79"/>
      <c r="I157" s="79"/>
      <c r="J157" s="79"/>
      <c r="K157" s="79"/>
      <c r="L157" s="79"/>
      <c r="M157" s="79"/>
      <c r="N157" s="79"/>
      <c r="O157" s="79"/>
      <c r="P157" s="79"/>
      <c r="Q157" s="79"/>
      <c r="R157" s="79"/>
      <c r="S157" s="79"/>
      <c r="T157" s="79"/>
      <c r="U157" s="79"/>
      <c r="V157" s="79"/>
      <c r="W157" s="79"/>
      <c r="X157" s="79"/>
      <c r="Y157" s="79"/>
      <c r="Z157" s="79"/>
    </row>
    <row r="158" spans="1:26" ht="12.75" customHeight="1">
      <c r="A158" s="73"/>
      <c r="B158" s="73"/>
      <c r="C158" s="80"/>
      <c r="D158" s="79"/>
      <c r="E158" s="79"/>
      <c r="F158" s="81"/>
      <c r="G158" s="81"/>
      <c r="H158" s="79"/>
      <c r="I158" s="79"/>
      <c r="J158" s="79"/>
      <c r="K158" s="79"/>
      <c r="L158" s="79"/>
      <c r="M158" s="79"/>
      <c r="N158" s="79"/>
      <c r="O158" s="79"/>
      <c r="P158" s="79"/>
      <c r="Q158" s="79"/>
      <c r="R158" s="79"/>
      <c r="S158" s="79"/>
      <c r="T158" s="79"/>
      <c r="U158" s="79"/>
      <c r="V158" s="79"/>
      <c r="W158" s="79"/>
      <c r="X158" s="79"/>
      <c r="Y158" s="79"/>
      <c r="Z158" s="79"/>
    </row>
    <row r="159" spans="1:26" ht="12.75" customHeight="1">
      <c r="A159" s="73"/>
      <c r="B159" s="73"/>
      <c r="C159" s="80"/>
      <c r="D159" s="79"/>
      <c r="E159" s="79"/>
      <c r="F159" s="81"/>
      <c r="G159" s="81"/>
      <c r="H159" s="79"/>
      <c r="I159" s="79"/>
      <c r="J159" s="79"/>
      <c r="K159" s="79"/>
      <c r="L159" s="79"/>
      <c r="M159" s="79"/>
      <c r="N159" s="79"/>
      <c r="O159" s="79"/>
      <c r="P159" s="79"/>
      <c r="Q159" s="79"/>
      <c r="R159" s="79"/>
      <c r="S159" s="79"/>
      <c r="T159" s="79"/>
      <c r="U159" s="79"/>
      <c r="V159" s="79"/>
      <c r="W159" s="79"/>
      <c r="X159" s="79"/>
      <c r="Y159" s="79"/>
      <c r="Z159" s="79"/>
    </row>
    <row r="160" spans="1:26" ht="12.75" customHeight="1">
      <c r="A160" s="73"/>
      <c r="B160" s="73"/>
      <c r="C160" s="80"/>
      <c r="D160" s="79"/>
      <c r="E160" s="79"/>
      <c r="F160" s="81"/>
      <c r="G160" s="81"/>
      <c r="H160" s="79"/>
      <c r="I160" s="79"/>
      <c r="J160" s="79"/>
      <c r="K160" s="79"/>
      <c r="L160" s="79"/>
      <c r="M160" s="79"/>
      <c r="N160" s="79"/>
      <c r="O160" s="79"/>
      <c r="P160" s="79"/>
      <c r="Q160" s="79"/>
      <c r="R160" s="79"/>
      <c r="S160" s="79"/>
      <c r="T160" s="79"/>
      <c r="U160" s="79"/>
      <c r="V160" s="79"/>
      <c r="W160" s="79"/>
      <c r="X160" s="79"/>
      <c r="Y160" s="79"/>
      <c r="Z160" s="79"/>
    </row>
    <row r="161" spans="1:26" ht="12.75" customHeight="1">
      <c r="A161" s="73"/>
      <c r="B161" s="73"/>
      <c r="C161" s="80"/>
      <c r="D161" s="79"/>
      <c r="E161" s="79"/>
      <c r="F161" s="81"/>
      <c r="G161" s="81"/>
      <c r="H161" s="79"/>
      <c r="I161" s="79"/>
      <c r="J161" s="79"/>
      <c r="K161" s="79"/>
      <c r="L161" s="79"/>
      <c r="M161" s="79"/>
      <c r="N161" s="79"/>
      <c r="O161" s="79"/>
      <c r="P161" s="79"/>
      <c r="Q161" s="79"/>
      <c r="R161" s="79"/>
      <c r="S161" s="79"/>
      <c r="T161" s="79"/>
      <c r="U161" s="79"/>
      <c r="V161" s="79"/>
      <c r="W161" s="79"/>
      <c r="X161" s="79"/>
      <c r="Y161" s="79"/>
      <c r="Z161" s="79"/>
    </row>
    <row r="162" spans="1:26" ht="12.75" customHeight="1">
      <c r="A162" s="73"/>
      <c r="B162" s="73"/>
      <c r="C162" s="80"/>
      <c r="D162" s="79"/>
      <c r="E162" s="79"/>
      <c r="F162" s="81"/>
      <c r="G162" s="81"/>
      <c r="H162" s="79"/>
      <c r="I162" s="79"/>
      <c r="J162" s="79"/>
      <c r="K162" s="79"/>
      <c r="L162" s="79"/>
      <c r="M162" s="79"/>
      <c r="N162" s="79"/>
      <c r="O162" s="79"/>
      <c r="P162" s="79"/>
      <c r="Q162" s="79"/>
      <c r="R162" s="79"/>
      <c r="S162" s="79"/>
      <c r="T162" s="79"/>
      <c r="U162" s="79"/>
      <c r="V162" s="79"/>
      <c r="W162" s="79"/>
      <c r="X162" s="79"/>
      <c r="Y162" s="79"/>
      <c r="Z162" s="79"/>
    </row>
    <row r="163" spans="1:26" ht="12.75" customHeight="1">
      <c r="A163" s="73"/>
      <c r="B163" s="73"/>
      <c r="C163" s="80"/>
      <c r="D163" s="79"/>
      <c r="E163" s="79"/>
      <c r="F163" s="81"/>
      <c r="G163" s="81"/>
      <c r="H163" s="79"/>
      <c r="I163" s="79"/>
      <c r="J163" s="79"/>
      <c r="K163" s="79"/>
      <c r="L163" s="79"/>
      <c r="M163" s="79"/>
      <c r="N163" s="79"/>
      <c r="O163" s="79"/>
      <c r="P163" s="79"/>
      <c r="Q163" s="79"/>
      <c r="R163" s="79"/>
      <c r="S163" s="79"/>
      <c r="T163" s="79"/>
      <c r="U163" s="79"/>
      <c r="V163" s="79"/>
      <c r="W163" s="79"/>
      <c r="X163" s="79"/>
      <c r="Y163" s="79"/>
      <c r="Z163" s="79"/>
    </row>
    <row r="164" spans="1:26" ht="12.75" customHeight="1">
      <c r="A164" s="73"/>
      <c r="B164" s="73"/>
      <c r="C164" s="80"/>
      <c r="D164" s="79"/>
      <c r="E164" s="79"/>
      <c r="F164" s="81"/>
      <c r="G164" s="81"/>
      <c r="H164" s="79"/>
      <c r="I164" s="79"/>
      <c r="J164" s="79"/>
      <c r="K164" s="79"/>
      <c r="L164" s="79"/>
      <c r="M164" s="79"/>
      <c r="N164" s="79"/>
      <c r="O164" s="79"/>
      <c r="P164" s="79"/>
      <c r="Q164" s="79"/>
      <c r="R164" s="79"/>
      <c r="S164" s="79"/>
      <c r="T164" s="79"/>
      <c r="U164" s="79"/>
      <c r="V164" s="79"/>
      <c r="W164" s="79"/>
      <c r="X164" s="79"/>
      <c r="Y164" s="79"/>
      <c r="Z164" s="79"/>
    </row>
    <row r="165" spans="1:26" ht="12.75" customHeight="1">
      <c r="A165" s="73"/>
      <c r="B165" s="73"/>
      <c r="C165" s="80"/>
      <c r="D165" s="79"/>
      <c r="E165" s="79"/>
      <c r="F165" s="81"/>
      <c r="G165" s="81"/>
      <c r="H165" s="79"/>
      <c r="I165" s="79"/>
      <c r="J165" s="79"/>
      <c r="K165" s="79"/>
      <c r="L165" s="79"/>
      <c r="M165" s="79"/>
      <c r="N165" s="79"/>
      <c r="O165" s="79"/>
      <c r="P165" s="79"/>
      <c r="Q165" s="79"/>
      <c r="R165" s="79"/>
      <c r="S165" s="79"/>
      <c r="T165" s="79"/>
      <c r="U165" s="79"/>
      <c r="V165" s="79"/>
      <c r="W165" s="79"/>
      <c r="X165" s="79"/>
      <c r="Y165" s="79"/>
      <c r="Z165" s="79"/>
    </row>
    <row r="166" spans="1:26" ht="12.75" customHeight="1">
      <c r="A166" s="73"/>
      <c r="B166" s="73"/>
      <c r="C166" s="80"/>
      <c r="D166" s="79"/>
      <c r="E166" s="79"/>
      <c r="F166" s="81"/>
      <c r="G166" s="81"/>
      <c r="H166" s="79"/>
      <c r="I166" s="79"/>
      <c r="J166" s="79"/>
      <c r="K166" s="79"/>
      <c r="L166" s="79"/>
      <c r="M166" s="79"/>
      <c r="N166" s="79"/>
      <c r="O166" s="79"/>
      <c r="P166" s="79"/>
      <c r="Q166" s="79"/>
      <c r="R166" s="79"/>
      <c r="S166" s="79"/>
      <c r="T166" s="79"/>
      <c r="U166" s="79"/>
      <c r="V166" s="79"/>
      <c r="W166" s="79"/>
      <c r="X166" s="79"/>
      <c r="Y166" s="79"/>
      <c r="Z166" s="79"/>
    </row>
    <row r="167" spans="1:26" ht="12.75" customHeight="1">
      <c r="A167" s="73"/>
      <c r="B167" s="73"/>
      <c r="C167" s="80"/>
      <c r="D167" s="79"/>
      <c r="E167" s="79"/>
      <c r="F167" s="81"/>
      <c r="G167" s="81"/>
      <c r="H167" s="79"/>
      <c r="I167" s="79"/>
      <c r="J167" s="79"/>
      <c r="K167" s="79"/>
      <c r="L167" s="79"/>
      <c r="M167" s="79"/>
      <c r="N167" s="79"/>
      <c r="O167" s="79"/>
      <c r="P167" s="79"/>
      <c r="Q167" s="79"/>
      <c r="R167" s="79"/>
      <c r="S167" s="79"/>
      <c r="T167" s="79"/>
      <c r="U167" s="79"/>
      <c r="V167" s="79"/>
      <c r="W167" s="79"/>
      <c r="X167" s="79"/>
      <c r="Y167" s="79"/>
      <c r="Z167" s="79"/>
    </row>
    <row r="168" spans="1:26" ht="12.75" customHeight="1">
      <c r="A168" s="73"/>
      <c r="B168" s="73"/>
      <c r="C168" s="80"/>
      <c r="D168" s="79"/>
      <c r="E168" s="79"/>
      <c r="F168" s="81"/>
      <c r="G168" s="81"/>
      <c r="H168" s="79"/>
      <c r="I168" s="79"/>
      <c r="J168" s="79"/>
      <c r="K168" s="79"/>
      <c r="L168" s="79"/>
      <c r="M168" s="79"/>
      <c r="N168" s="79"/>
      <c r="O168" s="79"/>
      <c r="P168" s="79"/>
      <c r="Q168" s="79"/>
      <c r="R168" s="79"/>
      <c r="S168" s="79"/>
      <c r="T168" s="79"/>
      <c r="U168" s="79"/>
      <c r="V168" s="79"/>
      <c r="W168" s="79"/>
      <c r="X168" s="79"/>
      <c r="Y168" s="79"/>
      <c r="Z168" s="79"/>
    </row>
    <row r="169" spans="1:26" ht="12.75" customHeight="1">
      <c r="A169" s="73"/>
      <c r="B169" s="73"/>
      <c r="C169" s="80"/>
      <c r="D169" s="79"/>
      <c r="E169" s="79"/>
      <c r="F169" s="81"/>
      <c r="G169" s="81"/>
      <c r="H169" s="79"/>
      <c r="I169" s="79"/>
      <c r="J169" s="79"/>
      <c r="K169" s="79"/>
      <c r="L169" s="79"/>
      <c r="M169" s="79"/>
      <c r="N169" s="79"/>
      <c r="O169" s="79"/>
      <c r="P169" s="79"/>
      <c r="Q169" s="79"/>
      <c r="R169" s="79"/>
      <c r="S169" s="79"/>
      <c r="T169" s="79"/>
      <c r="U169" s="79"/>
      <c r="V169" s="79"/>
      <c r="W169" s="79"/>
      <c r="X169" s="79"/>
      <c r="Y169" s="79"/>
      <c r="Z169" s="79"/>
    </row>
    <row r="170" spans="1:26" ht="12.75" customHeight="1">
      <c r="A170" s="73"/>
      <c r="B170" s="73"/>
      <c r="C170" s="80"/>
      <c r="D170" s="79"/>
      <c r="E170" s="79"/>
      <c r="F170" s="81"/>
      <c r="G170" s="81"/>
      <c r="H170" s="79"/>
      <c r="I170" s="79"/>
      <c r="J170" s="79"/>
      <c r="K170" s="79"/>
      <c r="L170" s="79"/>
      <c r="M170" s="79"/>
      <c r="N170" s="79"/>
      <c r="O170" s="79"/>
      <c r="P170" s="79"/>
      <c r="Q170" s="79"/>
      <c r="R170" s="79"/>
      <c r="S170" s="79"/>
      <c r="T170" s="79"/>
      <c r="U170" s="79"/>
      <c r="V170" s="79"/>
      <c r="W170" s="79"/>
      <c r="X170" s="79"/>
      <c r="Y170" s="79"/>
      <c r="Z170" s="79"/>
    </row>
    <row r="171" spans="1:26" ht="12.75" customHeight="1">
      <c r="A171" s="73"/>
      <c r="B171" s="73"/>
      <c r="C171" s="80"/>
      <c r="D171" s="79"/>
      <c r="E171" s="79"/>
      <c r="F171" s="81"/>
      <c r="G171" s="81"/>
      <c r="H171" s="79"/>
      <c r="I171" s="79"/>
      <c r="J171" s="79"/>
      <c r="K171" s="79"/>
      <c r="L171" s="79"/>
      <c r="M171" s="79"/>
      <c r="N171" s="79"/>
      <c r="O171" s="79"/>
      <c r="P171" s="79"/>
      <c r="Q171" s="79"/>
      <c r="R171" s="79"/>
      <c r="S171" s="79"/>
      <c r="T171" s="79"/>
      <c r="U171" s="79"/>
      <c r="V171" s="79"/>
      <c r="W171" s="79"/>
      <c r="X171" s="79"/>
      <c r="Y171" s="79"/>
      <c r="Z171" s="79"/>
    </row>
    <row r="172" spans="1:26" ht="12.75" customHeight="1">
      <c r="A172" s="73"/>
      <c r="B172" s="73"/>
      <c r="C172" s="80"/>
      <c r="D172" s="79"/>
      <c r="E172" s="79"/>
      <c r="F172" s="81"/>
      <c r="G172" s="81"/>
      <c r="H172" s="79"/>
      <c r="I172" s="79"/>
      <c r="J172" s="79"/>
      <c r="K172" s="79"/>
      <c r="L172" s="79"/>
      <c r="M172" s="79"/>
      <c r="N172" s="79"/>
      <c r="O172" s="79"/>
      <c r="P172" s="79"/>
      <c r="Q172" s="79"/>
      <c r="R172" s="79"/>
      <c r="S172" s="79"/>
      <c r="T172" s="79"/>
      <c r="U172" s="79"/>
      <c r="V172" s="79"/>
      <c r="W172" s="79"/>
      <c r="X172" s="79"/>
      <c r="Y172" s="79"/>
      <c r="Z172" s="79"/>
    </row>
    <row r="173" spans="1:26" ht="12.75" customHeight="1">
      <c r="A173" s="73"/>
      <c r="B173" s="73"/>
      <c r="C173" s="80"/>
      <c r="D173" s="79"/>
      <c r="E173" s="79"/>
      <c r="F173" s="81"/>
      <c r="G173" s="81"/>
      <c r="H173" s="79"/>
      <c r="I173" s="79"/>
      <c r="J173" s="79"/>
      <c r="K173" s="79"/>
      <c r="L173" s="79"/>
      <c r="M173" s="79"/>
      <c r="N173" s="79"/>
      <c r="O173" s="79"/>
      <c r="P173" s="79"/>
      <c r="Q173" s="79"/>
      <c r="R173" s="79"/>
      <c r="S173" s="79"/>
      <c r="T173" s="79"/>
      <c r="U173" s="79"/>
      <c r="V173" s="79"/>
      <c r="W173" s="79"/>
      <c r="X173" s="79"/>
      <c r="Y173" s="79"/>
      <c r="Z173" s="79"/>
    </row>
    <row r="174" spans="1:26" ht="12.75" customHeight="1">
      <c r="A174" s="73"/>
      <c r="B174" s="73"/>
      <c r="C174" s="80"/>
      <c r="D174" s="79"/>
      <c r="E174" s="79"/>
      <c r="F174" s="81"/>
      <c r="G174" s="81"/>
      <c r="H174" s="79"/>
      <c r="I174" s="79"/>
      <c r="J174" s="79"/>
      <c r="K174" s="79"/>
      <c r="L174" s="79"/>
      <c r="M174" s="79"/>
      <c r="N174" s="79"/>
      <c r="O174" s="79"/>
      <c r="P174" s="79"/>
      <c r="Q174" s="79"/>
      <c r="R174" s="79"/>
      <c r="S174" s="79"/>
      <c r="T174" s="79"/>
      <c r="U174" s="79"/>
      <c r="V174" s="79"/>
      <c r="W174" s="79"/>
      <c r="X174" s="79"/>
      <c r="Y174" s="79"/>
      <c r="Z174" s="79"/>
    </row>
    <row r="175" spans="1:26" ht="12.75" customHeight="1">
      <c r="A175" s="73"/>
      <c r="B175" s="73"/>
      <c r="C175" s="80"/>
      <c r="D175" s="79"/>
      <c r="E175" s="79"/>
      <c r="F175" s="81"/>
      <c r="G175" s="81"/>
      <c r="H175" s="79"/>
      <c r="I175" s="79"/>
      <c r="J175" s="79"/>
      <c r="K175" s="79"/>
      <c r="L175" s="79"/>
      <c r="M175" s="79"/>
      <c r="N175" s="79"/>
      <c r="O175" s="79"/>
      <c r="P175" s="79"/>
      <c r="Q175" s="79"/>
      <c r="R175" s="79"/>
      <c r="S175" s="79"/>
      <c r="T175" s="79"/>
      <c r="U175" s="79"/>
      <c r="V175" s="79"/>
      <c r="W175" s="79"/>
      <c r="X175" s="79"/>
      <c r="Y175" s="79"/>
      <c r="Z175" s="79"/>
    </row>
    <row r="176" spans="1:26" ht="12.75" customHeight="1">
      <c r="A176" s="73"/>
      <c r="B176" s="73"/>
      <c r="C176" s="80"/>
      <c r="D176" s="79"/>
      <c r="E176" s="79"/>
      <c r="F176" s="81"/>
      <c r="G176" s="81"/>
      <c r="H176" s="79"/>
      <c r="I176" s="79"/>
      <c r="J176" s="79"/>
      <c r="K176" s="79"/>
      <c r="L176" s="79"/>
      <c r="M176" s="79"/>
      <c r="N176" s="79"/>
      <c r="O176" s="79"/>
      <c r="P176" s="79"/>
      <c r="Q176" s="79"/>
      <c r="R176" s="79"/>
      <c r="S176" s="79"/>
      <c r="T176" s="79"/>
      <c r="U176" s="79"/>
      <c r="V176" s="79"/>
      <c r="W176" s="79"/>
      <c r="X176" s="79"/>
      <c r="Y176" s="79"/>
      <c r="Z176" s="79"/>
    </row>
    <row r="177" spans="1:26" ht="12.75" customHeight="1">
      <c r="A177" s="73"/>
      <c r="B177" s="73"/>
      <c r="C177" s="80"/>
      <c r="D177" s="79"/>
      <c r="E177" s="79"/>
      <c r="F177" s="81"/>
      <c r="G177" s="81"/>
      <c r="H177" s="79"/>
      <c r="I177" s="79"/>
      <c r="J177" s="79"/>
      <c r="K177" s="79"/>
      <c r="L177" s="79"/>
      <c r="M177" s="79"/>
      <c r="N177" s="79"/>
      <c r="O177" s="79"/>
      <c r="P177" s="79"/>
      <c r="Q177" s="79"/>
      <c r="R177" s="79"/>
      <c r="S177" s="79"/>
      <c r="T177" s="79"/>
      <c r="U177" s="79"/>
      <c r="V177" s="79"/>
      <c r="W177" s="79"/>
      <c r="X177" s="79"/>
      <c r="Y177" s="79"/>
      <c r="Z177" s="79"/>
    </row>
    <row r="178" spans="1:26" ht="12.75" customHeight="1">
      <c r="A178" s="73"/>
      <c r="B178" s="73"/>
      <c r="C178" s="80"/>
      <c r="D178" s="79"/>
      <c r="E178" s="79"/>
      <c r="F178" s="81"/>
      <c r="G178" s="81"/>
      <c r="H178" s="79"/>
      <c r="I178" s="79"/>
      <c r="J178" s="79"/>
      <c r="K178" s="79"/>
      <c r="L178" s="79"/>
      <c r="M178" s="79"/>
      <c r="N178" s="79"/>
      <c r="O178" s="79"/>
      <c r="P178" s="79"/>
      <c r="Q178" s="79"/>
      <c r="R178" s="79"/>
      <c r="S178" s="79"/>
      <c r="T178" s="79"/>
      <c r="U178" s="79"/>
      <c r="V178" s="79"/>
      <c r="W178" s="79"/>
      <c r="X178" s="79"/>
      <c r="Y178" s="79"/>
      <c r="Z178" s="79"/>
    </row>
    <row r="179" spans="1:26" ht="12.75" customHeight="1">
      <c r="A179" s="73"/>
      <c r="B179" s="73"/>
      <c r="C179" s="80"/>
      <c r="D179" s="79"/>
      <c r="E179" s="79"/>
      <c r="F179" s="81"/>
      <c r="G179" s="81"/>
      <c r="H179" s="79"/>
      <c r="I179" s="79"/>
      <c r="J179" s="79"/>
      <c r="K179" s="79"/>
      <c r="L179" s="79"/>
      <c r="M179" s="79"/>
      <c r="N179" s="79"/>
      <c r="O179" s="79"/>
      <c r="P179" s="79"/>
      <c r="Q179" s="79"/>
      <c r="R179" s="79"/>
      <c r="S179" s="79"/>
      <c r="T179" s="79"/>
      <c r="U179" s="79"/>
      <c r="V179" s="79"/>
      <c r="W179" s="79"/>
      <c r="X179" s="79"/>
      <c r="Y179" s="79"/>
      <c r="Z179" s="79"/>
    </row>
    <row r="180" spans="1:26" ht="12.75" customHeight="1">
      <c r="A180" s="73"/>
      <c r="B180" s="73"/>
      <c r="C180" s="80"/>
      <c r="D180" s="79"/>
      <c r="E180" s="79"/>
      <c r="F180" s="81"/>
      <c r="G180" s="81"/>
      <c r="H180" s="79"/>
      <c r="I180" s="79"/>
      <c r="J180" s="79"/>
      <c r="K180" s="79"/>
      <c r="L180" s="79"/>
      <c r="M180" s="79"/>
      <c r="N180" s="79"/>
      <c r="O180" s="79"/>
      <c r="P180" s="79"/>
      <c r="Q180" s="79"/>
      <c r="R180" s="79"/>
      <c r="S180" s="79"/>
      <c r="T180" s="79"/>
      <c r="U180" s="79"/>
      <c r="V180" s="79"/>
      <c r="W180" s="79"/>
      <c r="X180" s="79"/>
      <c r="Y180" s="79"/>
      <c r="Z180" s="79"/>
    </row>
    <row r="181" spans="1:26" ht="12.75" customHeight="1">
      <c r="A181" s="73"/>
      <c r="B181" s="73"/>
      <c r="C181" s="80"/>
      <c r="D181" s="79"/>
      <c r="E181" s="79"/>
      <c r="F181" s="81"/>
      <c r="G181" s="81"/>
      <c r="H181" s="79"/>
      <c r="I181" s="79"/>
      <c r="J181" s="79"/>
      <c r="K181" s="79"/>
      <c r="L181" s="79"/>
      <c r="M181" s="79"/>
      <c r="N181" s="79"/>
      <c r="O181" s="79"/>
      <c r="P181" s="79"/>
      <c r="Q181" s="79"/>
      <c r="R181" s="79"/>
      <c r="S181" s="79"/>
      <c r="T181" s="79"/>
      <c r="U181" s="79"/>
      <c r="V181" s="79"/>
      <c r="W181" s="79"/>
      <c r="X181" s="79"/>
      <c r="Y181" s="79"/>
      <c r="Z181" s="79"/>
    </row>
    <row r="182" spans="1:26" ht="12.75" customHeight="1">
      <c r="A182" s="73"/>
      <c r="B182" s="73"/>
      <c r="C182" s="80"/>
      <c r="D182" s="79"/>
      <c r="E182" s="79"/>
      <c r="F182" s="81"/>
      <c r="G182" s="81"/>
      <c r="H182" s="79"/>
      <c r="I182" s="79"/>
      <c r="J182" s="79"/>
      <c r="K182" s="79"/>
      <c r="L182" s="79"/>
      <c r="M182" s="79"/>
      <c r="N182" s="79"/>
      <c r="O182" s="79"/>
      <c r="P182" s="79"/>
      <c r="Q182" s="79"/>
      <c r="R182" s="79"/>
      <c r="S182" s="79"/>
      <c r="T182" s="79"/>
      <c r="U182" s="79"/>
      <c r="V182" s="79"/>
      <c r="W182" s="79"/>
      <c r="X182" s="79"/>
      <c r="Y182" s="79"/>
      <c r="Z182" s="79"/>
    </row>
    <row r="183" spans="1:26" ht="12.75" customHeight="1">
      <c r="A183" s="73"/>
      <c r="B183" s="73"/>
      <c r="C183" s="80"/>
      <c r="D183" s="79"/>
      <c r="E183" s="79"/>
      <c r="F183" s="81"/>
      <c r="G183" s="81"/>
      <c r="H183" s="79"/>
      <c r="I183" s="79"/>
      <c r="J183" s="79"/>
      <c r="K183" s="79"/>
      <c r="L183" s="79"/>
      <c r="M183" s="79"/>
      <c r="N183" s="79"/>
      <c r="O183" s="79"/>
      <c r="P183" s="79"/>
      <c r="Q183" s="79"/>
      <c r="R183" s="79"/>
      <c r="S183" s="79"/>
      <c r="T183" s="79"/>
      <c r="U183" s="79"/>
      <c r="V183" s="79"/>
      <c r="W183" s="79"/>
      <c r="X183" s="79"/>
      <c r="Y183" s="79"/>
      <c r="Z183" s="79"/>
    </row>
    <row r="184" spans="1:26" ht="12.75" customHeight="1">
      <c r="A184" s="73"/>
      <c r="B184" s="73"/>
      <c r="C184" s="80"/>
      <c r="D184" s="79"/>
      <c r="E184" s="79"/>
      <c r="F184" s="81"/>
      <c r="G184" s="81"/>
      <c r="H184" s="79"/>
      <c r="I184" s="79"/>
      <c r="J184" s="79"/>
      <c r="K184" s="79"/>
      <c r="L184" s="79"/>
      <c r="M184" s="79"/>
      <c r="N184" s="79"/>
      <c r="O184" s="79"/>
      <c r="P184" s="79"/>
      <c r="Q184" s="79"/>
      <c r="R184" s="79"/>
      <c r="S184" s="79"/>
      <c r="T184" s="79"/>
      <c r="U184" s="79"/>
      <c r="V184" s="79"/>
      <c r="W184" s="79"/>
      <c r="X184" s="79"/>
      <c r="Y184" s="79"/>
      <c r="Z184" s="79"/>
    </row>
    <row r="185" spans="1:26" ht="12.75" customHeight="1">
      <c r="A185" s="73"/>
      <c r="B185" s="73"/>
      <c r="C185" s="80"/>
      <c r="D185" s="79"/>
      <c r="E185" s="79"/>
      <c r="F185" s="81"/>
      <c r="G185" s="81"/>
      <c r="H185" s="79"/>
      <c r="I185" s="79"/>
      <c r="J185" s="79"/>
      <c r="K185" s="79"/>
      <c r="L185" s="79"/>
      <c r="M185" s="79"/>
      <c r="N185" s="79"/>
      <c r="O185" s="79"/>
      <c r="P185" s="79"/>
      <c r="Q185" s="79"/>
      <c r="R185" s="79"/>
      <c r="S185" s="79"/>
      <c r="T185" s="79"/>
      <c r="U185" s="79"/>
      <c r="V185" s="79"/>
      <c r="W185" s="79"/>
      <c r="X185" s="79"/>
      <c r="Y185" s="79"/>
      <c r="Z185" s="79"/>
    </row>
    <row r="186" spans="1:26" ht="12.75" customHeight="1">
      <c r="A186" s="73"/>
      <c r="B186" s="73"/>
      <c r="C186" s="80"/>
      <c r="D186" s="79"/>
      <c r="E186" s="79"/>
      <c r="F186" s="81"/>
      <c r="G186" s="81"/>
      <c r="H186" s="79"/>
      <c r="I186" s="79"/>
      <c r="J186" s="79"/>
      <c r="K186" s="79"/>
      <c r="L186" s="79"/>
      <c r="M186" s="79"/>
      <c r="N186" s="79"/>
      <c r="O186" s="79"/>
      <c r="P186" s="79"/>
      <c r="Q186" s="79"/>
      <c r="R186" s="79"/>
      <c r="S186" s="79"/>
      <c r="T186" s="79"/>
      <c r="U186" s="79"/>
      <c r="V186" s="79"/>
      <c r="W186" s="79"/>
      <c r="X186" s="79"/>
      <c r="Y186" s="79"/>
      <c r="Z186" s="79"/>
    </row>
    <row r="187" spans="1:26" ht="12.75" customHeight="1">
      <c r="A187" s="73"/>
      <c r="B187" s="73"/>
      <c r="C187" s="80"/>
      <c r="D187" s="79"/>
      <c r="E187" s="79"/>
      <c r="F187" s="81"/>
      <c r="G187" s="81"/>
      <c r="H187" s="79"/>
      <c r="I187" s="79"/>
      <c r="J187" s="79"/>
      <c r="K187" s="79"/>
      <c r="L187" s="79"/>
      <c r="M187" s="79"/>
      <c r="N187" s="79"/>
      <c r="O187" s="79"/>
      <c r="P187" s="79"/>
      <c r="Q187" s="79"/>
      <c r="R187" s="79"/>
      <c r="S187" s="79"/>
      <c r="T187" s="79"/>
      <c r="U187" s="79"/>
      <c r="V187" s="79"/>
      <c r="W187" s="79"/>
      <c r="X187" s="79"/>
      <c r="Y187" s="79"/>
      <c r="Z187" s="79"/>
    </row>
    <row r="188" spans="1:26" ht="12.75" customHeight="1">
      <c r="A188" s="73"/>
      <c r="B188" s="73"/>
      <c r="C188" s="80"/>
      <c r="D188" s="79"/>
      <c r="E188" s="79"/>
      <c r="F188" s="81"/>
      <c r="G188" s="81"/>
      <c r="H188" s="79"/>
      <c r="I188" s="79"/>
      <c r="J188" s="79"/>
      <c r="K188" s="79"/>
      <c r="L188" s="79"/>
      <c r="M188" s="79"/>
      <c r="N188" s="79"/>
      <c r="O188" s="79"/>
      <c r="P188" s="79"/>
      <c r="Q188" s="79"/>
      <c r="R188" s="79"/>
      <c r="S188" s="79"/>
      <c r="T188" s="79"/>
      <c r="U188" s="79"/>
      <c r="V188" s="79"/>
      <c r="W188" s="79"/>
      <c r="X188" s="79"/>
      <c r="Y188" s="79"/>
      <c r="Z188" s="79"/>
    </row>
    <row r="189" spans="1:26" ht="12.75" customHeight="1">
      <c r="A189" s="73"/>
      <c r="B189" s="73"/>
      <c r="C189" s="80"/>
      <c r="D189" s="79"/>
      <c r="E189" s="79"/>
      <c r="F189" s="81"/>
      <c r="G189" s="81"/>
      <c r="H189" s="79"/>
      <c r="I189" s="79"/>
      <c r="J189" s="79"/>
      <c r="K189" s="79"/>
      <c r="L189" s="79"/>
      <c r="M189" s="79"/>
      <c r="N189" s="79"/>
      <c r="O189" s="79"/>
      <c r="P189" s="79"/>
      <c r="Q189" s="79"/>
      <c r="R189" s="79"/>
      <c r="S189" s="79"/>
      <c r="T189" s="79"/>
      <c r="U189" s="79"/>
      <c r="V189" s="79"/>
      <c r="W189" s="79"/>
      <c r="X189" s="79"/>
      <c r="Y189" s="79"/>
      <c r="Z189" s="79"/>
    </row>
    <row r="190" spans="1:26" ht="12.75" customHeight="1">
      <c r="A190" s="73"/>
      <c r="B190" s="73"/>
      <c r="C190" s="80"/>
      <c r="D190" s="79"/>
      <c r="E190" s="79"/>
      <c r="F190" s="81"/>
      <c r="G190" s="81"/>
      <c r="H190" s="79"/>
      <c r="I190" s="79"/>
      <c r="J190" s="79"/>
      <c r="K190" s="79"/>
      <c r="L190" s="79"/>
      <c r="M190" s="79"/>
      <c r="N190" s="79"/>
      <c r="O190" s="79"/>
      <c r="P190" s="79"/>
      <c r="Q190" s="79"/>
      <c r="R190" s="79"/>
      <c r="S190" s="79"/>
      <c r="T190" s="79"/>
      <c r="U190" s="79"/>
      <c r="V190" s="79"/>
      <c r="W190" s="79"/>
      <c r="X190" s="79"/>
      <c r="Y190" s="79"/>
      <c r="Z190" s="79"/>
    </row>
    <row r="191" spans="1:26" ht="12.75" customHeight="1">
      <c r="A191" s="73"/>
      <c r="B191" s="73"/>
      <c r="C191" s="80"/>
      <c r="D191" s="79"/>
      <c r="E191" s="79"/>
      <c r="F191" s="81"/>
      <c r="G191" s="81"/>
      <c r="H191" s="79"/>
      <c r="I191" s="79"/>
      <c r="J191" s="79"/>
      <c r="K191" s="79"/>
      <c r="L191" s="79"/>
      <c r="M191" s="79"/>
      <c r="N191" s="79"/>
      <c r="O191" s="79"/>
      <c r="P191" s="79"/>
      <c r="Q191" s="79"/>
      <c r="R191" s="79"/>
      <c r="S191" s="79"/>
      <c r="T191" s="79"/>
      <c r="U191" s="79"/>
      <c r="V191" s="79"/>
      <c r="W191" s="79"/>
      <c r="X191" s="79"/>
      <c r="Y191" s="79"/>
      <c r="Z191" s="79"/>
    </row>
    <row r="192" spans="1:26" ht="12.75" customHeight="1">
      <c r="A192" s="73"/>
      <c r="B192" s="73"/>
      <c r="C192" s="80"/>
      <c r="D192" s="79"/>
      <c r="E192" s="79"/>
      <c r="F192" s="81"/>
      <c r="G192" s="81"/>
      <c r="H192" s="79"/>
      <c r="I192" s="79"/>
      <c r="J192" s="79"/>
      <c r="K192" s="79"/>
      <c r="L192" s="79"/>
      <c r="M192" s="79"/>
      <c r="N192" s="79"/>
      <c r="O192" s="79"/>
      <c r="P192" s="79"/>
      <c r="Q192" s="79"/>
      <c r="R192" s="79"/>
      <c r="S192" s="79"/>
      <c r="T192" s="79"/>
      <c r="U192" s="79"/>
      <c r="V192" s="79"/>
      <c r="W192" s="79"/>
      <c r="X192" s="79"/>
      <c r="Y192" s="79"/>
      <c r="Z192" s="79"/>
    </row>
    <row r="193" spans="1:26" ht="12.75" customHeight="1">
      <c r="A193" s="73"/>
      <c r="B193" s="73"/>
      <c r="C193" s="80"/>
      <c r="D193" s="79"/>
      <c r="E193" s="79"/>
      <c r="F193" s="81"/>
      <c r="G193" s="81"/>
      <c r="H193" s="79"/>
      <c r="I193" s="79"/>
      <c r="J193" s="79"/>
      <c r="K193" s="79"/>
      <c r="L193" s="79"/>
      <c r="M193" s="79"/>
      <c r="N193" s="79"/>
      <c r="O193" s="79"/>
      <c r="P193" s="79"/>
      <c r="Q193" s="79"/>
      <c r="R193" s="79"/>
      <c r="S193" s="79"/>
      <c r="T193" s="79"/>
      <c r="U193" s="79"/>
      <c r="V193" s="79"/>
      <c r="W193" s="79"/>
      <c r="X193" s="79"/>
      <c r="Y193" s="79"/>
      <c r="Z193" s="79"/>
    </row>
    <row r="194" spans="1:26" ht="12.75" customHeight="1">
      <c r="A194" s="73"/>
      <c r="B194" s="73"/>
      <c r="C194" s="80"/>
      <c r="D194" s="79"/>
      <c r="E194" s="79"/>
      <c r="F194" s="81"/>
      <c r="G194" s="81"/>
      <c r="H194" s="79"/>
      <c r="I194" s="79"/>
      <c r="J194" s="79"/>
      <c r="K194" s="79"/>
      <c r="L194" s="79"/>
      <c r="M194" s="79"/>
      <c r="N194" s="79"/>
      <c r="O194" s="79"/>
      <c r="P194" s="79"/>
      <c r="Q194" s="79"/>
      <c r="R194" s="79"/>
      <c r="S194" s="79"/>
      <c r="T194" s="79"/>
      <c r="U194" s="79"/>
      <c r="V194" s="79"/>
      <c r="W194" s="79"/>
      <c r="X194" s="79"/>
      <c r="Y194" s="79"/>
      <c r="Z194" s="79"/>
    </row>
    <row r="195" spans="1:26" ht="12.75" customHeight="1">
      <c r="A195" s="73"/>
      <c r="B195" s="73"/>
      <c r="C195" s="80"/>
      <c r="D195" s="79"/>
      <c r="E195" s="79"/>
      <c r="F195" s="81"/>
      <c r="G195" s="81"/>
      <c r="H195" s="79"/>
      <c r="I195" s="79"/>
      <c r="J195" s="79"/>
      <c r="K195" s="79"/>
      <c r="L195" s="79"/>
      <c r="M195" s="79"/>
      <c r="N195" s="79"/>
      <c r="O195" s="79"/>
      <c r="P195" s="79"/>
      <c r="Q195" s="79"/>
      <c r="R195" s="79"/>
      <c r="S195" s="79"/>
      <c r="T195" s="79"/>
      <c r="U195" s="79"/>
      <c r="V195" s="79"/>
      <c r="W195" s="79"/>
      <c r="X195" s="79"/>
      <c r="Y195" s="79"/>
      <c r="Z195" s="79"/>
    </row>
    <row r="196" spans="1:26" ht="12.75" customHeight="1">
      <c r="A196" s="73"/>
      <c r="B196" s="73"/>
      <c r="C196" s="80"/>
      <c r="D196" s="79"/>
      <c r="E196" s="79"/>
      <c r="F196" s="81"/>
      <c r="G196" s="81"/>
      <c r="H196" s="79"/>
      <c r="I196" s="79"/>
      <c r="J196" s="79"/>
      <c r="K196" s="79"/>
      <c r="L196" s="79"/>
      <c r="M196" s="79"/>
      <c r="N196" s="79"/>
      <c r="O196" s="79"/>
      <c r="P196" s="79"/>
      <c r="Q196" s="79"/>
      <c r="R196" s="79"/>
      <c r="S196" s="79"/>
      <c r="T196" s="79"/>
      <c r="U196" s="79"/>
      <c r="V196" s="79"/>
      <c r="W196" s="79"/>
      <c r="X196" s="79"/>
      <c r="Y196" s="79"/>
      <c r="Z196" s="79"/>
    </row>
    <row r="197" spans="1:26" ht="12.75" customHeight="1">
      <c r="A197" s="73"/>
      <c r="B197" s="73"/>
      <c r="C197" s="80"/>
      <c r="D197" s="79"/>
      <c r="E197" s="79"/>
      <c r="F197" s="81"/>
      <c r="G197" s="81"/>
      <c r="H197" s="79"/>
      <c r="I197" s="79"/>
      <c r="J197" s="79"/>
      <c r="K197" s="79"/>
      <c r="L197" s="79"/>
      <c r="M197" s="79"/>
      <c r="N197" s="79"/>
      <c r="O197" s="79"/>
      <c r="P197" s="79"/>
      <c r="Q197" s="79"/>
      <c r="R197" s="79"/>
      <c r="S197" s="79"/>
      <c r="T197" s="79"/>
      <c r="U197" s="79"/>
      <c r="V197" s="79"/>
      <c r="W197" s="79"/>
      <c r="X197" s="79"/>
      <c r="Y197" s="79"/>
      <c r="Z197" s="79"/>
    </row>
    <row r="198" spans="1:26" ht="12.75" customHeight="1">
      <c r="A198" s="73"/>
      <c r="B198" s="73"/>
      <c r="C198" s="80"/>
      <c r="D198" s="79"/>
      <c r="E198" s="79"/>
      <c r="F198" s="81"/>
      <c r="G198" s="81"/>
      <c r="H198" s="79"/>
      <c r="I198" s="79"/>
      <c r="J198" s="79"/>
      <c r="K198" s="79"/>
      <c r="L198" s="79"/>
      <c r="M198" s="79"/>
      <c r="N198" s="79"/>
      <c r="O198" s="79"/>
      <c r="P198" s="79"/>
      <c r="Q198" s="79"/>
      <c r="R198" s="79"/>
      <c r="S198" s="79"/>
      <c r="T198" s="79"/>
      <c r="U198" s="79"/>
      <c r="V198" s="79"/>
      <c r="W198" s="79"/>
      <c r="X198" s="79"/>
      <c r="Y198" s="79"/>
      <c r="Z198" s="79"/>
    </row>
    <row r="199" spans="1:26" ht="12.75" customHeight="1">
      <c r="A199" s="73"/>
      <c r="B199" s="73"/>
      <c r="C199" s="80"/>
      <c r="D199" s="79"/>
      <c r="E199" s="79"/>
      <c r="F199" s="81"/>
      <c r="G199" s="81"/>
      <c r="H199" s="79"/>
      <c r="I199" s="79"/>
      <c r="J199" s="79"/>
      <c r="K199" s="79"/>
      <c r="L199" s="79"/>
      <c r="M199" s="79"/>
      <c r="N199" s="79"/>
      <c r="O199" s="79"/>
      <c r="P199" s="79"/>
      <c r="Q199" s="79"/>
      <c r="R199" s="79"/>
      <c r="S199" s="79"/>
      <c r="T199" s="79"/>
      <c r="U199" s="79"/>
      <c r="V199" s="79"/>
      <c r="W199" s="79"/>
      <c r="X199" s="79"/>
      <c r="Y199" s="79"/>
      <c r="Z199" s="79"/>
    </row>
    <row r="200" spans="1:26" ht="12.75" customHeight="1">
      <c r="A200" s="73"/>
      <c r="B200" s="73"/>
      <c r="C200" s="80"/>
      <c r="D200" s="79"/>
      <c r="E200" s="79"/>
      <c r="F200" s="81"/>
      <c r="G200" s="81"/>
      <c r="H200" s="79"/>
      <c r="I200" s="79"/>
      <c r="J200" s="79"/>
      <c r="K200" s="79"/>
      <c r="L200" s="79"/>
      <c r="M200" s="79"/>
      <c r="N200" s="79"/>
      <c r="O200" s="79"/>
      <c r="P200" s="79"/>
      <c r="Q200" s="79"/>
      <c r="R200" s="79"/>
      <c r="S200" s="79"/>
      <c r="T200" s="79"/>
      <c r="U200" s="79"/>
      <c r="V200" s="79"/>
      <c r="W200" s="79"/>
      <c r="X200" s="79"/>
      <c r="Y200" s="79"/>
      <c r="Z200" s="79"/>
    </row>
    <row r="201" spans="1:26" ht="12.75" customHeight="1">
      <c r="A201" s="73"/>
      <c r="B201" s="73"/>
      <c r="C201" s="80"/>
      <c r="D201" s="79"/>
      <c r="E201" s="79"/>
      <c r="F201" s="81"/>
      <c r="G201" s="81"/>
      <c r="H201" s="79"/>
      <c r="I201" s="79"/>
      <c r="J201" s="79"/>
      <c r="K201" s="79"/>
      <c r="L201" s="79"/>
      <c r="M201" s="79"/>
      <c r="N201" s="79"/>
      <c r="O201" s="79"/>
      <c r="P201" s="79"/>
      <c r="Q201" s="79"/>
      <c r="R201" s="79"/>
      <c r="S201" s="79"/>
      <c r="T201" s="79"/>
      <c r="U201" s="79"/>
      <c r="V201" s="79"/>
      <c r="W201" s="79"/>
      <c r="X201" s="79"/>
      <c r="Y201" s="79"/>
      <c r="Z201" s="79"/>
    </row>
    <row r="202" spans="1:26" ht="12.75" customHeight="1">
      <c r="A202" s="73"/>
      <c r="B202" s="73"/>
      <c r="C202" s="80"/>
      <c r="D202" s="79"/>
      <c r="E202" s="79"/>
      <c r="F202" s="81"/>
      <c r="G202" s="81"/>
      <c r="H202" s="79"/>
      <c r="I202" s="79"/>
      <c r="J202" s="79"/>
      <c r="K202" s="79"/>
      <c r="L202" s="79"/>
      <c r="M202" s="79"/>
      <c r="N202" s="79"/>
      <c r="O202" s="79"/>
      <c r="P202" s="79"/>
      <c r="Q202" s="79"/>
      <c r="R202" s="79"/>
      <c r="S202" s="79"/>
      <c r="T202" s="79"/>
      <c r="U202" s="79"/>
      <c r="V202" s="79"/>
      <c r="W202" s="79"/>
      <c r="X202" s="79"/>
      <c r="Y202" s="79"/>
      <c r="Z202" s="79"/>
    </row>
    <row r="203" spans="1:26" ht="12.75" customHeight="1">
      <c r="A203" s="73"/>
      <c r="B203" s="73"/>
      <c r="C203" s="80"/>
      <c r="D203" s="79"/>
      <c r="E203" s="79"/>
      <c r="F203" s="81"/>
      <c r="G203" s="81"/>
      <c r="H203" s="79"/>
      <c r="I203" s="79"/>
      <c r="J203" s="79"/>
      <c r="K203" s="79"/>
      <c r="L203" s="79"/>
      <c r="M203" s="79"/>
      <c r="N203" s="79"/>
      <c r="O203" s="79"/>
      <c r="P203" s="79"/>
      <c r="Q203" s="79"/>
      <c r="R203" s="79"/>
      <c r="S203" s="79"/>
      <c r="T203" s="79"/>
      <c r="U203" s="79"/>
      <c r="V203" s="79"/>
      <c r="W203" s="79"/>
      <c r="X203" s="79"/>
      <c r="Y203" s="79"/>
      <c r="Z203" s="79"/>
    </row>
    <row r="204" spans="1:26" ht="12.75" customHeight="1">
      <c r="A204" s="73"/>
      <c r="B204" s="73"/>
      <c r="C204" s="80"/>
      <c r="D204" s="79"/>
      <c r="E204" s="79"/>
      <c r="F204" s="81"/>
      <c r="G204" s="81"/>
      <c r="H204" s="79"/>
      <c r="I204" s="79"/>
      <c r="J204" s="79"/>
      <c r="K204" s="79"/>
      <c r="L204" s="79"/>
      <c r="M204" s="79"/>
      <c r="N204" s="79"/>
      <c r="O204" s="79"/>
      <c r="P204" s="79"/>
      <c r="Q204" s="79"/>
      <c r="R204" s="79"/>
      <c r="S204" s="79"/>
      <c r="T204" s="79"/>
      <c r="U204" s="79"/>
      <c r="V204" s="79"/>
      <c r="W204" s="79"/>
      <c r="X204" s="79"/>
      <c r="Y204" s="79"/>
      <c r="Z204" s="79"/>
    </row>
    <row r="205" spans="1:26" ht="12.75" customHeight="1">
      <c r="A205" s="73"/>
      <c r="B205" s="73"/>
      <c r="C205" s="80"/>
      <c r="D205" s="79"/>
      <c r="E205" s="79"/>
      <c r="F205" s="81"/>
      <c r="G205" s="81"/>
      <c r="H205" s="79"/>
      <c r="I205" s="79"/>
      <c r="J205" s="79"/>
      <c r="K205" s="79"/>
      <c r="L205" s="79"/>
      <c r="M205" s="79"/>
      <c r="N205" s="79"/>
      <c r="O205" s="79"/>
      <c r="P205" s="79"/>
      <c r="Q205" s="79"/>
      <c r="R205" s="79"/>
      <c r="S205" s="79"/>
      <c r="T205" s="79"/>
      <c r="U205" s="79"/>
      <c r="V205" s="79"/>
      <c r="W205" s="79"/>
      <c r="X205" s="79"/>
      <c r="Y205" s="79"/>
      <c r="Z205" s="79"/>
    </row>
    <row r="206" spans="1:26" ht="12.75" customHeight="1">
      <c r="A206" s="73"/>
      <c r="B206" s="73"/>
      <c r="C206" s="80"/>
      <c r="D206" s="79"/>
      <c r="E206" s="79"/>
      <c r="F206" s="81"/>
      <c r="G206" s="81"/>
      <c r="H206" s="79"/>
      <c r="I206" s="79"/>
      <c r="J206" s="79"/>
      <c r="K206" s="79"/>
      <c r="L206" s="79"/>
      <c r="M206" s="79"/>
      <c r="N206" s="79"/>
      <c r="O206" s="79"/>
      <c r="P206" s="79"/>
      <c r="Q206" s="79"/>
      <c r="R206" s="79"/>
      <c r="S206" s="79"/>
      <c r="T206" s="79"/>
      <c r="U206" s="79"/>
      <c r="V206" s="79"/>
      <c r="W206" s="79"/>
      <c r="X206" s="79"/>
      <c r="Y206" s="79"/>
      <c r="Z206" s="79"/>
    </row>
    <row r="207" spans="1:26" ht="12.75" customHeight="1">
      <c r="A207" s="73"/>
      <c r="B207" s="73"/>
      <c r="C207" s="80"/>
      <c r="D207" s="79"/>
      <c r="E207" s="79"/>
      <c r="F207" s="81"/>
      <c r="G207" s="81"/>
      <c r="H207" s="79"/>
      <c r="I207" s="79"/>
      <c r="J207" s="79"/>
      <c r="K207" s="79"/>
      <c r="L207" s="79"/>
      <c r="M207" s="79"/>
      <c r="N207" s="79"/>
      <c r="O207" s="79"/>
      <c r="P207" s="79"/>
      <c r="Q207" s="79"/>
      <c r="R207" s="79"/>
      <c r="S207" s="79"/>
      <c r="T207" s="79"/>
      <c r="U207" s="79"/>
      <c r="V207" s="79"/>
      <c r="W207" s="79"/>
      <c r="X207" s="79"/>
      <c r="Y207" s="79"/>
      <c r="Z207" s="79"/>
    </row>
    <row r="208" spans="1:26" ht="12.75" customHeight="1">
      <c r="A208" s="73"/>
      <c r="B208" s="73"/>
      <c r="C208" s="80"/>
      <c r="D208" s="79"/>
      <c r="E208" s="79"/>
      <c r="F208" s="81"/>
      <c r="G208" s="81"/>
      <c r="H208" s="79"/>
      <c r="I208" s="79"/>
      <c r="J208" s="79"/>
      <c r="K208" s="79"/>
      <c r="L208" s="79"/>
      <c r="M208" s="79"/>
      <c r="N208" s="79"/>
      <c r="O208" s="79"/>
      <c r="P208" s="79"/>
      <c r="Q208" s="79"/>
      <c r="R208" s="79"/>
      <c r="S208" s="79"/>
      <c r="T208" s="79"/>
      <c r="U208" s="79"/>
      <c r="V208" s="79"/>
      <c r="W208" s="79"/>
      <c r="X208" s="79"/>
      <c r="Y208" s="79"/>
      <c r="Z208" s="79"/>
    </row>
    <row r="209" spans="1:26" ht="12.75" customHeight="1">
      <c r="A209" s="73"/>
      <c r="B209" s="73"/>
      <c r="C209" s="80"/>
      <c r="D209" s="79"/>
      <c r="E209" s="79"/>
      <c r="F209" s="81"/>
      <c r="G209" s="81"/>
      <c r="H209" s="79"/>
      <c r="I209" s="79"/>
      <c r="J209" s="79"/>
      <c r="K209" s="79"/>
      <c r="L209" s="79"/>
      <c r="M209" s="79"/>
      <c r="N209" s="79"/>
      <c r="O209" s="79"/>
      <c r="P209" s="79"/>
      <c r="Q209" s="79"/>
      <c r="R209" s="79"/>
      <c r="S209" s="79"/>
      <c r="T209" s="79"/>
      <c r="U209" s="79"/>
      <c r="V209" s="79"/>
      <c r="W209" s="79"/>
      <c r="X209" s="79"/>
      <c r="Y209" s="79"/>
      <c r="Z209" s="79"/>
    </row>
    <row r="210" spans="1:26" ht="12.75" customHeight="1">
      <c r="A210" s="73"/>
      <c r="B210" s="73"/>
      <c r="C210" s="80"/>
      <c r="D210" s="79"/>
      <c r="E210" s="79"/>
      <c r="F210" s="81"/>
      <c r="G210" s="81"/>
      <c r="H210" s="79"/>
      <c r="I210" s="79"/>
      <c r="J210" s="79"/>
      <c r="K210" s="79"/>
      <c r="L210" s="79"/>
      <c r="M210" s="79"/>
      <c r="N210" s="79"/>
      <c r="O210" s="79"/>
      <c r="P210" s="79"/>
      <c r="Q210" s="79"/>
      <c r="R210" s="79"/>
      <c r="S210" s="79"/>
      <c r="T210" s="79"/>
      <c r="U210" s="79"/>
      <c r="V210" s="79"/>
      <c r="W210" s="79"/>
      <c r="X210" s="79"/>
      <c r="Y210" s="79"/>
      <c r="Z210" s="79"/>
    </row>
    <row r="211" spans="1:26" ht="12.75" customHeight="1">
      <c r="A211" s="73"/>
      <c r="B211" s="73"/>
      <c r="C211" s="80"/>
      <c r="D211" s="79"/>
      <c r="E211" s="79"/>
      <c r="F211" s="81"/>
      <c r="G211" s="81"/>
      <c r="H211" s="79"/>
      <c r="I211" s="79"/>
      <c r="J211" s="79"/>
      <c r="K211" s="79"/>
      <c r="L211" s="79"/>
      <c r="M211" s="79"/>
      <c r="N211" s="79"/>
      <c r="O211" s="79"/>
      <c r="P211" s="79"/>
      <c r="Q211" s="79"/>
      <c r="R211" s="79"/>
      <c r="S211" s="79"/>
      <c r="T211" s="79"/>
      <c r="U211" s="79"/>
      <c r="V211" s="79"/>
      <c r="W211" s="79"/>
      <c r="X211" s="79"/>
      <c r="Y211" s="79"/>
      <c r="Z211" s="79"/>
    </row>
    <row r="212" spans="1:26" ht="12.75" customHeight="1">
      <c r="A212" s="73"/>
      <c r="B212" s="73"/>
      <c r="C212" s="80"/>
      <c r="D212" s="79"/>
      <c r="E212" s="79"/>
      <c r="F212" s="81"/>
      <c r="G212" s="81"/>
      <c r="H212" s="79"/>
      <c r="I212" s="79"/>
      <c r="J212" s="79"/>
      <c r="K212" s="79"/>
      <c r="L212" s="79"/>
      <c r="M212" s="79"/>
      <c r="N212" s="79"/>
      <c r="O212" s="79"/>
      <c r="P212" s="79"/>
      <c r="Q212" s="79"/>
      <c r="R212" s="79"/>
      <c r="S212" s="79"/>
      <c r="T212" s="79"/>
      <c r="U212" s="79"/>
      <c r="V212" s="79"/>
      <c r="W212" s="79"/>
      <c r="X212" s="79"/>
      <c r="Y212" s="79"/>
      <c r="Z212" s="79"/>
    </row>
    <row r="213" spans="1:26" ht="12.75" customHeight="1">
      <c r="A213" s="73"/>
      <c r="B213" s="73"/>
      <c r="C213" s="80"/>
      <c r="D213" s="79"/>
      <c r="E213" s="79"/>
      <c r="F213" s="81"/>
      <c r="G213" s="81"/>
      <c r="H213" s="79"/>
      <c r="I213" s="79"/>
      <c r="J213" s="79"/>
      <c r="K213" s="79"/>
      <c r="L213" s="79"/>
      <c r="M213" s="79"/>
      <c r="N213" s="79"/>
      <c r="O213" s="79"/>
      <c r="P213" s="79"/>
      <c r="Q213" s="79"/>
      <c r="R213" s="79"/>
      <c r="S213" s="79"/>
      <c r="T213" s="79"/>
      <c r="U213" s="79"/>
      <c r="V213" s="79"/>
      <c r="W213" s="79"/>
      <c r="X213" s="79"/>
      <c r="Y213" s="79"/>
      <c r="Z213" s="79"/>
    </row>
    <row r="214" spans="1:26" ht="12.75" customHeight="1">
      <c r="A214" s="73"/>
      <c r="B214" s="73"/>
      <c r="C214" s="80"/>
      <c r="D214" s="79"/>
      <c r="E214" s="79"/>
      <c r="F214" s="81"/>
      <c r="G214" s="81"/>
      <c r="H214" s="79"/>
      <c r="I214" s="79"/>
      <c r="J214" s="79"/>
      <c r="K214" s="79"/>
      <c r="L214" s="79"/>
      <c r="M214" s="79"/>
      <c r="N214" s="79"/>
      <c r="O214" s="79"/>
      <c r="P214" s="79"/>
      <c r="Q214" s="79"/>
      <c r="R214" s="79"/>
      <c r="S214" s="79"/>
      <c r="T214" s="79"/>
      <c r="U214" s="79"/>
      <c r="V214" s="79"/>
      <c r="W214" s="79"/>
      <c r="X214" s="79"/>
      <c r="Y214" s="79"/>
      <c r="Z214" s="79"/>
    </row>
    <row r="215" spans="1:26" ht="12.75" customHeight="1">
      <c r="A215" s="73"/>
      <c r="B215" s="73"/>
      <c r="C215" s="80"/>
      <c r="D215" s="79"/>
      <c r="E215" s="79"/>
      <c r="F215" s="81"/>
      <c r="G215" s="81"/>
      <c r="H215" s="79"/>
      <c r="I215" s="79"/>
      <c r="J215" s="79"/>
      <c r="K215" s="79"/>
      <c r="L215" s="79"/>
      <c r="M215" s="79"/>
      <c r="N215" s="79"/>
      <c r="O215" s="79"/>
      <c r="P215" s="79"/>
      <c r="Q215" s="79"/>
      <c r="R215" s="79"/>
      <c r="S215" s="79"/>
      <c r="T215" s="79"/>
      <c r="U215" s="79"/>
      <c r="V215" s="79"/>
      <c r="W215" s="79"/>
      <c r="X215" s="79"/>
      <c r="Y215" s="79"/>
      <c r="Z215" s="79"/>
    </row>
    <row r="216" spans="1:26" ht="12.75" customHeight="1">
      <c r="A216" s="73"/>
      <c r="B216" s="73"/>
      <c r="C216" s="80"/>
      <c r="D216" s="79"/>
      <c r="E216" s="79"/>
      <c r="F216" s="81"/>
      <c r="G216" s="81"/>
      <c r="H216" s="79"/>
      <c r="I216" s="79"/>
      <c r="J216" s="79"/>
      <c r="K216" s="79"/>
      <c r="L216" s="79"/>
      <c r="M216" s="79"/>
      <c r="N216" s="79"/>
      <c r="O216" s="79"/>
      <c r="P216" s="79"/>
      <c r="Q216" s="79"/>
      <c r="R216" s="79"/>
      <c r="S216" s="79"/>
      <c r="T216" s="79"/>
      <c r="U216" s="79"/>
      <c r="V216" s="79"/>
      <c r="W216" s="79"/>
      <c r="X216" s="79"/>
      <c r="Y216" s="79"/>
      <c r="Z216" s="79"/>
    </row>
    <row r="217" spans="1:26" ht="12.75" customHeight="1">
      <c r="A217" s="73"/>
      <c r="B217" s="73"/>
      <c r="C217" s="80"/>
      <c r="D217" s="79"/>
      <c r="E217" s="79"/>
      <c r="F217" s="81"/>
      <c r="G217" s="81"/>
      <c r="H217" s="79"/>
      <c r="I217" s="79"/>
      <c r="J217" s="79"/>
      <c r="K217" s="79"/>
      <c r="L217" s="79"/>
      <c r="M217" s="79"/>
      <c r="N217" s="79"/>
      <c r="O217" s="79"/>
      <c r="P217" s="79"/>
      <c r="Q217" s="79"/>
      <c r="R217" s="79"/>
      <c r="S217" s="79"/>
      <c r="T217" s="79"/>
      <c r="U217" s="79"/>
      <c r="V217" s="79"/>
      <c r="W217" s="79"/>
      <c r="X217" s="79"/>
      <c r="Y217" s="79"/>
      <c r="Z217" s="79"/>
    </row>
    <row r="218" spans="1:26" ht="12.75" customHeight="1">
      <c r="A218" s="73"/>
      <c r="B218" s="73"/>
      <c r="C218" s="80"/>
      <c r="D218" s="79"/>
      <c r="E218" s="79"/>
      <c r="F218" s="81"/>
      <c r="G218" s="81"/>
      <c r="H218" s="79"/>
      <c r="I218" s="79"/>
      <c r="J218" s="79"/>
      <c r="K218" s="79"/>
      <c r="L218" s="79"/>
      <c r="M218" s="79"/>
      <c r="N218" s="79"/>
      <c r="O218" s="79"/>
      <c r="P218" s="79"/>
      <c r="Q218" s="79"/>
      <c r="R218" s="79"/>
      <c r="S218" s="79"/>
      <c r="T218" s="79"/>
      <c r="U218" s="79"/>
      <c r="V218" s="79"/>
      <c r="W218" s="79"/>
      <c r="X218" s="79"/>
      <c r="Y218" s="79"/>
      <c r="Z218" s="79"/>
    </row>
    <row r="219" spans="1:26" ht="12.75" customHeight="1">
      <c r="A219" s="73"/>
      <c r="B219" s="73"/>
      <c r="C219" s="80"/>
      <c r="D219" s="79"/>
      <c r="E219" s="79"/>
      <c r="F219" s="81"/>
      <c r="G219" s="81"/>
      <c r="H219" s="79"/>
      <c r="I219" s="79"/>
      <c r="J219" s="79"/>
      <c r="K219" s="79"/>
      <c r="L219" s="79"/>
      <c r="M219" s="79"/>
      <c r="N219" s="79"/>
      <c r="O219" s="79"/>
      <c r="P219" s="79"/>
      <c r="Q219" s="79"/>
      <c r="R219" s="79"/>
      <c r="S219" s="79"/>
      <c r="T219" s="79"/>
      <c r="U219" s="79"/>
      <c r="V219" s="79"/>
      <c r="W219" s="79"/>
      <c r="X219" s="79"/>
      <c r="Y219" s="79"/>
      <c r="Z219" s="79"/>
    </row>
    <row r="220" spans="1:26" ht="12.75" customHeight="1">
      <c r="A220" s="73"/>
      <c r="B220" s="73"/>
      <c r="C220" s="80"/>
      <c r="D220" s="79"/>
      <c r="E220" s="79"/>
      <c r="F220" s="81"/>
      <c r="G220" s="81"/>
      <c r="H220" s="79"/>
      <c r="I220" s="79"/>
      <c r="J220" s="79"/>
      <c r="K220" s="79"/>
      <c r="L220" s="79"/>
      <c r="M220" s="79"/>
      <c r="N220" s="79"/>
      <c r="O220" s="79"/>
      <c r="P220" s="79"/>
      <c r="Q220" s="79"/>
      <c r="R220" s="79"/>
      <c r="S220" s="79"/>
      <c r="T220" s="79"/>
      <c r="U220" s="79"/>
      <c r="V220" s="79"/>
      <c r="W220" s="79"/>
      <c r="X220" s="79"/>
      <c r="Y220" s="79"/>
      <c r="Z220" s="79"/>
    </row>
    <row r="221" spans="1:26" ht="12.75" customHeight="1">
      <c r="A221" s="73"/>
      <c r="B221" s="73"/>
      <c r="C221" s="80"/>
      <c r="D221" s="79"/>
      <c r="E221" s="79"/>
      <c r="F221" s="81"/>
      <c r="G221" s="81"/>
      <c r="H221" s="79"/>
      <c r="I221" s="79"/>
      <c r="J221" s="79"/>
      <c r="K221" s="79"/>
      <c r="L221" s="79"/>
      <c r="M221" s="79"/>
      <c r="N221" s="79"/>
      <c r="O221" s="79"/>
      <c r="P221" s="79"/>
      <c r="Q221" s="79"/>
      <c r="R221" s="79"/>
      <c r="S221" s="79"/>
      <c r="T221" s="79"/>
      <c r="U221" s="79"/>
      <c r="V221" s="79"/>
      <c r="W221" s="79"/>
      <c r="X221" s="79"/>
      <c r="Y221" s="79"/>
      <c r="Z221" s="79"/>
    </row>
    <row r="222" spans="1:26" ht="12.75" customHeight="1">
      <c r="A222" s="73"/>
      <c r="B222" s="73"/>
      <c r="C222" s="80"/>
      <c r="D222" s="79"/>
      <c r="E222" s="79"/>
      <c r="F222" s="81"/>
      <c r="G222" s="81"/>
      <c r="H222" s="79"/>
      <c r="I222" s="79"/>
      <c r="J222" s="79"/>
      <c r="K222" s="79"/>
      <c r="L222" s="79"/>
      <c r="M222" s="79"/>
      <c r="N222" s="79"/>
      <c r="O222" s="79"/>
      <c r="P222" s="79"/>
      <c r="Q222" s="79"/>
      <c r="R222" s="79"/>
      <c r="S222" s="79"/>
      <c r="T222" s="79"/>
      <c r="U222" s="79"/>
      <c r="V222" s="79"/>
      <c r="W222" s="79"/>
      <c r="X222" s="79"/>
      <c r="Y222" s="79"/>
      <c r="Z222" s="79"/>
    </row>
    <row r="223" spans="1:26" ht="12.75" customHeight="1">
      <c r="A223" s="73"/>
      <c r="B223" s="73"/>
      <c r="C223" s="80"/>
      <c r="D223" s="79"/>
      <c r="E223" s="79"/>
      <c r="F223" s="81"/>
      <c r="G223" s="81"/>
      <c r="H223" s="79"/>
      <c r="I223" s="79"/>
      <c r="J223" s="79"/>
      <c r="K223" s="79"/>
      <c r="L223" s="79"/>
      <c r="M223" s="79"/>
      <c r="N223" s="79"/>
      <c r="O223" s="79"/>
      <c r="P223" s="79"/>
      <c r="Q223" s="79"/>
      <c r="R223" s="79"/>
      <c r="S223" s="79"/>
      <c r="T223" s="79"/>
      <c r="U223" s="79"/>
      <c r="V223" s="79"/>
      <c r="W223" s="79"/>
      <c r="X223" s="79"/>
      <c r="Y223" s="79"/>
      <c r="Z223" s="79"/>
    </row>
    <row r="224" spans="1:26" ht="12.75" customHeight="1">
      <c r="A224" s="73"/>
      <c r="B224" s="73"/>
      <c r="C224" s="80"/>
      <c r="D224" s="79"/>
      <c r="E224" s="79"/>
      <c r="F224" s="81"/>
      <c r="G224" s="81"/>
      <c r="H224" s="79"/>
      <c r="I224" s="79"/>
      <c r="J224" s="79"/>
      <c r="K224" s="79"/>
      <c r="L224" s="79"/>
      <c r="M224" s="79"/>
      <c r="N224" s="79"/>
      <c r="O224" s="79"/>
      <c r="P224" s="79"/>
      <c r="Q224" s="79"/>
      <c r="R224" s="79"/>
      <c r="S224" s="79"/>
      <c r="T224" s="79"/>
      <c r="U224" s="79"/>
      <c r="V224" s="79"/>
      <c r="W224" s="79"/>
      <c r="X224" s="79"/>
      <c r="Y224" s="79"/>
      <c r="Z224" s="79"/>
    </row>
    <row r="225" spans="1:26" ht="12.75" customHeight="1">
      <c r="A225" s="73"/>
      <c r="B225" s="73"/>
      <c r="C225" s="80"/>
      <c r="D225" s="79"/>
      <c r="E225" s="79"/>
      <c r="F225" s="81"/>
      <c r="G225" s="81"/>
      <c r="H225" s="79"/>
      <c r="I225" s="79"/>
      <c r="J225" s="79"/>
      <c r="K225" s="79"/>
      <c r="L225" s="79"/>
      <c r="M225" s="79"/>
      <c r="N225" s="79"/>
      <c r="O225" s="79"/>
      <c r="P225" s="79"/>
      <c r="Q225" s="79"/>
      <c r="R225" s="79"/>
      <c r="S225" s="79"/>
      <c r="T225" s="79"/>
      <c r="U225" s="79"/>
      <c r="V225" s="79"/>
      <c r="W225" s="79"/>
      <c r="X225" s="79"/>
      <c r="Y225" s="79"/>
      <c r="Z225" s="79"/>
    </row>
    <row r="226" spans="1:26" ht="12.75" customHeight="1">
      <c r="A226" s="73"/>
      <c r="B226" s="73"/>
      <c r="C226" s="80"/>
      <c r="D226" s="79"/>
      <c r="E226" s="79"/>
      <c r="F226" s="81"/>
      <c r="G226" s="81"/>
      <c r="H226" s="79"/>
      <c r="I226" s="79"/>
      <c r="J226" s="79"/>
      <c r="K226" s="79"/>
      <c r="L226" s="79"/>
      <c r="M226" s="79"/>
      <c r="N226" s="79"/>
      <c r="O226" s="79"/>
      <c r="P226" s="79"/>
      <c r="Q226" s="79"/>
      <c r="R226" s="79"/>
      <c r="S226" s="79"/>
      <c r="T226" s="79"/>
      <c r="U226" s="79"/>
      <c r="V226" s="79"/>
      <c r="W226" s="79"/>
      <c r="X226" s="79"/>
      <c r="Y226" s="79"/>
      <c r="Z226" s="79"/>
    </row>
    <row r="227" spans="1:26" ht="12.75" customHeight="1">
      <c r="A227" s="73"/>
      <c r="B227" s="73"/>
      <c r="C227" s="80"/>
      <c r="D227" s="79"/>
      <c r="E227" s="79"/>
      <c r="F227" s="81"/>
      <c r="G227" s="81"/>
      <c r="H227" s="79"/>
      <c r="I227" s="79"/>
      <c r="J227" s="79"/>
      <c r="K227" s="79"/>
      <c r="L227" s="79"/>
      <c r="M227" s="79"/>
      <c r="N227" s="79"/>
      <c r="O227" s="79"/>
      <c r="P227" s="79"/>
      <c r="Q227" s="79"/>
      <c r="R227" s="79"/>
      <c r="S227" s="79"/>
      <c r="T227" s="79"/>
      <c r="U227" s="79"/>
      <c r="V227" s="79"/>
      <c r="W227" s="79"/>
      <c r="X227" s="79"/>
      <c r="Y227" s="79"/>
      <c r="Z227" s="79"/>
    </row>
    <row r="228" spans="1:26" ht="12.75" customHeight="1">
      <c r="A228" s="73"/>
      <c r="B228" s="73"/>
      <c r="C228" s="80"/>
      <c r="D228" s="79"/>
      <c r="E228" s="79"/>
      <c r="F228" s="81"/>
      <c r="G228" s="81"/>
      <c r="H228" s="79"/>
      <c r="I228" s="79"/>
      <c r="J228" s="79"/>
      <c r="K228" s="79"/>
      <c r="L228" s="79"/>
      <c r="M228" s="79"/>
      <c r="N228" s="79"/>
      <c r="O228" s="79"/>
      <c r="P228" s="79"/>
      <c r="Q228" s="79"/>
      <c r="R228" s="79"/>
      <c r="S228" s="79"/>
      <c r="T228" s="79"/>
      <c r="U228" s="79"/>
      <c r="V228" s="79"/>
      <c r="W228" s="79"/>
      <c r="X228" s="79"/>
      <c r="Y228" s="79"/>
      <c r="Z228" s="79"/>
    </row>
    <row r="229" spans="1:26" ht="12.75" customHeight="1">
      <c r="A229" s="73"/>
      <c r="B229" s="73"/>
      <c r="C229" s="80"/>
      <c r="D229" s="79"/>
      <c r="E229" s="79"/>
      <c r="F229" s="81"/>
      <c r="G229" s="81"/>
      <c r="H229" s="79"/>
      <c r="I229" s="79"/>
      <c r="J229" s="79"/>
      <c r="K229" s="79"/>
      <c r="L229" s="79"/>
      <c r="M229" s="79"/>
      <c r="N229" s="79"/>
      <c r="O229" s="79"/>
      <c r="P229" s="79"/>
      <c r="Q229" s="79"/>
      <c r="R229" s="79"/>
      <c r="S229" s="79"/>
      <c r="T229" s="79"/>
      <c r="U229" s="79"/>
      <c r="V229" s="79"/>
      <c r="W229" s="79"/>
      <c r="X229" s="79"/>
      <c r="Y229" s="79"/>
      <c r="Z229" s="79"/>
    </row>
    <row r="230" spans="1:26" ht="12.75" customHeight="1">
      <c r="A230" s="73"/>
      <c r="B230" s="73"/>
      <c r="C230" s="80"/>
      <c r="D230" s="79"/>
      <c r="E230" s="79"/>
      <c r="F230" s="81"/>
      <c r="G230" s="81"/>
      <c r="H230" s="79"/>
      <c r="I230" s="79"/>
      <c r="J230" s="79"/>
      <c r="K230" s="79"/>
      <c r="L230" s="79"/>
      <c r="M230" s="79"/>
      <c r="N230" s="79"/>
      <c r="O230" s="79"/>
      <c r="P230" s="79"/>
      <c r="Q230" s="79"/>
      <c r="R230" s="79"/>
      <c r="S230" s="79"/>
      <c r="T230" s="79"/>
      <c r="U230" s="79"/>
      <c r="V230" s="79"/>
      <c r="W230" s="79"/>
      <c r="X230" s="79"/>
      <c r="Y230" s="79"/>
      <c r="Z230" s="79"/>
    </row>
    <row r="231" spans="1:26" ht="12.75" customHeight="1">
      <c r="A231" s="73"/>
      <c r="B231" s="73"/>
      <c r="C231" s="80"/>
      <c r="D231" s="79"/>
      <c r="E231" s="79"/>
      <c r="F231" s="81"/>
      <c r="G231" s="81"/>
      <c r="H231" s="79"/>
      <c r="I231" s="79"/>
      <c r="J231" s="79"/>
      <c r="K231" s="79"/>
      <c r="L231" s="79"/>
      <c r="M231" s="79"/>
      <c r="N231" s="79"/>
      <c r="O231" s="79"/>
      <c r="P231" s="79"/>
      <c r="Q231" s="79"/>
      <c r="R231" s="79"/>
      <c r="S231" s="79"/>
      <c r="T231" s="79"/>
      <c r="U231" s="79"/>
      <c r="V231" s="79"/>
      <c r="W231" s="79"/>
      <c r="X231" s="79"/>
      <c r="Y231" s="79"/>
      <c r="Z231" s="79"/>
    </row>
    <row r="232" spans="1:26" ht="12.75" customHeight="1">
      <c r="A232" s="73"/>
      <c r="B232" s="73"/>
      <c r="C232" s="80"/>
      <c r="D232" s="79"/>
      <c r="E232" s="79"/>
      <c r="F232" s="81"/>
      <c r="G232" s="81"/>
      <c r="H232" s="79"/>
      <c r="I232" s="79"/>
      <c r="J232" s="79"/>
      <c r="K232" s="79"/>
      <c r="L232" s="79"/>
      <c r="M232" s="79"/>
      <c r="N232" s="79"/>
      <c r="O232" s="79"/>
      <c r="P232" s="79"/>
      <c r="Q232" s="79"/>
      <c r="R232" s="79"/>
      <c r="S232" s="79"/>
      <c r="T232" s="79"/>
      <c r="U232" s="79"/>
      <c r="V232" s="79"/>
      <c r="W232" s="79"/>
      <c r="X232" s="79"/>
      <c r="Y232" s="79"/>
      <c r="Z232" s="79"/>
    </row>
    <row r="233" spans="1:26" ht="12.75" customHeight="1">
      <c r="A233" s="73"/>
      <c r="B233" s="73"/>
      <c r="C233" s="80"/>
      <c r="D233" s="79"/>
      <c r="E233" s="79"/>
      <c r="F233" s="81"/>
      <c r="G233" s="81"/>
      <c r="H233" s="79"/>
      <c r="I233" s="79"/>
      <c r="J233" s="79"/>
      <c r="K233" s="79"/>
      <c r="L233" s="79"/>
      <c r="M233" s="79"/>
      <c r="N233" s="79"/>
      <c r="O233" s="79"/>
      <c r="P233" s="79"/>
      <c r="Q233" s="79"/>
      <c r="R233" s="79"/>
      <c r="S233" s="79"/>
      <c r="T233" s="79"/>
      <c r="U233" s="79"/>
      <c r="V233" s="79"/>
      <c r="W233" s="79"/>
      <c r="X233" s="79"/>
      <c r="Y233" s="79"/>
      <c r="Z233" s="79"/>
    </row>
    <row r="234" spans="1:26" ht="12.75" customHeight="1">
      <c r="A234" s="73"/>
      <c r="B234" s="73"/>
      <c r="C234" s="80"/>
      <c r="D234" s="79"/>
      <c r="E234" s="79"/>
      <c r="F234" s="81"/>
      <c r="G234" s="81"/>
      <c r="H234" s="79"/>
      <c r="I234" s="79"/>
      <c r="J234" s="79"/>
      <c r="K234" s="79"/>
      <c r="L234" s="79"/>
      <c r="M234" s="79"/>
      <c r="N234" s="79"/>
      <c r="O234" s="79"/>
      <c r="P234" s="79"/>
      <c r="Q234" s="79"/>
      <c r="R234" s="79"/>
      <c r="S234" s="79"/>
      <c r="T234" s="79"/>
      <c r="U234" s="79"/>
      <c r="V234" s="79"/>
      <c r="W234" s="79"/>
      <c r="X234" s="79"/>
      <c r="Y234" s="79"/>
      <c r="Z234" s="79"/>
    </row>
    <row r="235" spans="1:26" ht="12.75" customHeight="1">
      <c r="A235" s="73"/>
      <c r="B235" s="73"/>
      <c r="C235" s="80"/>
      <c r="D235" s="79"/>
      <c r="E235" s="79"/>
      <c r="F235" s="81"/>
      <c r="G235" s="81"/>
      <c r="H235" s="79"/>
      <c r="I235" s="79"/>
      <c r="J235" s="79"/>
      <c r="K235" s="79"/>
      <c r="L235" s="79"/>
      <c r="M235" s="79"/>
      <c r="N235" s="79"/>
      <c r="O235" s="79"/>
      <c r="P235" s="79"/>
      <c r="Q235" s="79"/>
      <c r="R235" s="79"/>
      <c r="S235" s="79"/>
      <c r="T235" s="79"/>
      <c r="U235" s="79"/>
      <c r="V235" s="79"/>
      <c r="W235" s="79"/>
      <c r="X235" s="79"/>
      <c r="Y235" s="79"/>
      <c r="Z235" s="79"/>
    </row>
    <row r="236" spans="1:26" ht="12.75" customHeight="1">
      <c r="A236" s="73"/>
      <c r="B236" s="73"/>
      <c r="C236" s="80"/>
      <c r="D236" s="79"/>
      <c r="E236" s="79"/>
      <c r="F236" s="81"/>
      <c r="G236" s="81"/>
      <c r="H236" s="79"/>
      <c r="I236" s="79"/>
      <c r="J236" s="79"/>
      <c r="K236" s="79"/>
      <c r="L236" s="79"/>
      <c r="M236" s="79"/>
      <c r="N236" s="79"/>
      <c r="O236" s="79"/>
      <c r="P236" s="79"/>
      <c r="Q236" s="79"/>
      <c r="R236" s="79"/>
      <c r="S236" s="79"/>
      <c r="T236" s="79"/>
      <c r="U236" s="79"/>
      <c r="V236" s="79"/>
      <c r="W236" s="79"/>
      <c r="X236" s="79"/>
      <c r="Y236" s="79"/>
      <c r="Z236" s="79"/>
    </row>
    <row r="237" spans="1:26" ht="12.75" customHeight="1">
      <c r="A237" s="73"/>
      <c r="B237" s="73"/>
      <c r="C237" s="80"/>
      <c r="D237" s="79"/>
      <c r="E237" s="79"/>
      <c r="F237" s="81"/>
      <c r="G237" s="81"/>
      <c r="H237" s="79"/>
      <c r="I237" s="79"/>
      <c r="J237" s="79"/>
      <c r="K237" s="79"/>
      <c r="L237" s="79"/>
      <c r="M237" s="79"/>
      <c r="N237" s="79"/>
      <c r="O237" s="79"/>
      <c r="P237" s="79"/>
      <c r="Q237" s="79"/>
      <c r="R237" s="79"/>
      <c r="S237" s="79"/>
      <c r="T237" s="79"/>
      <c r="U237" s="79"/>
      <c r="V237" s="79"/>
      <c r="W237" s="79"/>
      <c r="X237" s="79"/>
      <c r="Y237" s="79"/>
      <c r="Z237" s="79"/>
    </row>
    <row r="238" spans="1:26" ht="12.75" customHeight="1">
      <c r="A238" s="73"/>
      <c r="B238" s="73"/>
      <c r="C238" s="80"/>
      <c r="D238" s="79"/>
      <c r="E238" s="79"/>
      <c r="F238" s="81"/>
      <c r="G238" s="81"/>
      <c r="H238" s="79"/>
      <c r="I238" s="79"/>
      <c r="J238" s="79"/>
      <c r="K238" s="79"/>
      <c r="L238" s="79"/>
      <c r="M238" s="79"/>
      <c r="N238" s="79"/>
      <c r="O238" s="79"/>
      <c r="P238" s="79"/>
      <c r="Q238" s="79"/>
      <c r="R238" s="79"/>
      <c r="S238" s="79"/>
      <c r="T238" s="79"/>
      <c r="U238" s="79"/>
      <c r="V238" s="79"/>
      <c r="W238" s="79"/>
      <c r="X238" s="79"/>
      <c r="Y238" s="79"/>
      <c r="Z238" s="79"/>
    </row>
    <row r="239" spans="1:26" ht="12.75" customHeight="1">
      <c r="A239" s="73"/>
      <c r="B239" s="73"/>
      <c r="C239" s="80"/>
      <c r="D239" s="79"/>
      <c r="E239" s="79"/>
      <c r="F239" s="81"/>
      <c r="G239" s="81"/>
      <c r="H239" s="79"/>
      <c r="I239" s="79"/>
      <c r="J239" s="79"/>
      <c r="K239" s="79"/>
      <c r="L239" s="79"/>
      <c r="M239" s="79"/>
      <c r="N239" s="79"/>
      <c r="O239" s="79"/>
      <c r="P239" s="79"/>
      <c r="Q239" s="79"/>
      <c r="R239" s="79"/>
      <c r="S239" s="79"/>
      <c r="T239" s="79"/>
      <c r="U239" s="79"/>
      <c r="V239" s="79"/>
      <c r="W239" s="79"/>
      <c r="X239" s="79"/>
      <c r="Y239" s="79"/>
      <c r="Z239" s="79"/>
    </row>
    <row r="240" spans="1:26" ht="12.75" customHeight="1">
      <c r="A240" s="73"/>
      <c r="B240" s="73"/>
      <c r="C240" s="80"/>
      <c r="D240" s="79"/>
      <c r="E240" s="79"/>
      <c r="F240" s="81"/>
      <c r="G240" s="81"/>
      <c r="H240" s="79"/>
      <c r="I240" s="79"/>
      <c r="J240" s="79"/>
      <c r="K240" s="79"/>
      <c r="L240" s="79"/>
      <c r="M240" s="79"/>
      <c r="N240" s="79"/>
      <c r="O240" s="79"/>
      <c r="P240" s="79"/>
      <c r="Q240" s="79"/>
      <c r="R240" s="79"/>
      <c r="S240" s="79"/>
      <c r="T240" s="79"/>
      <c r="U240" s="79"/>
      <c r="V240" s="79"/>
      <c r="W240" s="79"/>
      <c r="X240" s="79"/>
      <c r="Y240" s="79"/>
      <c r="Z240" s="79"/>
    </row>
    <row r="241" spans="1:26" ht="12.75" customHeight="1">
      <c r="A241" s="73"/>
      <c r="B241" s="73"/>
      <c r="C241" s="80"/>
      <c r="D241" s="79"/>
      <c r="E241" s="79"/>
      <c r="F241" s="81"/>
      <c r="G241" s="81"/>
      <c r="H241" s="79"/>
      <c r="I241" s="79"/>
      <c r="J241" s="79"/>
      <c r="K241" s="79"/>
      <c r="L241" s="79"/>
      <c r="M241" s="79"/>
      <c r="N241" s="79"/>
      <c r="O241" s="79"/>
      <c r="P241" s="79"/>
      <c r="Q241" s="79"/>
      <c r="R241" s="79"/>
      <c r="S241" s="79"/>
      <c r="T241" s="79"/>
      <c r="U241" s="79"/>
      <c r="V241" s="79"/>
      <c r="W241" s="79"/>
      <c r="X241" s="79"/>
      <c r="Y241" s="79"/>
      <c r="Z241" s="79"/>
    </row>
    <row r="242" spans="1:26" ht="12.75" customHeight="1">
      <c r="A242" s="73"/>
      <c r="B242" s="73"/>
      <c r="C242" s="80"/>
      <c r="D242" s="79"/>
      <c r="E242" s="79"/>
      <c r="F242" s="81"/>
      <c r="G242" s="81"/>
      <c r="H242" s="79"/>
      <c r="I242" s="79"/>
      <c r="J242" s="79"/>
      <c r="K242" s="79"/>
      <c r="L242" s="79"/>
      <c r="M242" s="79"/>
      <c r="N242" s="79"/>
      <c r="O242" s="79"/>
      <c r="P242" s="79"/>
      <c r="Q242" s="79"/>
      <c r="R242" s="79"/>
      <c r="S242" s="79"/>
      <c r="T242" s="79"/>
      <c r="U242" s="79"/>
      <c r="V242" s="79"/>
      <c r="W242" s="79"/>
      <c r="X242" s="79"/>
      <c r="Y242" s="79"/>
      <c r="Z242" s="79"/>
    </row>
    <row r="243" spans="1:26" ht="12.75" customHeight="1">
      <c r="A243" s="73"/>
      <c r="B243" s="73"/>
      <c r="C243" s="80"/>
      <c r="D243" s="79"/>
      <c r="E243" s="79"/>
      <c r="F243" s="81"/>
      <c r="G243" s="81"/>
      <c r="H243" s="79"/>
      <c r="I243" s="79"/>
      <c r="J243" s="79"/>
      <c r="K243" s="79"/>
      <c r="L243" s="79"/>
      <c r="M243" s="79"/>
      <c r="N243" s="79"/>
      <c r="O243" s="79"/>
      <c r="P243" s="79"/>
      <c r="Q243" s="79"/>
      <c r="R243" s="79"/>
      <c r="S243" s="79"/>
      <c r="T243" s="79"/>
      <c r="U243" s="79"/>
      <c r="V243" s="79"/>
      <c r="W243" s="79"/>
      <c r="X243" s="79"/>
      <c r="Y243" s="79"/>
      <c r="Z243" s="79"/>
    </row>
    <row r="244" spans="1:26" ht="12.75" customHeight="1">
      <c r="A244" s="73"/>
      <c r="B244" s="73"/>
      <c r="C244" s="80"/>
      <c r="D244" s="79"/>
      <c r="E244" s="79"/>
      <c r="F244" s="81"/>
      <c r="G244" s="81"/>
      <c r="H244" s="79"/>
      <c r="I244" s="79"/>
      <c r="J244" s="79"/>
      <c r="K244" s="79"/>
      <c r="L244" s="79"/>
      <c r="M244" s="79"/>
      <c r="N244" s="79"/>
      <c r="O244" s="79"/>
      <c r="P244" s="79"/>
      <c r="Q244" s="79"/>
      <c r="R244" s="79"/>
      <c r="S244" s="79"/>
      <c r="T244" s="79"/>
      <c r="U244" s="79"/>
      <c r="V244" s="79"/>
      <c r="W244" s="79"/>
      <c r="X244" s="79"/>
      <c r="Y244" s="79"/>
      <c r="Z244" s="79"/>
    </row>
    <row r="245" spans="1:26" ht="12.75" customHeight="1">
      <c r="A245" s="73"/>
      <c r="B245" s="73"/>
      <c r="C245" s="80"/>
      <c r="D245" s="79"/>
      <c r="E245" s="79"/>
      <c r="F245" s="81"/>
      <c r="G245" s="81"/>
      <c r="H245" s="79"/>
      <c r="I245" s="79"/>
      <c r="J245" s="79"/>
      <c r="K245" s="79"/>
      <c r="L245" s="79"/>
      <c r="M245" s="79"/>
      <c r="N245" s="79"/>
      <c r="O245" s="79"/>
      <c r="P245" s="79"/>
      <c r="Q245" s="79"/>
      <c r="R245" s="79"/>
      <c r="S245" s="79"/>
      <c r="T245" s="79"/>
      <c r="U245" s="79"/>
      <c r="V245" s="79"/>
      <c r="W245" s="79"/>
      <c r="X245" s="79"/>
      <c r="Y245" s="79"/>
      <c r="Z245" s="79"/>
    </row>
    <row r="246" spans="1:26" ht="12.75" customHeight="1">
      <c r="A246" s="73"/>
      <c r="B246" s="73"/>
      <c r="C246" s="80"/>
      <c r="D246" s="79"/>
      <c r="E246" s="79"/>
      <c r="F246" s="81"/>
      <c r="G246" s="81"/>
      <c r="H246" s="79"/>
      <c r="I246" s="79"/>
      <c r="J246" s="79"/>
      <c r="K246" s="79"/>
      <c r="L246" s="79"/>
      <c r="M246" s="79"/>
      <c r="N246" s="79"/>
      <c r="O246" s="79"/>
      <c r="P246" s="79"/>
      <c r="Q246" s="79"/>
      <c r="R246" s="79"/>
      <c r="S246" s="79"/>
      <c r="T246" s="79"/>
      <c r="U246" s="79"/>
      <c r="V246" s="79"/>
      <c r="W246" s="79"/>
      <c r="X246" s="79"/>
      <c r="Y246" s="79"/>
      <c r="Z246" s="79"/>
    </row>
    <row r="247" spans="1:26" ht="12.75" customHeight="1">
      <c r="A247" s="73"/>
      <c r="B247" s="73"/>
      <c r="C247" s="80"/>
      <c r="D247" s="79"/>
      <c r="E247" s="79"/>
      <c r="F247" s="81"/>
      <c r="G247" s="81"/>
      <c r="H247" s="79"/>
      <c r="I247" s="79"/>
      <c r="J247" s="79"/>
      <c r="K247" s="79"/>
      <c r="L247" s="79"/>
      <c r="M247" s="79"/>
      <c r="N247" s="79"/>
      <c r="O247" s="79"/>
      <c r="P247" s="79"/>
      <c r="Q247" s="79"/>
      <c r="R247" s="79"/>
      <c r="S247" s="79"/>
      <c r="T247" s="79"/>
      <c r="U247" s="79"/>
      <c r="V247" s="79"/>
      <c r="W247" s="79"/>
      <c r="X247" s="79"/>
      <c r="Y247" s="79"/>
      <c r="Z247" s="79"/>
    </row>
    <row r="248" spans="1:26" ht="12.75" customHeight="1">
      <c r="A248" s="73"/>
      <c r="B248" s="73"/>
      <c r="C248" s="80"/>
      <c r="D248" s="79"/>
      <c r="E248" s="79"/>
      <c r="F248" s="81"/>
      <c r="G248" s="81"/>
      <c r="H248" s="79"/>
      <c r="I248" s="79"/>
      <c r="J248" s="79"/>
      <c r="K248" s="79"/>
      <c r="L248" s="79"/>
      <c r="M248" s="79"/>
      <c r="N248" s="79"/>
      <c r="O248" s="79"/>
      <c r="P248" s="79"/>
      <c r="Q248" s="79"/>
      <c r="R248" s="79"/>
      <c r="S248" s="79"/>
      <c r="T248" s="79"/>
      <c r="U248" s="79"/>
      <c r="V248" s="79"/>
      <c r="W248" s="79"/>
      <c r="X248" s="79"/>
      <c r="Y248" s="79"/>
      <c r="Z248" s="79"/>
    </row>
    <row r="249" spans="1:26" ht="12.75" customHeight="1">
      <c r="A249" s="73"/>
      <c r="B249" s="73"/>
      <c r="C249" s="80"/>
      <c r="D249" s="79"/>
      <c r="E249" s="79"/>
      <c r="F249" s="81"/>
      <c r="G249" s="81"/>
      <c r="H249" s="79"/>
      <c r="I249" s="79"/>
      <c r="J249" s="79"/>
      <c r="K249" s="79"/>
      <c r="L249" s="79"/>
      <c r="M249" s="79"/>
      <c r="N249" s="79"/>
      <c r="O249" s="79"/>
      <c r="P249" s="79"/>
      <c r="Q249" s="79"/>
      <c r="R249" s="79"/>
      <c r="S249" s="79"/>
      <c r="T249" s="79"/>
      <c r="U249" s="79"/>
      <c r="V249" s="79"/>
      <c r="W249" s="79"/>
      <c r="X249" s="79"/>
      <c r="Y249" s="79"/>
      <c r="Z249" s="79"/>
    </row>
    <row r="250" spans="1:26" ht="12.75" customHeight="1">
      <c r="A250" s="73"/>
      <c r="B250" s="73"/>
      <c r="C250" s="80"/>
      <c r="D250" s="79"/>
      <c r="E250" s="79"/>
      <c r="F250" s="81"/>
      <c r="G250" s="81"/>
      <c r="H250" s="79"/>
      <c r="I250" s="79"/>
      <c r="J250" s="79"/>
      <c r="K250" s="79"/>
      <c r="L250" s="79"/>
      <c r="M250" s="79"/>
      <c r="N250" s="79"/>
      <c r="O250" s="79"/>
      <c r="P250" s="79"/>
      <c r="Q250" s="79"/>
      <c r="R250" s="79"/>
      <c r="S250" s="79"/>
      <c r="T250" s="79"/>
      <c r="U250" s="79"/>
      <c r="V250" s="79"/>
      <c r="W250" s="79"/>
      <c r="X250" s="79"/>
      <c r="Y250" s="79"/>
      <c r="Z250" s="79"/>
    </row>
    <row r="251" spans="1:26" ht="12.75" customHeight="1">
      <c r="A251" s="73"/>
      <c r="B251" s="73"/>
      <c r="C251" s="80"/>
      <c r="D251" s="79"/>
      <c r="E251" s="79"/>
      <c r="F251" s="81"/>
      <c r="G251" s="81"/>
      <c r="H251" s="79"/>
      <c r="I251" s="79"/>
      <c r="J251" s="79"/>
      <c r="K251" s="79"/>
      <c r="L251" s="79"/>
      <c r="M251" s="79"/>
      <c r="N251" s="79"/>
      <c r="O251" s="79"/>
      <c r="P251" s="79"/>
      <c r="Q251" s="79"/>
      <c r="R251" s="79"/>
      <c r="S251" s="79"/>
      <c r="T251" s="79"/>
      <c r="U251" s="79"/>
      <c r="V251" s="79"/>
      <c r="W251" s="79"/>
      <c r="X251" s="79"/>
      <c r="Y251" s="79"/>
      <c r="Z251" s="79"/>
    </row>
    <row r="252" spans="1:26" ht="12.75" customHeight="1">
      <c r="A252" s="73"/>
      <c r="B252" s="73"/>
      <c r="C252" s="80"/>
      <c r="D252" s="79"/>
      <c r="E252" s="79"/>
      <c r="F252" s="81"/>
      <c r="G252" s="81"/>
      <c r="H252" s="79"/>
      <c r="I252" s="79"/>
      <c r="J252" s="79"/>
      <c r="K252" s="79"/>
      <c r="L252" s="79"/>
      <c r="M252" s="79"/>
      <c r="N252" s="79"/>
      <c r="O252" s="79"/>
      <c r="P252" s="79"/>
      <c r="Q252" s="79"/>
      <c r="R252" s="79"/>
      <c r="S252" s="79"/>
      <c r="T252" s="79"/>
      <c r="U252" s="79"/>
      <c r="V252" s="79"/>
      <c r="W252" s="79"/>
      <c r="X252" s="79"/>
      <c r="Y252" s="79"/>
      <c r="Z252" s="79"/>
    </row>
    <row r="253" spans="1:26" ht="12.75" customHeight="1">
      <c r="A253" s="73"/>
      <c r="B253" s="73"/>
      <c r="C253" s="80"/>
      <c r="D253" s="79"/>
      <c r="E253" s="79"/>
      <c r="F253" s="81"/>
      <c r="G253" s="81"/>
      <c r="H253" s="79"/>
      <c r="I253" s="79"/>
      <c r="J253" s="79"/>
      <c r="K253" s="79"/>
      <c r="L253" s="79"/>
      <c r="M253" s="79"/>
      <c r="N253" s="79"/>
      <c r="O253" s="79"/>
      <c r="P253" s="79"/>
      <c r="Q253" s="79"/>
      <c r="R253" s="79"/>
      <c r="S253" s="79"/>
      <c r="T253" s="79"/>
      <c r="U253" s="79"/>
      <c r="V253" s="79"/>
      <c r="W253" s="79"/>
      <c r="X253" s="79"/>
      <c r="Y253" s="79"/>
      <c r="Z253" s="79"/>
    </row>
    <row r="254" spans="1:26" ht="12.75" customHeight="1">
      <c r="A254" s="73"/>
      <c r="B254" s="73"/>
      <c r="C254" s="80"/>
      <c r="D254" s="79"/>
      <c r="E254" s="79"/>
      <c r="F254" s="81"/>
      <c r="G254" s="81"/>
      <c r="H254" s="79"/>
      <c r="I254" s="79"/>
      <c r="J254" s="79"/>
      <c r="K254" s="79"/>
      <c r="L254" s="79"/>
      <c r="M254" s="79"/>
      <c r="N254" s="79"/>
      <c r="O254" s="79"/>
      <c r="P254" s="79"/>
      <c r="Q254" s="79"/>
      <c r="R254" s="79"/>
      <c r="S254" s="79"/>
      <c r="T254" s="79"/>
      <c r="U254" s="79"/>
      <c r="V254" s="79"/>
      <c r="W254" s="79"/>
      <c r="X254" s="79"/>
      <c r="Y254" s="79"/>
      <c r="Z254" s="79"/>
    </row>
    <row r="255" spans="1:26" ht="12.75" customHeight="1">
      <c r="A255" s="73"/>
      <c r="B255" s="73"/>
      <c r="C255" s="80"/>
      <c r="D255" s="79"/>
      <c r="E255" s="79"/>
      <c r="F255" s="81"/>
      <c r="G255" s="81"/>
      <c r="H255" s="79"/>
      <c r="I255" s="79"/>
      <c r="J255" s="79"/>
      <c r="K255" s="79"/>
      <c r="L255" s="79"/>
      <c r="M255" s="79"/>
      <c r="N255" s="79"/>
      <c r="O255" s="79"/>
      <c r="P255" s="79"/>
      <c r="Q255" s="79"/>
      <c r="R255" s="79"/>
      <c r="S255" s="79"/>
      <c r="T255" s="79"/>
      <c r="U255" s="79"/>
      <c r="V255" s="79"/>
      <c r="W255" s="79"/>
      <c r="X255" s="79"/>
      <c r="Y255" s="79"/>
      <c r="Z255" s="79"/>
    </row>
    <row r="256" spans="1:26" ht="12.75" customHeight="1">
      <c r="A256" s="73"/>
      <c r="B256" s="73"/>
      <c r="C256" s="80"/>
      <c r="D256" s="79"/>
      <c r="E256" s="79"/>
      <c r="F256" s="81"/>
      <c r="G256" s="81"/>
      <c r="H256" s="79"/>
      <c r="I256" s="79"/>
      <c r="J256" s="79"/>
      <c r="K256" s="79"/>
      <c r="L256" s="79"/>
      <c r="M256" s="79"/>
      <c r="N256" s="79"/>
      <c r="O256" s="79"/>
      <c r="P256" s="79"/>
      <c r="Q256" s="79"/>
      <c r="R256" s="79"/>
      <c r="S256" s="79"/>
      <c r="T256" s="79"/>
      <c r="U256" s="79"/>
      <c r="V256" s="79"/>
      <c r="W256" s="79"/>
      <c r="X256" s="79"/>
      <c r="Y256" s="79"/>
      <c r="Z256" s="79"/>
    </row>
    <row r="257" spans="1:26" ht="12.75" customHeight="1">
      <c r="A257" s="73"/>
      <c r="B257" s="73"/>
      <c r="C257" s="80"/>
      <c r="D257" s="79"/>
      <c r="E257" s="79"/>
      <c r="F257" s="81"/>
      <c r="G257" s="81"/>
      <c r="H257" s="79"/>
      <c r="I257" s="79"/>
      <c r="J257" s="79"/>
      <c r="K257" s="79"/>
      <c r="L257" s="79"/>
      <c r="M257" s="79"/>
      <c r="N257" s="79"/>
      <c r="O257" s="79"/>
      <c r="P257" s="79"/>
      <c r="Q257" s="79"/>
      <c r="R257" s="79"/>
      <c r="S257" s="79"/>
      <c r="T257" s="79"/>
      <c r="U257" s="79"/>
      <c r="V257" s="79"/>
      <c r="W257" s="79"/>
      <c r="X257" s="79"/>
      <c r="Y257" s="79"/>
      <c r="Z257" s="79"/>
    </row>
    <row r="258" spans="1:26" ht="12.75" customHeight="1">
      <c r="A258" s="73"/>
      <c r="B258" s="73"/>
      <c r="C258" s="80"/>
      <c r="D258" s="79"/>
      <c r="E258" s="79"/>
      <c r="F258" s="81"/>
      <c r="G258" s="81"/>
      <c r="H258" s="79"/>
      <c r="I258" s="79"/>
      <c r="J258" s="79"/>
      <c r="K258" s="79"/>
      <c r="L258" s="79"/>
      <c r="M258" s="79"/>
      <c r="N258" s="79"/>
      <c r="O258" s="79"/>
      <c r="P258" s="79"/>
      <c r="Q258" s="79"/>
      <c r="R258" s="79"/>
      <c r="S258" s="79"/>
      <c r="T258" s="79"/>
      <c r="U258" s="79"/>
      <c r="V258" s="79"/>
      <c r="W258" s="79"/>
      <c r="X258" s="79"/>
      <c r="Y258" s="79"/>
      <c r="Z258" s="79"/>
    </row>
    <row r="259" spans="1:26" ht="12.75" customHeight="1">
      <c r="A259" s="73"/>
      <c r="B259" s="73"/>
      <c r="C259" s="80"/>
      <c r="D259" s="79"/>
      <c r="E259" s="79"/>
      <c r="F259" s="81"/>
      <c r="G259" s="81"/>
      <c r="H259" s="79"/>
      <c r="I259" s="79"/>
      <c r="J259" s="79"/>
      <c r="K259" s="79"/>
      <c r="L259" s="79"/>
      <c r="M259" s="79"/>
      <c r="N259" s="79"/>
      <c r="O259" s="79"/>
      <c r="P259" s="79"/>
      <c r="Q259" s="79"/>
      <c r="R259" s="79"/>
      <c r="S259" s="79"/>
      <c r="T259" s="79"/>
      <c r="U259" s="79"/>
      <c r="V259" s="79"/>
      <c r="W259" s="79"/>
      <c r="X259" s="79"/>
      <c r="Y259" s="79"/>
      <c r="Z259" s="79"/>
    </row>
    <row r="260" spans="1:26" ht="12.75" customHeight="1">
      <c r="A260" s="73"/>
      <c r="B260" s="73"/>
      <c r="C260" s="80"/>
      <c r="D260" s="79"/>
      <c r="E260" s="79"/>
      <c r="F260" s="81"/>
      <c r="G260" s="81"/>
      <c r="H260" s="79"/>
      <c r="I260" s="79"/>
      <c r="J260" s="79"/>
      <c r="K260" s="79"/>
      <c r="L260" s="79"/>
      <c r="M260" s="79"/>
      <c r="N260" s="79"/>
      <c r="O260" s="79"/>
      <c r="P260" s="79"/>
      <c r="Q260" s="79"/>
      <c r="R260" s="79"/>
      <c r="S260" s="79"/>
      <c r="T260" s="79"/>
      <c r="U260" s="79"/>
      <c r="V260" s="79"/>
      <c r="W260" s="79"/>
      <c r="X260" s="79"/>
      <c r="Y260" s="79"/>
      <c r="Z260" s="79"/>
    </row>
    <row r="261" spans="1:26" ht="12.75" customHeight="1">
      <c r="A261" s="73"/>
      <c r="B261" s="73"/>
      <c r="C261" s="80"/>
      <c r="D261" s="79"/>
      <c r="E261" s="79"/>
      <c r="F261" s="81"/>
      <c r="G261" s="81"/>
      <c r="H261" s="79"/>
      <c r="I261" s="79"/>
      <c r="J261" s="79"/>
      <c r="K261" s="79"/>
      <c r="L261" s="79"/>
      <c r="M261" s="79"/>
      <c r="N261" s="79"/>
      <c r="O261" s="79"/>
      <c r="P261" s="79"/>
      <c r="Q261" s="79"/>
      <c r="R261" s="79"/>
      <c r="S261" s="79"/>
      <c r="T261" s="79"/>
      <c r="U261" s="79"/>
      <c r="V261" s="79"/>
      <c r="W261" s="79"/>
      <c r="X261" s="79"/>
      <c r="Y261" s="79"/>
      <c r="Z261" s="79"/>
    </row>
    <row r="262" spans="1:26" ht="12.75" customHeight="1">
      <c r="A262" s="73"/>
      <c r="B262" s="73"/>
      <c r="C262" s="80"/>
      <c r="D262" s="79"/>
      <c r="E262" s="79"/>
      <c r="F262" s="81"/>
      <c r="G262" s="81"/>
      <c r="H262" s="79"/>
      <c r="I262" s="79"/>
      <c r="J262" s="79"/>
      <c r="K262" s="79"/>
      <c r="L262" s="79"/>
      <c r="M262" s="79"/>
      <c r="N262" s="79"/>
      <c r="O262" s="79"/>
      <c r="P262" s="79"/>
      <c r="Q262" s="79"/>
      <c r="R262" s="79"/>
      <c r="S262" s="79"/>
      <c r="T262" s="79"/>
      <c r="U262" s="79"/>
      <c r="V262" s="79"/>
      <c r="W262" s="79"/>
      <c r="X262" s="79"/>
      <c r="Y262" s="79"/>
      <c r="Z262" s="79"/>
    </row>
    <row r="263" spans="1:26" ht="12.75" customHeight="1">
      <c r="A263" s="73"/>
      <c r="B263" s="73"/>
      <c r="C263" s="80"/>
      <c r="D263" s="79"/>
      <c r="E263" s="79"/>
      <c r="F263" s="81"/>
      <c r="G263" s="81"/>
      <c r="H263" s="79"/>
      <c r="I263" s="79"/>
      <c r="J263" s="79"/>
      <c r="K263" s="79"/>
      <c r="L263" s="79"/>
      <c r="M263" s="79"/>
      <c r="N263" s="79"/>
      <c r="O263" s="79"/>
      <c r="P263" s="79"/>
      <c r="Q263" s="79"/>
      <c r="R263" s="79"/>
      <c r="S263" s="79"/>
      <c r="T263" s="79"/>
      <c r="U263" s="79"/>
      <c r="V263" s="79"/>
      <c r="W263" s="79"/>
      <c r="X263" s="79"/>
      <c r="Y263" s="79"/>
      <c r="Z263" s="79"/>
    </row>
    <row r="264" spans="1:26" ht="12.75" customHeight="1">
      <c r="A264" s="73"/>
      <c r="B264" s="73"/>
      <c r="C264" s="80"/>
      <c r="D264" s="79"/>
      <c r="E264" s="79"/>
      <c r="F264" s="81"/>
      <c r="G264" s="81"/>
      <c r="H264" s="79"/>
      <c r="I264" s="79"/>
      <c r="J264" s="79"/>
      <c r="K264" s="79"/>
      <c r="L264" s="79"/>
      <c r="M264" s="79"/>
      <c r="N264" s="79"/>
      <c r="O264" s="79"/>
      <c r="P264" s="79"/>
      <c r="Q264" s="79"/>
      <c r="R264" s="79"/>
      <c r="S264" s="79"/>
      <c r="T264" s="79"/>
      <c r="U264" s="79"/>
      <c r="V264" s="79"/>
      <c r="W264" s="79"/>
      <c r="X264" s="79"/>
      <c r="Y264" s="79"/>
      <c r="Z264" s="79"/>
    </row>
    <row r="265" spans="1:26" ht="12.75" customHeight="1">
      <c r="A265" s="73"/>
      <c r="B265" s="73"/>
      <c r="C265" s="80"/>
      <c r="D265" s="79"/>
      <c r="E265" s="79"/>
      <c r="F265" s="81"/>
      <c r="G265" s="81"/>
      <c r="H265" s="79"/>
      <c r="I265" s="79"/>
      <c r="J265" s="79"/>
      <c r="K265" s="79"/>
      <c r="L265" s="79"/>
      <c r="M265" s="79"/>
      <c r="N265" s="79"/>
      <c r="O265" s="79"/>
      <c r="P265" s="79"/>
      <c r="Q265" s="79"/>
      <c r="R265" s="79"/>
      <c r="S265" s="79"/>
      <c r="T265" s="79"/>
      <c r="U265" s="79"/>
      <c r="V265" s="79"/>
      <c r="W265" s="79"/>
      <c r="X265" s="79"/>
      <c r="Y265" s="79"/>
      <c r="Z265" s="79"/>
    </row>
    <row r="266" spans="1:26" ht="12.75" customHeight="1">
      <c r="A266" s="73"/>
      <c r="B266" s="73"/>
      <c r="C266" s="80"/>
      <c r="D266" s="79"/>
      <c r="E266" s="79"/>
      <c r="F266" s="81"/>
      <c r="G266" s="81"/>
      <c r="H266" s="79"/>
      <c r="I266" s="79"/>
      <c r="J266" s="79"/>
      <c r="K266" s="79"/>
      <c r="L266" s="79"/>
      <c r="M266" s="79"/>
      <c r="N266" s="79"/>
      <c r="O266" s="79"/>
      <c r="P266" s="79"/>
      <c r="Q266" s="79"/>
      <c r="R266" s="79"/>
      <c r="S266" s="79"/>
      <c r="T266" s="79"/>
      <c r="U266" s="79"/>
      <c r="V266" s="79"/>
      <c r="W266" s="79"/>
      <c r="X266" s="79"/>
      <c r="Y266" s="79"/>
      <c r="Z266" s="79"/>
    </row>
    <row r="267" spans="1:26" ht="12.75" customHeight="1">
      <c r="A267" s="73"/>
      <c r="B267" s="73"/>
      <c r="C267" s="80"/>
      <c r="D267" s="79"/>
      <c r="E267" s="79"/>
      <c r="F267" s="81"/>
      <c r="G267" s="81"/>
      <c r="H267" s="79"/>
      <c r="I267" s="79"/>
      <c r="J267" s="79"/>
      <c r="K267" s="79"/>
      <c r="L267" s="79"/>
      <c r="M267" s="79"/>
      <c r="N267" s="79"/>
      <c r="O267" s="79"/>
      <c r="P267" s="79"/>
      <c r="Q267" s="79"/>
      <c r="R267" s="79"/>
      <c r="S267" s="79"/>
      <c r="T267" s="79"/>
      <c r="U267" s="79"/>
      <c r="V267" s="79"/>
      <c r="W267" s="79"/>
      <c r="X267" s="79"/>
      <c r="Y267" s="79"/>
      <c r="Z267" s="79"/>
    </row>
    <row r="268" spans="1:26" ht="12.75" customHeight="1">
      <c r="A268" s="73"/>
      <c r="B268" s="73"/>
      <c r="C268" s="80"/>
      <c r="D268" s="79"/>
      <c r="E268" s="79"/>
      <c r="F268" s="81"/>
      <c r="G268" s="81"/>
      <c r="H268" s="79"/>
      <c r="I268" s="79"/>
      <c r="J268" s="79"/>
      <c r="K268" s="79"/>
      <c r="L268" s="79"/>
      <c r="M268" s="79"/>
      <c r="N268" s="79"/>
      <c r="O268" s="79"/>
      <c r="P268" s="79"/>
      <c r="Q268" s="79"/>
      <c r="R268" s="79"/>
      <c r="S268" s="79"/>
      <c r="T268" s="79"/>
      <c r="U268" s="79"/>
      <c r="V268" s="79"/>
      <c r="W268" s="79"/>
      <c r="X268" s="79"/>
      <c r="Y268" s="79"/>
      <c r="Z268" s="79"/>
    </row>
    <row r="269" spans="1:26" ht="12.75" customHeight="1">
      <c r="A269" s="73"/>
      <c r="B269" s="73"/>
      <c r="C269" s="80"/>
      <c r="D269" s="79"/>
      <c r="E269" s="79"/>
      <c r="F269" s="81"/>
      <c r="G269" s="81"/>
      <c r="H269" s="79"/>
      <c r="I269" s="79"/>
      <c r="J269" s="79"/>
      <c r="K269" s="79"/>
      <c r="L269" s="79"/>
      <c r="M269" s="79"/>
      <c r="N269" s="79"/>
      <c r="O269" s="79"/>
      <c r="P269" s="79"/>
      <c r="Q269" s="79"/>
      <c r="R269" s="79"/>
      <c r="S269" s="79"/>
      <c r="T269" s="79"/>
      <c r="U269" s="79"/>
      <c r="V269" s="79"/>
      <c r="W269" s="79"/>
      <c r="X269" s="79"/>
      <c r="Y269" s="79"/>
      <c r="Z269" s="79"/>
    </row>
    <row r="270" spans="1:26" ht="12.75" customHeight="1">
      <c r="A270" s="73"/>
      <c r="B270" s="73"/>
      <c r="C270" s="80"/>
      <c r="D270" s="79"/>
      <c r="E270" s="79"/>
      <c r="F270" s="81"/>
      <c r="G270" s="81"/>
      <c r="H270" s="79"/>
      <c r="I270" s="79"/>
      <c r="J270" s="79"/>
      <c r="K270" s="79"/>
      <c r="L270" s="79"/>
      <c r="M270" s="79"/>
      <c r="N270" s="79"/>
      <c r="O270" s="79"/>
      <c r="P270" s="79"/>
      <c r="Q270" s="79"/>
      <c r="R270" s="79"/>
      <c r="S270" s="79"/>
      <c r="T270" s="79"/>
      <c r="U270" s="79"/>
      <c r="V270" s="79"/>
      <c r="W270" s="79"/>
      <c r="X270" s="79"/>
      <c r="Y270" s="79"/>
      <c r="Z270" s="79"/>
    </row>
    <row r="271" spans="1:26" ht="12.75" customHeight="1">
      <c r="A271" s="73"/>
      <c r="B271" s="73"/>
      <c r="C271" s="80"/>
      <c r="D271" s="79"/>
      <c r="E271" s="79"/>
      <c r="F271" s="81"/>
      <c r="G271" s="81"/>
      <c r="H271" s="79"/>
      <c r="I271" s="79"/>
      <c r="J271" s="79"/>
      <c r="K271" s="79"/>
      <c r="L271" s="79"/>
      <c r="M271" s="79"/>
      <c r="N271" s="79"/>
      <c r="O271" s="79"/>
      <c r="P271" s="79"/>
      <c r="Q271" s="79"/>
      <c r="R271" s="79"/>
      <c r="S271" s="79"/>
      <c r="T271" s="79"/>
      <c r="U271" s="79"/>
      <c r="V271" s="79"/>
      <c r="W271" s="79"/>
      <c r="X271" s="79"/>
      <c r="Y271" s="79"/>
      <c r="Z271" s="79"/>
    </row>
    <row r="272" spans="1:26" ht="12.75" customHeight="1">
      <c r="A272" s="73"/>
      <c r="B272" s="73"/>
      <c r="C272" s="80"/>
      <c r="D272" s="79"/>
      <c r="E272" s="79"/>
      <c r="F272" s="81"/>
      <c r="G272" s="81"/>
      <c r="H272" s="79"/>
      <c r="I272" s="79"/>
      <c r="J272" s="79"/>
      <c r="K272" s="79"/>
      <c r="L272" s="79"/>
      <c r="M272" s="79"/>
      <c r="N272" s="79"/>
      <c r="O272" s="79"/>
      <c r="P272" s="79"/>
      <c r="Q272" s="79"/>
      <c r="R272" s="79"/>
      <c r="S272" s="79"/>
      <c r="T272" s="79"/>
      <c r="U272" s="79"/>
      <c r="V272" s="79"/>
      <c r="W272" s="79"/>
      <c r="X272" s="79"/>
      <c r="Y272" s="79"/>
      <c r="Z272" s="79"/>
    </row>
    <row r="273" spans="1:26" ht="12.75" customHeight="1">
      <c r="A273" s="73"/>
      <c r="B273" s="73"/>
      <c r="C273" s="80"/>
      <c r="D273" s="79"/>
      <c r="E273" s="79"/>
      <c r="F273" s="81"/>
      <c r="G273" s="81"/>
      <c r="H273" s="79"/>
      <c r="I273" s="79"/>
      <c r="J273" s="79"/>
      <c r="K273" s="79"/>
      <c r="L273" s="79"/>
      <c r="M273" s="79"/>
      <c r="N273" s="79"/>
      <c r="O273" s="79"/>
      <c r="P273" s="79"/>
      <c r="Q273" s="79"/>
      <c r="R273" s="79"/>
      <c r="S273" s="79"/>
      <c r="T273" s="79"/>
      <c r="U273" s="79"/>
      <c r="V273" s="79"/>
      <c r="W273" s="79"/>
      <c r="X273" s="79"/>
      <c r="Y273" s="79"/>
      <c r="Z273" s="79"/>
    </row>
    <row r="274" spans="1:26" ht="12.75" customHeight="1">
      <c r="A274" s="73"/>
      <c r="B274" s="73"/>
      <c r="C274" s="80"/>
      <c r="D274" s="79"/>
      <c r="E274" s="79"/>
      <c r="F274" s="81"/>
      <c r="G274" s="81"/>
      <c r="H274" s="79"/>
      <c r="I274" s="79"/>
      <c r="J274" s="79"/>
      <c r="K274" s="79"/>
      <c r="L274" s="79"/>
      <c r="M274" s="79"/>
      <c r="N274" s="79"/>
      <c r="O274" s="79"/>
      <c r="P274" s="79"/>
      <c r="Q274" s="79"/>
      <c r="R274" s="79"/>
      <c r="S274" s="79"/>
      <c r="T274" s="79"/>
      <c r="U274" s="79"/>
      <c r="V274" s="79"/>
      <c r="W274" s="79"/>
      <c r="X274" s="79"/>
      <c r="Y274" s="79"/>
      <c r="Z274" s="79"/>
    </row>
    <row r="275" spans="1:26" ht="12.75" customHeight="1">
      <c r="A275" s="73"/>
      <c r="B275" s="73"/>
      <c r="C275" s="80"/>
      <c r="D275" s="79"/>
      <c r="E275" s="79"/>
      <c r="F275" s="81"/>
      <c r="G275" s="81"/>
      <c r="H275" s="79"/>
      <c r="I275" s="79"/>
      <c r="J275" s="79"/>
      <c r="K275" s="79"/>
      <c r="L275" s="79"/>
      <c r="M275" s="79"/>
      <c r="N275" s="79"/>
      <c r="O275" s="79"/>
      <c r="P275" s="79"/>
      <c r="Q275" s="79"/>
      <c r="R275" s="79"/>
      <c r="S275" s="79"/>
      <c r="T275" s="79"/>
      <c r="U275" s="79"/>
      <c r="V275" s="79"/>
      <c r="W275" s="79"/>
      <c r="X275" s="79"/>
      <c r="Y275" s="79"/>
      <c r="Z275" s="79"/>
    </row>
    <row r="276" spans="1:26" ht="12.75" customHeight="1">
      <c r="A276" s="73"/>
      <c r="B276" s="73"/>
      <c r="C276" s="80"/>
      <c r="D276" s="79"/>
      <c r="E276" s="79"/>
      <c r="F276" s="81"/>
      <c r="G276" s="81"/>
      <c r="H276" s="79"/>
      <c r="I276" s="79"/>
      <c r="J276" s="79"/>
      <c r="K276" s="79"/>
      <c r="L276" s="79"/>
      <c r="M276" s="79"/>
      <c r="N276" s="79"/>
      <c r="O276" s="79"/>
      <c r="P276" s="79"/>
      <c r="Q276" s="79"/>
      <c r="R276" s="79"/>
      <c r="S276" s="79"/>
      <c r="T276" s="79"/>
      <c r="U276" s="79"/>
      <c r="V276" s="79"/>
      <c r="W276" s="79"/>
      <c r="X276" s="79"/>
      <c r="Y276" s="79"/>
      <c r="Z276" s="79"/>
    </row>
    <row r="277" spans="1:26" ht="12.75" customHeight="1">
      <c r="A277" s="73"/>
      <c r="B277" s="73"/>
      <c r="C277" s="80"/>
      <c r="D277" s="79"/>
      <c r="E277" s="79"/>
      <c r="F277" s="81"/>
      <c r="G277" s="81"/>
      <c r="H277" s="79"/>
      <c r="I277" s="79"/>
      <c r="J277" s="79"/>
      <c r="K277" s="79"/>
      <c r="L277" s="79"/>
      <c r="M277" s="79"/>
      <c r="N277" s="79"/>
      <c r="O277" s="79"/>
      <c r="P277" s="79"/>
      <c r="Q277" s="79"/>
      <c r="R277" s="79"/>
      <c r="S277" s="79"/>
      <c r="T277" s="79"/>
      <c r="U277" s="79"/>
      <c r="V277" s="79"/>
      <c r="W277" s="79"/>
      <c r="X277" s="79"/>
      <c r="Y277" s="79"/>
      <c r="Z277" s="79"/>
    </row>
    <row r="278" spans="1:26" ht="12.75" customHeight="1">
      <c r="A278" s="73"/>
      <c r="B278" s="73"/>
      <c r="C278" s="80"/>
      <c r="D278" s="79"/>
      <c r="E278" s="79"/>
      <c r="F278" s="81"/>
      <c r="G278" s="81"/>
      <c r="H278" s="79"/>
      <c r="I278" s="79"/>
      <c r="J278" s="79"/>
      <c r="K278" s="79"/>
      <c r="L278" s="79"/>
      <c r="M278" s="79"/>
      <c r="N278" s="79"/>
      <c r="O278" s="79"/>
      <c r="P278" s="79"/>
      <c r="Q278" s="79"/>
      <c r="R278" s="79"/>
      <c r="S278" s="79"/>
      <c r="T278" s="79"/>
      <c r="U278" s="79"/>
      <c r="V278" s="79"/>
      <c r="W278" s="79"/>
      <c r="X278" s="79"/>
      <c r="Y278" s="79"/>
      <c r="Z278" s="79"/>
    </row>
    <row r="279" spans="1:26" ht="12.75" customHeight="1">
      <c r="A279" s="73"/>
      <c r="B279" s="73"/>
      <c r="C279" s="80"/>
      <c r="D279" s="79"/>
      <c r="E279" s="79"/>
      <c r="F279" s="81"/>
      <c r="G279" s="81"/>
      <c r="H279" s="79"/>
      <c r="I279" s="79"/>
      <c r="J279" s="79"/>
      <c r="K279" s="79"/>
      <c r="L279" s="79"/>
      <c r="M279" s="79"/>
      <c r="N279" s="79"/>
      <c r="O279" s="79"/>
      <c r="P279" s="79"/>
      <c r="Q279" s="79"/>
      <c r="R279" s="79"/>
      <c r="S279" s="79"/>
      <c r="T279" s="79"/>
      <c r="U279" s="79"/>
      <c r="V279" s="79"/>
      <c r="W279" s="79"/>
      <c r="X279" s="79"/>
      <c r="Y279" s="79"/>
      <c r="Z279" s="79"/>
    </row>
    <row r="280" spans="1:26" ht="12.75" customHeight="1">
      <c r="A280" s="73"/>
      <c r="B280" s="73"/>
      <c r="C280" s="80"/>
      <c r="D280" s="79"/>
      <c r="E280" s="79"/>
      <c r="F280" s="81"/>
      <c r="G280" s="81"/>
      <c r="H280" s="79"/>
      <c r="I280" s="79"/>
      <c r="J280" s="79"/>
      <c r="K280" s="79"/>
      <c r="L280" s="79"/>
      <c r="M280" s="79"/>
      <c r="N280" s="79"/>
      <c r="O280" s="79"/>
      <c r="P280" s="79"/>
      <c r="Q280" s="79"/>
      <c r="R280" s="79"/>
      <c r="S280" s="79"/>
      <c r="T280" s="79"/>
      <c r="U280" s="79"/>
      <c r="V280" s="79"/>
      <c r="W280" s="79"/>
      <c r="X280" s="79"/>
      <c r="Y280" s="79"/>
      <c r="Z280" s="79"/>
    </row>
    <row r="281" spans="1:26" ht="12.75" customHeight="1">
      <c r="A281" s="73"/>
      <c r="B281" s="73"/>
      <c r="C281" s="80"/>
      <c r="D281" s="79"/>
      <c r="E281" s="79"/>
      <c r="F281" s="81"/>
      <c r="G281" s="81"/>
      <c r="H281" s="79"/>
      <c r="I281" s="79"/>
      <c r="J281" s="79"/>
      <c r="K281" s="79"/>
      <c r="L281" s="79"/>
      <c r="M281" s="79"/>
      <c r="N281" s="79"/>
      <c r="O281" s="79"/>
      <c r="P281" s="79"/>
      <c r="Q281" s="79"/>
      <c r="R281" s="79"/>
      <c r="S281" s="79"/>
      <c r="T281" s="79"/>
      <c r="U281" s="79"/>
      <c r="V281" s="79"/>
      <c r="W281" s="79"/>
      <c r="X281" s="79"/>
      <c r="Y281" s="79"/>
      <c r="Z281" s="79"/>
    </row>
    <row r="282" spans="1:26" ht="12.75" customHeight="1">
      <c r="A282" s="73"/>
      <c r="B282" s="73"/>
      <c r="C282" s="80"/>
      <c r="D282" s="79"/>
      <c r="E282" s="79"/>
      <c r="F282" s="81"/>
      <c r="G282" s="81"/>
      <c r="H282" s="79"/>
      <c r="I282" s="79"/>
      <c r="J282" s="79"/>
      <c r="K282" s="79"/>
      <c r="L282" s="79"/>
      <c r="M282" s="79"/>
      <c r="N282" s="79"/>
      <c r="O282" s="79"/>
      <c r="P282" s="79"/>
      <c r="Q282" s="79"/>
      <c r="R282" s="79"/>
      <c r="S282" s="79"/>
      <c r="T282" s="79"/>
      <c r="U282" s="79"/>
      <c r="V282" s="79"/>
      <c r="W282" s="79"/>
      <c r="X282" s="79"/>
      <c r="Y282" s="79"/>
      <c r="Z282" s="79"/>
    </row>
    <row r="283" spans="1:26" ht="12.75" customHeight="1">
      <c r="A283" s="73"/>
      <c r="B283" s="73"/>
      <c r="C283" s="80"/>
      <c r="D283" s="79"/>
      <c r="E283" s="79"/>
      <c r="F283" s="81"/>
      <c r="G283" s="81"/>
      <c r="H283" s="79"/>
      <c r="I283" s="79"/>
      <c r="J283" s="79"/>
      <c r="K283" s="79"/>
      <c r="L283" s="79"/>
      <c r="M283" s="79"/>
      <c r="N283" s="79"/>
      <c r="O283" s="79"/>
      <c r="P283" s="79"/>
      <c r="Q283" s="79"/>
      <c r="R283" s="79"/>
      <c r="S283" s="79"/>
      <c r="T283" s="79"/>
      <c r="U283" s="79"/>
      <c r="V283" s="79"/>
      <c r="W283" s="79"/>
      <c r="X283" s="79"/>
      <c r="Y283" s="79"/>
      <c r="Z283" s="79"/>
    </row>
    <row r="284" spans="1:26" ht="12.75" customHeight="1">
      <c r="A284" s="73"/>
      <c r="B284" s="73"/>
      <c r="C284" s="80"/>
      <c r="D284" s="79"/>
      <c r="E284" s="79"/>
      <c r="F284" s="81"/>
      <c r="G284" s="81"/>
      <c r="H284" s="79"/>
      <c r="I284" s="79"/>
      <c r="J284" s="79"/>
      <c r="K284" s="79"/>
      <c r="L284" s="79"/>
      <c r="M284" s="79"/>
      <c r="N284" s="79"/>
      <c r="O284" s="79"/>
      <c r="P284" s="79"/>
      <c r="Q284" s="79"/>
      <c r="R284" s="79"/>
      <c r="S284" s="79"/>
      <c r="T284" s="79"/>
      <c r="U284" s="79"/>
      <c r="V284" s="79"/>
      <c r="W284" s="79"/>
      <c r="X284" s="79"/>
      <c r="Y284" s="79"/>
      <c r="Z284" s="79"/>
    </row>
    <row r="285" spans="1:26" ht="12.75" customHeight="1">
      <c r="A285" s="73"/>
      <c r="B285" s="73"/>
      <c r="C285" s="80"/>
      <c r="D285" s="79"/>
      <c r="E285" s="79"/>
      <c r="F285" s="81"/>
      <c r="G285" s="81"/>
      <c r="H285" s="79"/>
      <c r="I285" s="79"/>
      <c r="J285" s="79"/>
      <c r="K285" s="79"/>
      <c r="L285" s="79"/>
      <c r="M285" s="79"/>
      <c r="N285" s="79"/>
      <c r="O285" s="79"/>
      <c r="P285" s="79"/>
      <c r="Q285" s="79"/>
      <c r="R285" s="79"/>
      <c r="S285" s="79"/>
      <c r="T285" s="79"/>
      <c r="U285" s="79"/>
      <c r="V285" s="79"/>
      <c r="W285" s="79"/>
      <c r="X285" s="79"/>
      <c r="Y285" s="79"/>
      <c r="Z285" s="79"/>
    </row>
    <row r="286" spans="1:26" ht="12.75" customHeight="1">
      <c r="A286" s="73"/>
      <c r="B286" s="73"/>
      <c r="C286" s="80"/>
      <c r="D286" s="79"/>
      <c r="E286" s="79"/>
      <c r="F286" s="81"/>
      <c r="G286" s="81"/>
      <c r="H286" s="79"/>
      <c r="I286" s="79"/>
      <c r="J286" s="79"/>
      <c r="K286" s="79"/>
      <c r="L286" s="79"/>
      <c r="M286" s="79"/>
      <c r="N286" s="79"/>
      <c r="O286" s="79"/>
      <c r="P286" s="79"/>
      <c r="Q286" s="79"/>
      <c r="R286" s="79"/>
      <c r="S286" s="79"/>
      <c r="T286" s="79"/>
      <c r="U286" s="79"/>
      <c r="V286" s="79"/>
      <c r="W286" s="79"/>
      <c r="X286" s="79"/>
      <c r="Y286" s="79"/>
      <c r="Z286" s="79"/>
    </row>
    <row r="287" spans="1:26" ht="12.75" customHeight="1">
      <c r="A287" s="73"/>
      <c r="B287" s="73"/>
      <c r="C287" s="80"/>
      <c r="D287" s="79"/>
      <c r="E287" s="79"/>
      <c r="F287" s="81"/>
      <c r="G287" s="81"/>
      <c r="H287" s="79"/>
      <c r="I287" s="79"/>
      <c r="J287" s="79"/>
      <c r="K287" s="79"/>
      <c r="L287" s="79"/>
      <c r="M287" s="79"/>
      <c r="N287" s="79"/>
      <c r="O287" s="79"/>
      <c r="P287" s="79"/>
      <c r="Q287" s="79"/>
      <c r="R287" s="79"/>
      <c r="S287" s="79"/>
      <c r="T287" s="79"/>
      <c r="U287" s="79"/>
      <c r="V287" s="79"/>
      <c r="W287" s="79"/>
      <c r="X287" s="79"/>
      <c r="Y287" s="79"/>
      <c r="Z287" s="79"/>
    </row>
    <row r="288" spans="1:26" ht="12.75" customHeight="1">
      <c r="A288" s="73"/>
      <c r="B288" s="73"/>
      <c r="C288" s="80"/>
      <c r="D288" s="79"/>
      <c r="E288" s="79"/>
      <c r="F288" s="81"/>
      <c r="G288" s="81"/>
      <c r="H288" s="79"/>
      <c r="I288" s="79"/>
      <c r="J288" s="79"/>
      <c r="K288" s="79"/>
      <c r="L288" s="79"/>
      <c r="M288" s="79"/>
      <c r="N288" s="79"/>
      <c r="O288" s="79"/>
      <c r="P288" s="79"/>
      <c r="Q288" s="79"/>
      <c r="R288" s="79"/>
      <c r="S288" s="79"/>
      <c r="T288" s="79"/>
      <c r="U288" s="79"/>
      <c r="V288" s="79"/>
      <c r="W288" s="79"/>
      <c r="X288" s="79"/>
      <c r="Y288" s="79"/>
      <c r="Z288" s="79"/>
    </row>
    <row r="289" spans="1:26" ht="12.75" customHeight="1">
      <c r="A289" s="73"/>
      <c r="B289" s="73"/>
      <c r="C289" s="80"/>
      <c r="D289" s="79"/>
      <c r="E289" s="79"/>
      <c r="F289" s="81"/>
      <c r="G289" s="81"/>
      <c r="H289" s="79"/>
      <c r="I289" s="79"/>
      <c r="J289" s="79"/>
      <c r="K289" s="79"/>
      <c r="L289" s="79"/>
      <c r="M289" s="79"/>
      <c r="N289" s="79"/>
      <c r="O289" s="79"/>
      <c r="P289" s="79"/>
      <c r="Q289" s="79"/>
      <c r="R289" s="79"/>
      <c r="S289" s="79"/>
      <c r="T289" s="79"/>
      <c r="U289" s="79"/>
      <c r="V289" s="79"/>
      <c r="W289" s="79"/>
      <c r="X289" s="79"/>
      <c r="Y289" s="79"/>
      <c r="Z289" s="79"/>
    </row>
    <row r="290" spans="1:26" ht="12.75" customHeight="1">
      <c r="A290" s="73"/>
      <c r="B290" s="73"/>
      <c r="C290" s="80"/>
      <c r="D290" s="79"/>
      <c r="E290" s="79"/>
      <c r="F290" s="81"/>
      <c r="G290" s="81"/>
      <c r="H290" s="79"/>
      <c r="I290" s="79"/>
      <c r="J290" s="79"/>
      <c r="K290" s="79"/>
      <c r="L290" s="79"/>
      <c r="M290" s="79"/>
      <c r="N290" s="79"/>
      <c r="O290" s="79"/>
      <c r="P290" s="79"/>
      <c r="Q290" s="79"/>
      <c r="R290" s="79"/>
      <c r="S290" s="79"/>
      <c r="T290" s="79"/>
      <c r="U290" s="79"/>
      <c r="V290" s="79"/>
      <c r="W290" s="79"/>
      <c r="X290" s="79"/>
      <c r="Y290" s="79"/>
      <c r="Z290" s="79"/>
    </row>
    <row r="291" spans="1:26" ht="12.75" customHeight="1">
      <c r="A291" s="73"/>
      <c r="B291" s="73"/>
      <c r="C291" s="80"/>
      <c r="D291" s="79"/>
      <c r="E291" s="79"/>
      <c r="F291" s="81"/>
      <c r="G291" s="81"/>
      <c r="H291" s="79"/>
      <c r="I291" s="79"/>
      <c r="J291" s="79"/>
      <c r="K291" s="79"/>
      <c r="L291" s="79"/>
      <c r="M291" s="79"/>
      <c r="N291" s="79"/>
      <c r="O291" s="79"/>
      <c r="P291" s="79"/>
      <c r="Q291" s="79"/>
      <c r="R291" s="79"/>
      <c r="S291" s="79"/>
      <c r="T291" s="79"/>
      <c r="U291" s="79"/>
      <c r="V291" s="79"/>
      <c r="W291" s="79"/>
      <c r="X291" s="79"/>
      <c r="Y291" s="79"/>
      <c r="Z291" s="79"/>
    </row>
    <row r="292" spans="1:26" ht="12.75" customHeight="1">
      <c r="A292" s="73"/>
      <c r="B292" s="73"/>
      <c r="C292" s="80"/>
      <c r="D292" s="79"/>
      <c r="E292" s="79"/>
      <c r="F292" s="81"/>
      <c r="G292" s="81"/>
      <c r="H292" s="79"/>
      <c r="I292" s="79"/>
      <c r="J292" s="79"/>
      <c r="K292" s="79"/>
      <c r="L292" s="79"/>
      <c r="M292" s="79"/>
      <c r="N292" s="79"/>
      <c r="O292" s="79"/>
      <c r="P292" s="79"/>
      <c r="Q292" s="79"/>
      <c r="R292" s="79"/>
      <c r="S292" s="79"/>
      <c r="T292" s="79"/>
      <c r="U292" s="79"/>
      <c r="V292" s="79"/>
      <c r="W292" s="79"/>
      <c r="X292" s="79"/>
      <c r="Y292" s="79"/>
      <c r="Z292" s="79"/>
    </row>
    <row r="293" spans="1:26" ht="12.75" customHeight="1">
      <c r="A293" s="73"/>
      <c r="B293" s="73"/>
      <c r="C293" s="80"/>
      <c r="D293" s="79"/>
      <c r="E293" s="79"/>
      <c r="F293" s="81"/>
      <c r="G293" s="81"/>
      <c r="H293" s="79"/>
      <c r="I293" s="79"/>
      <c r="J293" s="79"/>
      <c r="K293" s="79"/>
      <c r="L293" s="79"/>
      <c r="M293" s="79"/>
      <c r="N293" s="79"/>
      <c r="O293" s="79"/>
      <c r="P293" s="79"/>
      <c r="Q293" s="79"/>
      <c r="R293" s="79"/>
      <c r="S293" s="79"/>
      <c r="T293" s="79"/>
      <c r="U293" s="79"/>
      <c r="V293" s="79"/>
      <c r="W293" s="79"/>
      <c r="X293" s="79"/>
      <c r="Y293" s="79"/>
      <c r="Z293" s="79"/>
    </row>
    <row r="294" spans="1:26" ht="12.75" customHeight="1">
      <c r="A294" s="73"/>
      <c r="B294" s="73"/>
      <c r="C294" s="80"/>
      <c r="D294" s="79"/>
      <c r="E294" s="79"/>
      <c r="F294" s="81"/>
      <c r="G294" s="81"/>
      <c r="H294" s="79"/>
      <c r="I294" s="79"/>
      <c r="J294" s="79"/>
      <c r="K294" s="79"/>
      <c r="L294" s="79"/>
      <c r="M294" s="79"/>
      <c r="N294" s="79"/>
      <c r="O294" s="79"/>
      <c r="P294" s="79"/>
      <c r="Q294" s="79"/>
      <c r="R294" s="79"/>
      <c r="S294" s="79"/>
      <c r="T294" s="79"/>
      <c r="U294" s="79"/>
      <c r="V294" s="79"/>
      <c r="W294" s="79"/>
      <c r="X294" s="79"/>
      <c r="Y294" s="79"/>
      <c r="Z294" s="79"/>
    </row>
    <row r="295" spans="1:26" ht="12.75" customHeight="1">
      <c r="A295" s="73"/>
      <c r="B295" s="73"/>
      <c r="C295" s="80"/>
      <c r="D295" s="79"/>
      <c r="E295" s="79"/>
      <c r="F295" s="81"/>
      <c r="G295" s="81"/>
      <c r="H295" s="79"/>
      <c r="I295" s="79"/>
      <c r="J295" s="79"/>
      <c r="K295" s="79"/>
      <c r="L295" s="79"/>
      <c r="M295" s="79"/>
      <c r="N295" s="79"/>
      <c r="O295" s="79"/>
      <c r="P295" s="79"/>
      <c r="Q295" s="79"/>
      <c r="R295" s="79"/>
      <c r="S295" s="79"/>
      <c r="T295" s="79"/>
      <c r="U295" s="79"/>
      <c r="V295" s="79"/>
      <c r="W295" s="79"/>
      <c r="X295" s="79"/>
      <c r="Y295" s="79"/>
      <c r="Z295" s="79"/>
    </row>
    <row r="296" spans="1:26" ht="12.75" customHeight="1">
      <c r="A296" s="73"/>
      <c r="B296" s="73"/>
      <c r="C296" s="80"/>
      <c r="D296" s="79"/>
      <c r="E296" s="79"/>
      <c r="F296" s="81"/>
      <c r="G296" s="81"/>
      <c r="H296" s="79"/>
      <c r="I296" s="79"/>
      <c r="J296" s="79"/>
      <c r="K296" s="79"/>
      <c r="L296" s="79"/>
      <c r="M296" s="79"/>
      <c r="N296" s="79"/>
      <c r="O296" s="79"/>
      <c r="P296" s="79"/>
      <c r="Q296" s="79"/>
      <c r="R296" s="79"/>
      <c r="S296" s="79"/>
      <c r="T296" s="79"/>
      <c r="U296" s="79"/>
      <c r="V296" s="79"/>
      <c r="W296" s="79"/>
      <c r="X296" s="79"/>
      <c r="Y296" s="79"/>
      <c r="Z296" s="79"/>
    </row>
    <row r="297" spans="1:26" ht="12.75" customHeight="1">
      <c r="A297" s="73"/>
      <c r="B297" s="73"/>
      <c r="C297" s="80"/>
      <c r="D297" s="79"/>
      <c r="E297" s="79"/>
      <c r="F297" s="81"/>
      <c r="G297" s="81"/>
      <c r="H297" s="79"/>
      <c r="I297" s="79"/>
      <c r="J297" s="79"/>
      <c r="K297" s="79"/>
      <c r="L297" s="79"/>
      <c r="M297" s="79"/>
      <c r="N297" s="79"/>
      <c r="O297" s="79"/>
      <c r="P297" s="79"/>
      <c r="Q297" s="79"/>
      <c r="R297" s="79"/>
      <c r="S297" s="79"/>
      <c r="T297" s="79"/>
      <c r="U297" s="79"/>
      <c r="V297" s="79"/>
      <c r="W297" s="79"/>
      <c r="X297" s="79"/>
      <c r="Y297" s="79"/>
      <c r="Z297" s="79"/>
    </row>
    <row r="298" spans="1:26" ht="12.75" customHeight="1">
      <c r="A298" s="73"/>
      <c r="B298" s="73"/>
      <c r="C298" s="80"/>
      <c r="D298" s="79"/>
      <c r="E298" s="79"/>
      <c r="F298" s="81"/>
      <c r="G298" s="81"/>
      <c r="H298" s="79"/>
      <c r="I298" s="79"/>
      <c r="J298" s="79"/>
      <c r="K298" s="79"/>
      <c r="L298" s="79"/>
      <c r="M298" s="79"/>
      <c r="N298" s="79"/>
      <c r="O298" s="79"/>
      <c r="P298" s="79"/>
      <c r="Q298" s="79"/>
      <c r="R298" s="79"/>
      <c r="S298" s="79"/>
      <c r="T298" s="79"/>
      <c r="U298" s="79"/>
      <c r="V298" s="79"/>
      <c r="W298" s="79"/>
      <c r="X298" s="79"/>
      <c r="Y298" s="79"/>
      <c r="Z298" s="79"/>
    </row>
    <row r="299" spans="1:26" ht="12.75" customHeight="1">
      <c r="A299" s="73"/>
      <c r="B299" s="73"/>
      <c r="C299" s="80"/>
      <c r="D299" s="79"/>
      <c r="E299" s="79"/>
      <c r="F299" s="81"/>
      <c r="G299" s="81"/>
      <c r="H299" s="79"/>
      <c r="I299" s="79"/>
      <c r="J299" s="79"/>
      <c r="K299" s="79"/>
      <c r="L299" s="79"/>
      <c r="M299" s="79"/>
      <c r="N299" s="79"/>
      <c r="O299" s="79"/>
      <c r="P299" s="79"/>
      <c r="Q299" s="79"/>
      <c r="R299" s="79"/>
      <c r="S299" s="79"/>
      <c r="T299" s="79"/>
      <c r="U299" s="79"/>
      <c r="V299" s="79"/>
      <c r="W299" s="79"/>
      <c r="X299" s="79"/>
      <c r="Y299" s="79"/>
      <c r="Z299" s="79"/>
    </row>
    <row r="300" spans="1:26" ht="12.75" customHeight="1">
      <c r="A300" s="73"/>
      <c r="B300" s="73"/>
      <c r="C300" s="80"/>
      <c r="D300" s="79"/>
      <c r="E300" s="79"/>
      <c r="F300" s="81"/>
      <c r="G300" s="81"/>
      <c r="H300" s="79"/>
      <c r="I300" s="79"/>
      <c r="J300" s="79"/>
      <c r="K300" s="79"/>
      <c r="L300" s="79"/>
      <c r="M300" s="79"/>
      <c r="N300" s="79"/>
      <c r="O300" s="79"/>
      <c r="P300" s="79"/>
      <c r="Q300" s="79"/>
      <c r="R300" s="79"/>
      <c r="S300" s="79"/>
      <c r="T300" s="79"/>
      <c r="U300" s="79"/>
      <c r="V300" s="79"/>
      <c r="W300" s="79"/>
      <c r="X300" s="79"/>
      <c r="Y300" s="79"/>
      <c r="Z300" s="79"/>
    </row>
    <row r="301" spans="1:26" ht="12.75" customHeight="1">
      <c r="A301" s="73"/>
      <c r="B301" s="73"/>
      <c r="C301" s="80"/>
      <c r="D301" s="79"/>
      <c r="E301" s="79"/>
      <c r="F301" s="81"/>
      <c r="G301" s="81"/>
      <c r="H301" s="79"/>
      <c r="I301" s="79"/>
      <c r="J301" s="79"/>
      <c r="K301" s="79"/>
      <c r="L301" s="79"/>
      <c r="M301" s="79"/>
      <c r="N301" s="79"/>
      <c r="O301" s="79"/>
      <c r="P301" s="79"/>
      <c r="Q301" s="79"/>
      <c r="R301" s="79"/>
      <c r="S301" s="79"/>
      <c r="T301" s="79"/>
      <c r="U301" s="79"/>
      <c r="V301" s="79"/>
      <c r="W301" s="79"/>
      <c r="X301" s="79"/>
      <c r="Y301" s="79"/>
      <c r="Z301" s="79"/>
    </row>
    <row r="302" spans="1:26" ht="12.75" customHeight="1">
      <c r="A302" s="73"/>
      <c r="B302" s="73"/>
      <c r="C302" s="80"/>
      <c r="D302" s="79"/>
      <c r="E302" s="79"/>
      <c r="F302" s="81"/>
      <c r="G302" s="81"/>
      <c r="H302" s="79"/>
      <c r="I302" s="79"/>
      <c r="J302" s="79"/>
      <c r="K302" s="79"/>
      <c r="L302" s="79"/>
      <c r="M302" s="79"/>
      <c r="N302" s="79"/>
      <c r="O302" s="79"/>
      <c r="P302" s="79"/>
      <c r="Q302" s="79"/>
      <c r="R302" s="79"/>
      <c r="S302" s="79"/>
      <c r="T302" s="79"/>
      <c r="U302" s="79"/>
      <c r="V302" s="79"/>
      <c r="W302" s="79"/>
      <c r="X302" s="79"/>
      <c r="Y302" s="79"/>
      <c r="Z302" s="79"/>
    </row>
    <row r="303" spans="1:26" ht="12.75" customHeight="1">
      <c r="A303" s="73"/>
      <c r="B303" s="73"/>
      <c r="C303" s="80"/>
      <c r="D303" s="79"/>
      <c r="E303" s="79"/>
      <c r="F303" s="81"/>
      <c r="G303" s="81"/>
      <c r="H303" s="79"/>
      <c r="I303" s="79"/>
      <c r="J303" s="79"/>
      <c r="K303" s="79"/>
      <c r="L303" s="79"/>
      <c r="M303" s="79"/>
      <c r="N303" s="79"/>
      <c r="O303" s="79"/>
      <c r="P303" s="79"/>
      <c r="Q303" s="79"/>
      <c r="R303" s="79"/>
      <c r="S303" s="79"/>
      <c r="T303" s="79"/>
      <c r="U303" s="79"/>
      <c r="V303" s="79"/>
      <c r="W303" s="79"/>
      <c r="X303" s="79"/>
      <c r="Y303" s="79"/>
      <c r="Z303" s="79"/>
    </row>
    <row r="304" spans="1:26" ht="12.75" customHeight="1">
      <c r="A304" s="73"/>
      <c r="B304" s="73"/>
      <c r="C304" s="80"/>
      <c r="D304" s="79"/>
      <c r="E304" s="79"/>
      <c r="F304" s="81"/>
      <c r="G304" s="81"/>
      <c r="H304" s="79"/>
      <c r="I304" s="79"/>
      <c r="J304" s="79"/>
      <c r="K304" s="79"/>
      <c r="L304" s="79"/>
      <c r="M304" s="79"/>
      <c r="N304" s="79"/>
      <c r="O304" s="79"/>
      <c r="P304" s="79"/>
      <c r="Q304" s="79"/>
      <c r="R304" s="79"/>
      <c r="S304" s="79"/>
      <c r="T304" s="79"/>
      <c r="U304" s="79"/>
      <c r="V304" s="79"/>
      <c r="W304" s="79"/>
      <c r="X304" s="79"/>
      <c r="Y304" s="79"/>
      <c r="Z304" s="79"/>
    </row>
    <row r="305" spans="1:26" ht="12.75" customHeight="1">
      <c r="A305" s="73"/>
      <c r="B305" s="73"/>
      <c r="C305" s="80"/>
      <c r="D305" s="79"/>
      <c r="E305" s="79"/>
      <c r="F305" s="81"/>
      <c r="G305" s="81"/>
      <c r="H305" s="79"/>
      <c r="I305" s="79"/>
      <c r="J305" s="79"/>
      <c r="K305" s="79"/>
      <c r="L305" s="79"/>
      <c r="M305" s="79"/>
      <c r="N305" s="79"/>
      <c r="O305" s="79"/>
      <c r="P305" s="79"/>
      <c r="Q305" s="79"/>
      <c r="R305" s="79"/>
      <c r="S305" s="79"/>
      <c r="T305" s="79"/>
      <c r="U305" s="79"/>
      <c r="V305" s="79"/>
      <c r="W305" s="79"/>
      <c r="X305" s="79"/>
      <c r="Y305" s="79"/>
      <c r="Z305" s="79"/>
    </row>
    <row r="306" spans="1:26" ht="12.75" customHeight="1">
      <c r="A306" s="73"/>
      <c r="B306" s="73"/>
      <c r="C306" s="80"/>
      <c r="D306" s="79"/>
      <c r="E306" s="79"/>
      <c r="F306" s="81"/>
      <c r="G306" s="81"/>
      <c r="H306" s="79"/>
      <c r="I306" s="79"/>
      <c r="J306" s="79"/>
      <c r="K306" s="79"/>
      <c r="L306" s="79"/>
      <c r="M306" s="79"/>
      <c r="N306" s="79"/>
      <c r="O306" s="79"/>
      <c r="P306" s="79"/>
      <c r="Q306" s="79"/>
      <c r="R306" s="79"/>
      <c r="S306" s="79"/>
      <c r="T306" s="79"/>
      <c r="U306" s="79"/>
      <c r="V306" s="79"/>
      <c r="W306" s="79"/>
      <c r="X306" s="79"/>
      <c r="Y306" s="79"/>
      <c r="Z306" s="79"/>
    </row>
    <row r="307" spans="1:26" ht="12.75" customHeight="1">
      <c r="A307" s="73"/>
      <c r="B307" s="73"/>
      <c r="C307" s="80"/>
      <c r="D307" s="79"/>
      <c r="E307" s="79"/>
      <c r="F307" s="81"/>
      <c r="G307" s="81"/>
      <c r="H307" s="79"/>
      <c r="I307" s="79"/>
      <c r="J307" s="79"/>
      <c r="K307" s="79"/>
      <c r="L307" s="79"/>
      <c r="M307" s="79"/>
      <c r="N307" s="79"/>
      <c r="O307" s="79"/>
      <c r="P307" s="79"/>
      <c r="Q307" s="79"/>
      <c r="R307" s="79"/>
      <c r="S307" s="79"/>
      <c r="T307" s="79"/>
      <c r="U307" s="79"/>
      <c r="V307" s="79"/>
      <c r="W307" s="79"/>
      <c r="X307" s="79"/>
      <c r="Y307" s="79"/>
      <c r="Z307" s="79"/>
    </row>
    <row r="308" spans="1:26" ht="12.75" customHeight="1">
      <c r="A308" s="73"/>
      <c r="B308" s="73"/>
      <c r="C308" s="80"/>
      <c r="D308" s="79"/>
      <c r="E308" s="79"/>
      <c r="F308" s="81"/>
      <c r="G308" s="81"/>
      <c r="H308" s="79"/>
      <c r="I308" s="79"/>
      <c r="J308" s="79"/>
      <c r="K308" s="79"/>
      <c r="L308" s="79"/>
      <c r="M308" s="79"/>
      <c r="N308" s="79"/>
      <c r="O308" s="79"/>
      <c r="P308" s="79"/>
      <c r="Q308" s="79"/>
      <c r="R308" s="79"/>
      <c r="S308" s="79"/>
      <c r="T308" s="79"/>
      <c r="U308" s="79"/>
      <c r="V308" s="79"/>
      <c r="W308" s="79"/>
      <c r="X308" s="79"/>
      <c r="Y308" s="79"/>
      <c r="Z308" s="79"/>
    </row>
    <row r="309" spans="1:26" ht="12.75" customHeight="1">
      <c r="A309" s="73"/>
      <c r="B309" s="73"/>
      <c r="C309" s="80"/>
      <c r="D309" s="79"/>
      <c r="E309" s="79"/>
      <c r="F309" s="81"/>
      <c r="G309" s="81"/>
      <c r="H309" s="79"/>
      <c r="I309" s="79"/>
      <c r="J309" s="79"/>
      <c r="K309" s="79"/>
      <c r="L309" s="79"/>
      <c r="M309" s="79"/>
      <c r="N309" s="79"/>
      <c r="O309" s="79"/>
      <c r="P309" s="79"/>
      <c r="Q309" s="79"/>
      <c r="R309" s="79"/>
      <c r="S309" s="79"/>
      <c r="T309" s="79"/>
      <c r="U309" s="79"/>
      <c r="V309" s="79"/>
      <c r="W309" s="79"/>
      <c r="X309" s="79"/>
      <c r="Y309" s="79"/>
      <c r="Z309" s="79"/>
    </row>
    <row r="310" spans="1:26" ht="12.75" customHeight="1">
      <c r="A310" s="73"/>
      <c r="B310" s="73"/>
      <c r="C310" s="80"/>
      <c r="D310" s="79"/>
      <c r="E310" s="79"/>
      <c r="F310" s="81"/>
      <c r="G310" s="81"/>
      <c r="H310" s="79"/>
      <c r="I310" s="79"/>
      <c r="J310" s="79"/>
      <c r="K310" s="79"/>
      <c r="L310" s="79"/>
      <c r="M310" s="79"/>
      <c r="N310" s="79"/>
      <c r="O310" s="79"/>
      <c r="P310" s="79"/>
      <c r="Q310" s="79"/>
      <c r="R310" s="79"/>
      <c r="S310" s="79"/>
      <c r="T310" s="79"/>
      <c r="U310" s="79"/>
      <c r="V310" s="79"/>
      <c r="W310" s="79"/>
      <c r="X310" s="79"/>
      <c r="Y310" s="79"/>
      <c r="Z310" s="79"/>
    </row>
    <row r="311" spans="1:26" ht="12.75" customHeight="1">
      <c r="A311" s="73"/>
      <c r="B311" s="73"/>
      <c r="C311" s="80"/>
      <c r="D311" s="79"/>
      <c r="E311" s="79"/>
      <c r="F311" s="81"/>
      <c r="G311" s="81"/>
      <c r="H311" s="79"/>
      <c r="I311" s="79"/>
      <c r="J311" s="79"/>
      <c r="K311" s="79"/>
      <c r="L311" s="79"/>
      <c r="M311" s="79"/>
      <c r="N311" s="79"/>
      <c r="O311" s="79"/>
      <c r="P311" s="79"/>
      <c r="Q311" s="79"/>
      <c r="R311" s="79"/>
      <c r="S311" s="79"/>
      <c r="T311" s="79"/>
      <c r="U311" s="79"/>
      <c r="V311" s="79"/>
      <c r="W311" s="79"/>
      <c r="X311" s="79"/>
      <c r="Y311" s="79"/>
      <c r="Z311" s="79"/>
    </row>
    <row r="312" spans="1:26" ht="12.75" customHeight="1">
      <c r="A312" s="73"/>
      <c r="B312" s="73"/>
      <c r="C312" s="80"/>
      <c r="D312" s="79"/>
      <c r="E312" s="79"/>
      <c r="F312" s="81"/>
      <c r="G312" s="81"/>
      <c r="H312" s="79"/>
      <c r="I312" s="79"/>
      <c r="J312" s="79"/>
      <c r="K312" s="79"/>
      <c r="L312" s="79"/>
      <c r="M312" s="79"/>
      <c r="N312" s="79"/>
      <c r="O312" s="79"/>
      <c r="P312" s="79"/>
      <c r="Q312" s="79"/>
      <c r="R312" s="79"/>
      <c r="S312" s="79"/>
      <c r="T312" s="79"/>
      <c r="U312" s="79"/>
      <c r="V312" s="79"/>
      <c r="W312" s="79"/>
      <c r="X312" s="79"/>
      <c r="Y312" s="79"/>
      <c r="Z312" s="79"/>
    </row>
    <row r="313" spans="1:26" ht="12.75" customHeight="1">
      <c r="A313" s="73"/>
      <c r="B313" s="73"/>
      <c r="C313" s="80"/>
      <c r="D313" s="79"/>
      <c r="E313" s="79"/>
      <c r="F313" s="81"/>
      <c r="G313" s="81"/>
      <c r="H313" s="79"/>
      <c r="I313" s="79"/>
      <c r="J313" s="79"/>
      <c r="K313" s="79"/>
      <c r="L313" s="79"/>
      <c r="M313" s="79"/>
      <c r="N313" s="79"/>
      <c r="O313" s="79"/>
      <c r="P313" s="79"/>
      <c r="Q313" s="79"/>
      <c r="R313" s="79"/>
      <c r="S313" s="79"/>
      <c r="T313" s="79"/>
      <c r="U313" s="79"/>
      <c r="V313" s="79"/>
      <c r="W313" s="79"/>
      <c r="X313" s="79"/>
      <c r="Y313" s="79"/>
      <c r="Z313" s="79"/>
    </row>
    <row r="314" spans="1:26" ht="12.75" customHeight="1">
      <c r="A314" s="73"/>
      <c r="B314" s="73"/>
      <c r="C314" s="80"/>
      <c r="D314" s="79"/>
      <c r="E314" s="79"/>
      <c r="F314" s="81"/>
      <c r="G314" s="81"/>
      <c r="H314" s="79"/>
      <c r="I314" s="79"/>
      <c r="J314" s="79"/>
      <c r="K314" s="79"/>
      <c r="L314" s="79"/>
      <c r="M314" s="79"/>
      <c r="N314" s="79"/>
      <c r="O314" s="79"/>
      <c r="P314" s="79"/>
      <c r="Q314" s="79"/>
      <c r="R314" s="79"/>
      <c r="S314" s="79"/>
      <c r="T314" s="79"/>
      <c r="U314" s="79"/>
      <c r="V314" s="79"/>
      <c r="W314" s="79"/>
      <c r="X314" s="79"/>
      <c r="Y314" s="79"/>
      <c r="Z314" s="79"/>
    </row>
    <row r="315" spans="1:26" ht="12.75" customHeight="1">
      <c r="A315" s="73"/>
      <c r="B315" s="73"/>
      <c r="C315" s="80"/>
      <c r="D315" s="79"/>
      <c r="E315" s="79"/>
      <c r="F315" s="81"/>
      <c r="G315" s="81"/>
      <c r="H315" s="79"/>
      <c r="I315" s="79"/>
      <c r="J315" s="79"/>
      <c r="K315" s="79"/>
      <c r="L315" s="79"/>
      <c r="M315" s="79"/>
      <c r="N315" s="79"/>
      <c r="O315" s="79"/>
      <c r="P315" s="79"/>
      <c r="Q315" s="79"/>
      <c r="R315" s="79"/>
      <c r="S315" s="79"/>
      <c r="T315" s="79"/>
      <c r="U315" s="79"/>
      <c r="V315" s="79"/>
      <c r="W315" s="79"/>
      <c r="X315" s="79"/>
      <c r="Y315" s="79"/>
      <c r="Z315" s="79"/>
    </row>
    <row r="316" spans="1:26" ht="12.75" customHeight="1">
      <c r="A316" s="73"/>
      <c r="B316" s="73"/>
      <c r="C316" s="80"/>
      <c r="D316" s="79"/>
      <c r="E316" s="79"/>
      <c r="F316" s="81"/>
      <c r="G316" s="81"/>
      <c r="H316" s="79"/>
      <c r="I316" s="79"/>
      <c r="J316" s="79"/>
      <c r="K316" s="79"/>
      <c r="L316" s="79"/>
      <c r="M316" s="79"/>
      <c r="N316" s="79"/>
      <c r="O316" s="79"/>
      <c r="P316" s="79"/>
      <c r="Q316" s="79"/>
      <c r="R316" s="79"/>
      <c r="S316" s="79"/>
      <c r="T316" s="79"/>
      <c r="U316" s="79"/>
      <c r="V316" s="79"/>
      <c r="W316" s="79"/>
      <c r="X316" s="79"/>
      <c r="Y316" s="79"/>
      <c r="Z316" s="79"/>
    </row>
    <row r="317" spans="1:26" ht="12.75" customHeight="1">
      <c r="A317" s="73"/>
      <c r="B317" s="73"/>
      <c r="C317" s="80"/>
      <c r="D317" s="79"/>
      <c r="E317" s="79"/>
      <c r="F317" s="81"/>
      <c r="G317" s="81"/>
      <c r="H317" s="79"/>
      <c r="I317" s="79"/>
      <c r="J317" s="79"/>
      <c r="K317" s="79"/>
      <c r="L317" s="79"/>
      <c r="M317" s="79"/>
      <c r="N317" s="79"/>
      <c r="O317" s="79"/>
      <c r="P317" s="79"/>
      <c r="Q317" s="79"/>
      <c r="R317" s="79"/>
      <c r="S317" s="79"/>
      <c r="T317" s="79"/>
      <c r="U317" s="79"/>
      <c r="V317" s="79"/>
      <c r="W317" s="79"/>
      <c r="X317" s="79"/>
      <c r="Y317" s="79"/>
      <c r="Z317" s="79"/>
    </row>
    <row r="318" spans="1:26" ht="12.75" customHeight="1">
      <c r="A318" s="73"/>
      <c r="B318" s="73"/>
      <c r="C318" s="80"/>
      <c r="D318" s="79"/>
      <c r="E318" s="79"/>
      <c r="F318" s="81"/>
      <c r="G318" s="81"/>
      <c r="H318" s="79"/>
      <c r="I318" s="79"/>
      <c r="J318" s="79"/>
      <c r="K318" s="79"/>
      <c r="L318" s="79"/>
      <c r="M318" s="79"/>
      <c r="N318" s="79"/>
      <c r="O318" s="79"/>
      <c r="P318" s="79"/>
      <c r="Q318" s="79"/>
      <c r="R318" s="79"/>
      <c r="S318" s="79"/>
      <c r="T318" s="79"/>
      <c r="U318" s="79"/>
      <c r="V318" s="79"/>
      <c r="W318" s="79"/>
      <c r="X318" s="79"/>
      <c r="Y318" s="79"/>
      <c r="Z318" s="79"/>
    </row>
    <row r="319" spans="1:26" ht="12.75" customHeight="1">
      <c r="A319" s="73"/>
      <c r="B319" s="73"/>
      <c r="C319" s="80"/>
      <c r="D319" s="79"/>
      <c r="E319" s="79"/>
      <c r="F319" s="81"/>
      <c r="G319" s="81"/>
      <c r="H319" s="79"/>
      <c r="I319" s="79"/>
      <c r="J319" s="79"/>
      <c r="K319" s="79"/>
      <c r="L319" s="79"/>
      <c r="M319" s="79"/>
      <c r="N319" s="79"/>
      <c r="O319" s="79"/>
      <c r="P319" s="79"/>
      <c r="Q319" s="79"/>
      <c r="R319" s="79"/>
      <c r="S319" s="79"/>
      <c r="T319" s="79"/>
      <c r="U319" s="79"/>
      <c r="V319" s="79"/>
      <c r="W319" s="79"/>
      <c r="X319" s="79"/>
      <c r="Y319" s="79"/>
      <c r="Z319" s="79"/>
    </row>
    <row r="320" spans="1:26" ht="12.75" customHeight="1">
      <c r="A320" s="73"/>
      <c r="B320" s="73"/>
      <c r="C320" s="80"/>
      <c r="D320" s="79"/>
      <c r="E320" s="79"/>
      <c r="F320" s="81"/>
      <c r="G320" s="81"/>
      <c r="H320" s="79"/>
      <c r="I320" s="79"/>
      <c r="J320" s="79"/>
      <c r="K320" s="79"/>
      <c r="L320" s="79"/>
      <c r="M320" s="79"/>
      <c r="N320" s="79"/>
      <c r="O320" s="79"/>
      <c r="P320" s="79"/>
      <c r="Q320" s="79"/>
      <c r="R320" s="79"/>
      <c r="S320" s="79"/>
      <c r="T320" s="79"/>
      <c r="U320" s="79"/>
      <c r="V320" s="79"/>
      <c r="W320" s="79"/>
      <c r="X320" s="79"/>
      <c r="Y320" s="79"/>
      <c r="Z320" s="79"/>
    </row>
    <row r="321" spans="1:26" ht="12.75" customHeight="1">
      <c r="A321" s="73"/>
      <c r="B321" s="73"/>
      <c r="C321" s="80"/>
      <c r="D321" s="79"/>
      <c r="E321" s="79"/>
      <c r="F321" s="81"/>
      <c r="G321" s="81"/>
      <c r="H321" s="79"/>
      <c r="I321" s="79"/>
      <c r="J321" s="79"/>
      <c r="K321" s="79"/>
      <c r="L321" s="79"/>
      <c r="M321" s="79"/>
      <c r="N321" s="79"/>
      <c r="O321" s="79"/>
      <c r="P321" s="79"/>
      <c r="Q321" s="79"/>
      <c r="R321" s="79"/>
      <c r="S321" s="79"/>
      <c r="T321" s="79"/>
      <c r="U321" s="79"/>
      <c r="V321" s="79"/>
      <c r="W321" s="79"/>
      <c r="X321" s="79"/>
      <c r="Y321" s="79"/>
      <c r="Z321" s="79"/>
    </row>
    <row r="322" spans="1:26" ht="12.75" customHeight="1">
      <c r="A322" s="73"/>
      <c r="B322" s="73"/>
      <c r="C322" s="80"/>
      <c r="D322" s="79"/>
      <c r="E322" s="79"/>
      <c r="F322" s="81"/>
      <c r="G322" s="81"/>
      <c r="H322" s="79"/>
      <c r="I322" s="79"/>
      <c r="J322" s="79"/>
      <c r="K322" s="79"/>
      <c r="L322" s="79"/>
      <c r="M322" s="79"/>
      <c r="N322" s="79"/>
      <c r="O322" s="79"/>
      <c r="P322" s="79"/>
      <c r="Q322" s="79"/>
      <c r="R322" s="79"/>
      <c r="S322" s="79"/>
      <c r="T322" s="79"/>
      <c r="U322" s="79"/>
      <c r="V322" s="79"/>
      <c r="W322" s="79"/>
      <c r="X322" s="79"/>
      <c r="Y322" s="79"/>
      <c r="Z322" s="79"/>
    </row>
    <row r="323" spans="1:26" ht="12.75" customHeight="1">
      <c r="A323" s="73"/>
      <c r="B323" s="73"/>
      <c r="C323" s="80"/>
      <c r="D323" s="79"/>
      <c r="E323" s="79"/>
      <c r="F323" s="81"/>
      <c r="G323" s="81"/>
      <c r="H323" s="79"/>
      <c r="I323" s="79"/>
      <c r="J323" s="79"/>
      <c r="K323" s="79"/>
      <c r="L323" s="79"/>
      <c r="M323" s="79"/>
      <c r="N323" s="79"/>
      <c r="O323" s="79"/>
      <c r="P323" s="79"/>
      <c r="Q323" s="79"/>
      <c r="R323" s="79"/>
      <c r="S323" s="79"/>
      <c r="T323" s="79"/>
      <c r="U323" s="79"/>
      <c r="V323" s="79"/>
      <c r="W323" s="79"/>
      <c r="X323" s="79"/>
      <c r="Y323" s="79"/>
      <c r="Z323" s="79"/>
    </row>
    <row r="324" spans="1:26" ht="12.75" customHeight="1">
      <c r="A324" s="73"/>
      <c r="B324" s="73"/>
      <c r="C324" s="80"/>
      <c r="D324" s="79"/>
      <c r="E324" s="79"/>
      <c r="F324" s="81"/>
      <c r="G324" s="81"/>
      <c r="H324" s="79"/>
      <c r="I324" s="79"/>
      <c r="J324" s="79"/>
      <c r="K324" s="79"/>
      <c r="L324" s="79"/>
      <c r="M324" s="79"/>
      <c r="N324" s="79"/>
      <c r="O324" s="79"/>
      <c r="P324" s="79"/>
      <c r="Q324" s="79"/>
      <c r="R324" s="79"/>
      <c r="S324" s="79"/>
      <c r="T324" s="79"/>
      <c r="U324" s="79"/>
      <c r="V324" s="79"/>
      <c r="W324" s="79"/>
      <c r="X324" s="79"/>
      <c r="Y324" s="79"/>
      <c r="Z324" s="79"/>
    </row>
    <row r="325" spans="1:26" ht="12.75" customHeight="1">
      <c r="A325" s="73"/>
      <c r="B325" s="73"/>
      <c r="C325" s="80"/>
      <c r="D325" s="79"/>
      <c r="E325" s="79"/>
      <c r="F325" s="81"/>
      <c r="G325" s="81"/>
      <c r="H325" s="79"/>
      <c r="I325" s="79"/>
      <c r="J325" s="79"/>
      <c r="K325" s="79"/>
      <c r="L325" s="79"/>
      <c r="M325" s="79"/>
      <c r="N325" s="79"/>
      <c r="O325" s="79"/>
      <c r="P325" s="79"/>
      <c r="Q325" s="79"/>
      <c r="R325" s="79"/>
      <c r="S325" s="79"/>
      <c r="T325" s="79"/>
      <c r="U325" s="79"/>
      <c r="V325" s="79"/>
      <c r="W325" s="79"/>
      <c r="X325" s="79"/>
      <c r="Y325" s="79"/>
      <c r="Z325" s="79"/>
    </row>
    <row r="326" spans="1:26" ht="12.75" customHeight="1">
      <c r="A326" s="73"/>
      <c r="B326" s="73"/>
      <c r="C326" s="80"/>
      <c r="D326" s="79"/>
      <c r="E326" s="79"/>
      <c r="F326" s="81"/>
      <c r="G326" s="81"/>
      <c r="H326" s="79"/>
      <c r="I326" s="79"/>
      <c r="J326" s="79"/>
      <c r="K326" s="79"/>
      <c r="L326" s="79"/>
      <c r="M326" s="79"/>
      <c r="N326" s="79"/>
      <c r="O326" s="79"/>
      <c r="P326" s="79"/>
      <c r="Q326" s="79"/>
      <c r="R326" s="79"/>
      <c r="S326" s="79"/>
      <c r="T326" s="79"/>
      <c r="U326" s="79"/>
      <c r="V326" s="79"/>
      <c r="W326" s="79"/>
      <c r="X326" s="79"/>
      <c r="Y326" s="79"/>
      <c r="Z326" s="79"/>
    </row>
    <row r="327" spans="1:26" ht="12.75" customHeight="1">
      <c r="A327" s="73"/>
      <c r="B327" s="73"/>
      <c r="C327" s="80"/>
      <c r="D327" s="79"/>
      <c r="E327" s="79"/>
      <c r="F327" s="81"/>
      <c r="G327" s="81"/>
      <c r="H327" s="79"/>
      <c r="I327" s="79"/>
      <c r="J327" s="79"/>
      <c r="K327" s="79"/>
      <c r="L327" s="79"/>
      <c r="M327" s="79"/>
      <c r="N327" s="79"/>
      <c r="O327" s="79"/>
      <c r="P327" s="79"/>
      <c r="Q327" s="79"/>
      <c r="R327" s="79"/>
      <c r="S327" s="79"/>
      <c r="T327" s="79"/>
      <c r="U327" s="79"/>
      <c r="V327" s="79"/>
      <c r="W327" s="79"/>
      <c r="X327" s="79"/>
      <c r="Y327" s="79"/>
      <c r="Z327" s="79"/>
    </row>
    <row r="328" spans="1:26" ht="12.75" customHeight="1">
      <c r="A328" s="73"/>
      <c r="B328" s="73"/>
      <c r="C328" s="80"/>
      <c r="D328" s="79"/>
      <c r="E328" s="79"/>
      <c r="F328" s="81"/>
      <c r="G328" s="81"/>
      <c r="H328" s="79"/>
      <c r="I328" s="79"/>
      <c r="J328" s="79"/>
      <c r="K328" s="79"/>
      <c r="L328" s="79"/>
      <c r="M328" s="79"/>
      <c r="N328" s="79"/>
      <c r="O328" s="79"/>
      <c r="P328" s="79"/>
      <c r="Q328" s="79"/>
      <c r="R328" s="79"/>
      <c r="S328" s="79"/>
      <c r="T328" s="79"/>
      <c r="U328" s="79"/>
      <c r="V328" s="79"/>
      <c r="W328" s="79"/>
      <c r="X328" s="79"/>
      <c r="Y328" s="79"/>
      <c r="Z328" s="79"/>
    </row>
    <row r="329" spans="1:26" ht="12.75" customHeight="1">
      <c r="A329" s="73"/>
      <c r="B329" s="73"/>
      <c r="C329" s="80"/>
      <c r="D329" s="79"/>
      <c r="E329" s="79"/>
      <c r="F329" s="81"/>
      <c r="G329" s="81"/>
      <c r="H329" s="79"/>
      <c r="I329" s="79"/>
      <c r="J329" s="79"/>
      <c r="K329" s="79"/>
      <c r="L329" s="79"/>
      <c r="M329" s="79"/>
      <c r="N329" s="79"/>
      <c r="O329" s="79"/>
      <c r="P329" s="79"/>
      <c r="Q329" s="79"/>
      <c r="R329" s="79"/>
      <c r="S329" s="79"/>
      <c r="T329" s="79"/>
      <c r="U329" s="79"/>
      <c r="V329" s="79"/>
      <c r="W329" s="79"/>
      <c r="X329" s="79"/>
      <c r="Y329" s="79"/>
      <c r="Z329" s="79"/>
    </row>
    <row r="330" spans="1:26" ht="12.75" customHeight="1">
      <c r="A330" s="73"/>
      <c r="B330" s="73"/>
      <c r="C330" s="80"/>
      <c r="D330" s="79"/>
      <c r="E330" s="79"/>
      <c r="F330" s="81"/>
      <c r="G330" s="81"/>
      <c r="H330" s="79"/>
      <c r="I330" s="79"/>
      <c r="J330" s="79"/>
      <c r="K330" s="79"/>
      <c r="L330" s="79"/>
      <c r="M330" s="79"/>
      <c r="N330" s="79"/>
      <c r="O330" s="79"/>
      <c r="P330" s="79"/>
      <c r="Q330" s="79"/>
      <c r="R330" s="79"/>
      <c r="S330" s="79"/>
      <c r="T330" s="79"/>
      <c r="U330" s="79"/>
      <c r="V330" s="79"/>
      <c r="W330" s="79"/>
      <c r="X330" s="79"/>
      <c r="Y330" s="79"/>
      <c r="Z330" s="79"/>
    </row>
    <row r="331" spans="1:26" ht="12.75" customHeight="1">
      <c r="A331" s="73"/>
      <c r="B331" s="73"/>
      <c r="C331" s="80"/>
      <c r="D331" s="79"/>
      <c r="E331" s="79"/>
      <c r="F331" s="81"/>
      <c r="G331" s="81"/>
      <c r="H331" s="79"/>
      <c r="I331" s="79"/>
      <c r="J331" s="79"/>
      <c r="K331" s="79"/>
      <c r="L331" s="79"/>
      <c r="M331" s="79"/>
      <c r="N331" s="79"/>
      <c r="O331" s="79"/>
      <c r="P331" s="79"/>
      <c r="Q331" s="79"/>
      <c r="R331" s="79"/>
      <c r="S331" s="79"/>
      <c r="T331" s="79"/>
      <c r="U331" s="79"/>
      <c r="V331" s="79"/>
      <c r="W331" s="79"/>
      <c r="X331" s="79"/>
      <c r="Y331" s="79"/>
      <c r="Z331" s="79"/>
    </row>
    <row r="332" spans="1:26" ht="12.75" customHeight="1">
      <c r="A332" s="73"/>
      <c r="B332" s="73"/>
      <c r="C332" s="80"/>
      <c r="D332" s="79"/>
      <c r="E332" s="79"/>
      <c r="F332" s="81"/>
      <c r="G332" s="81"/>
      <c r="H332" s="79"/>
      <c r="I332" s="79"/>
      <c r="J332" s="79"/>
      <c r="K332" s="79"/>
      <c r="L332" s="79"/>
      <c r="M332" s="79"/>
      <c r="N332" s="79"/>
      <c r="O332" s="79"/>
      <c r="P332" s="79"/>
      <c r="Q332" s="79"/>
      <c r="R332" s="79"/>
      <c r="S332" s="79"/>
      <c r="T332" s="79"/>
      <c r="U332" s="79"/>
      <c r="V332" s="79"/>
      <c r="W332" s="79"/>
      <c r="X332" s="79"/>
      <c r="Y332" s="79"/>
      <c r="Z332" s="79"/>
    </row>
    <row r="333" spans="1:26" ht="12.75" customHeight="1">
      <c r="A333" s="73"/>
      <c r="B333" s="73"/>
      <c r="C333" s="80"/>
      <c r="D333" s="79"/>
      <c r="E333" s="79"/>
      <c r="F333" s="81"/>
      <c r="G333" s="81"/>
      <c r="H333" s="79"/>
      <c r="I333" s="79"/>
      <c r="J333" s="79"/>
      <c r="K333" s="79"/>
      <c r="L333" s="79"/>
      <c r="M333" s="79"/>
      <c r="N333" s="79"/>
      <c r="O333" s="79"/>
      <c r="P333" s="79"/>
      <c r="Q333" s="79"/>
      <c r="R333" s="79"/>
      <c r="S333" s="79"/>
      <c r="T333" s="79"/>
      <c r="U333" s="79"/>
      <c r="V333" s="79"/>
      <c r="W333" s="79"/>
      <c r="X333" s="79"/>
      <c r="Y333" s="79"/>
      <c r="Z333" s="79"/>
    </row>
    <row r="334" spans="1:26" ht="12.75" customHeight="1">
      <c r="A334" s="73"/>
      <c r="B334" s="73"/>
      <c r="C334" s="80"/>
      <c r="D334" s="79"/>
      <c r="E334" s="79"/>
      <c r="F334" s="81"/>
      <c r="G334" s="81"/>
      <c r="H334" s="79"/>
      <c r="I334" s="79"/>
      <c r="J334" s="79"/>
      <c r="K334" s="79"/>
      <c r="L334" s="79"/>
      <c r="M334" s="79"/>
      <c r="N334" s="79"/>
      <c r="O334" s="79"/>
      <c r="P334" s="79"/>
      <c r="Q334" s="79"/>
      <c r="R334" s="79"/>
      <c r="S334" s="79"/>
      <c r="T334" s="79"/>
      <c r="U334" s="79"/>
      <c r="V334" s="79"/>
      <c r="W334" s="79"/>
      <c r="X334" s="79"/>
      <c r="Y334" s="79"/>
      <c r="Z334" s="79"/>
    </row>
    <row r="335" spans="1:26" ht="12.75" customHeight="1">
      <c r="A335" s="73"/>
      <c r="B335" s="73"/>
      <c r="C335" s="80"/>
      <c r="D335" s="79"/>
      <c r="E335" s="79"/>
      <c r="F335" s="81"/>
      <c r="G335" s="81"/>
      <c r="H335" s="79"/>
      <c r="I335" s="79"/>
      <c r="J335" s="79"/>
      <c r="K335" s="79"/>
      <c r="L335" s="79"/>
      <c r="M335" s="79"/>
      <c r="N335" s="79"/>
      <c r="O335" s="79"/>
      <c r="P335" s="79"/>
      <c r="Q335" s="79"/>
      <c r="R335" s="79"/>
      <c r="S335" s="79"/>
      <c r="T335" s="79"/>
      <c r="U335" s="79"/>
      <c r="V335" s="79"/>
      <c r="W335" s="79"/>
      <c r="X335" s="79"/>
      <c r="Y335" s="79"/>
      <c r="Z335" s="79"/>
    </row>
    <row r="336" spans="1:26" ht="12.75" customHeight="1">
      <c r="A336" s="73"/>
      <c r="B336" s="73"/>
      <c r="C336" s="80"/>
      <c r="D336" s="79"/>
      <c r="E336" s="79"/>
      <c r="F336" s="81"/>
      <c r="G336" s="81"/>
      <c r="H336" s="79"/>
      <c r="I336" s="79"/>
      <c r="J336" s="79"/>
      <c r="K336" s="79"/>
      <c r="L336" s="79"/>
      <c r="M336" s="79"/>
      <c r="N336" s="79"/>
      <c r="O336" s="79"/>
      <c r="P336" s="79"/>
      <c r="Q336" s="79"/>
      <c r="R336" s="79"/>
      <c r="S336" s="79"/>
      <c r="T336" s="79"/>
      <c r="U336" s="79"/>
      <c r="V336" s="79"/>
      <c r="W336" s="79"/>
      <c r="X336" s="79"/>
      <c r="Y336" s="79"/>
      <c r="Z336" s="79"/>
    </row>
    <row r="337" spans="1:26" ht="12.75" customHeight="1">
      <c r="A337" s="73"/>
      <c r="B337" s="73"/>
      <c r="C337" s="80"/>
      <c r="D337" s="79"/>
      <c r="E337" s="79"/>
      <c r="F337" s="81"/>
      <c r="G337" s="81"/>
      <c r="H337" s="79"/>
      <c r="I337" s="79"/>
      <c r="J337" s="79"/>
      <c r="K337" s="79"/>
      <c r="L337" s="79"/>
      <c r="M337" s="79"/>
      <c r="N337" s="79"/>
      <c r="O337" s="79"/>
      <c r="P337" s="79"/>
      <c r="Q337" s="79"/>
      <c r="R337" s="79"/>
      <c r="S337" s="79"/>
      <c r="T337" s="79"/>
      <c r="U337" s="79"/>
      <c r="V337" s="79"/>
      <c r="W337" s="79"/>
      <c r="X337" s="79"/>
      <c r="Y337" s="79"/>
      <c r="Z337" s="79"/>
    </row>
    <row r="338" spans="1:26" ht="12.75" customHeight="1">
      <c r="A338" s="73"/>
      <c r="B338" s="73"/>
      <c r="C338" s="80"/>
      <c r="D338" s="79"/>
      <c r="E338" s="79"/>
      <c r="F338" s="81"/>
      <c r="G338" s="81"/>
      <c r="H338" s="79"/>
      <c r="I338" s="79"/>
      <c r="J338" s="79"/>
      <c r="K338" s="79"/>
      <c r="L338" s="79"/>
      <c r="M338" s="79"/>
      <c r="N338" s="79"/>
      <c r="O338" s="79"/>
      <c r="P338" s="79"/>
      <c r="Q338" s="79"/>
      <c r="R338" s="79"/>
      <c r="S338" s="79"/>
      <c r="T338" s="79"/>
      <c r="U338" s="79"/>
      <c r="V338" s="79"/>
      <c r="W338" s="79"/>
      <c r="X338" s="79"/>
      <c r="Y338" s="79"/>
      <c r="Z338" s="79"/>
    </row>
    <row r="339" spans="1:26" ht="12.75" customHeight="1">
      <c r="A339" s="73"/>
      <c r="B339" s="73"/>
      <c r="C339" s="80"/>
      <c r="D339" s="79"/>
      <c r="E339" s="79"/>
      <c r="F339" s="81"/>
      <c r="G339" s="81"/>
      <c r="H339" s="79"/>
      <c r="I339" s="79"/>
      <c r="J339" s="79"/>
      <c r="K339" s="79"/>
      <c r="L339" s="79"/>
      <c r="M339" s="79"/>
      <c r="N339" s="79"/>
      <c r="O339" s="79"/>
      <c r="P339" s="79"/>
      <c r="Q339" s="79"/>
      <c r="R339" s="79"/>
      <c r="S339" s="79"/>
      <c r="T339" s="79"/>
      <c r="U339" s="79"/>
      <c r="V339" s="79"/>
      <c r="W339" s="79"/>
      <c r="X339" s="79"/>
      <c r="Y339" s="79"/>
      <c r="Z339" s="79"/>
    </row>
    <row r="340" spans="1:26" ht="12.75" customHeight="1">
      <c r="A340" s="73"/>
      <c r="B340" s="73"/>
      <c r="C340" s="80"/>
      <c r="D340" s="79"/>
      <c r="E340" s="79"/>
      <c r="F340" s="81"/>
      <c r="G340" s="81"/>
      <c r="H340" s="79"/>
      <c r="I340" s="79"/>
      <c r="J340" s="79"/>
      <c r="K340" s="79"/>
      <c r="L340" s="79"/>
      <c r="M340" s="79"/>
      <c r="N340" s="79"/>
      <c r="O340" s="79"/>
      <c r="P340" s="79"/>
      <c r="Q340" s="79"/>
      <c r="R340" s="79"/>
      <c r="S340" s="79"/>
      <c r="T340" s="79"/>
      <c r="U340" s="79"/>
      <c r="V340" s="79"/>
      <c r="W340" s="79"/>
      <c r="X340" s="79"/>
      <c r="Y340" s="79"/>
      <c r="Z340" s="79"/>
    </row>
    <row r="341" spans="1:26" ht="12.75" customHeight="1">
      <c r="A341" s="73"/>
      <c r="B341" s="73"/>
      <c r="C341" s="80"/>
      <c r="D341" s="79"/>
      <c r="E341" s="79"/>
      <c r="F341" s="81"/>
      <c r="G341" s="81"/>
      <c r="H341" s="79"/>
      <c r="I341" s="79"/>
      <c r="J341" s="79"/>
      <c r="K341" s="79"/>
      <c r="L341" s="79"/>
      <c r="M341" s="79"/>
      <c r="N341" s="79"/>
      <c r="O341" s="79"/>
      <c r="P341" s="79"/>
      <c r="Q341" s="79"/>
      <c r="R341" s="79"/>
      <c r="S341" s="79"/>
      <c r="T341" s="79"/>
      <c r="U341" s="79"/>
      <c r="V341" s="79"/>
      <c r="W341" s="79"/>
      <c r="X341" s="79"/>
      <c r="Y341" s="79"/>
      <c r="Z341" s="79"/>
    </row>
    <row r="342" spans="1:26" ht="12.75" customHeight="1">
      <c r="A342" s="73"/>
      <c r="B342" s="73"/>
      <c r="C342" s="80"/>
      <c r="D342" s="79"/>
      <c r="E342" s="79"/>
      <c r="F342" s="81"/>
      <c r="G342" s="81"/>
      <c r="H342" s="79"/>
      <c r="I342" s="79"/>
      <c r="J342" s="79"/>
      <c r="K342" s="79"/>
      <c r="L342" s="79"/>
      <c r="M342" s="79"/>
      <c r="N342" s="79"/>
      <c r="O342" s="79"/>
      <c r="P342" s="79"/>
      <c r="Q342" s="79"/>
      <c r="R342" s="79"/>
      <c r="S342" s="79"/>
      <c r="T342" s="79"/>
      <c r="U342" s="79"/>
      <c r="V342" s="79"/>
      <c r="W342" s="79"/>
      <c r="X342" s="79"/>
      <c r="Y342" s="79"/>
      <c r="Z342" s="79"/>
    </row>
    <row r="343" spans="1:26" ht="12.75" customHeight="1">
      <c r="A343" s="73"/>
      <c r="B343" s="73"/>
      <c r="C343" s="80"/>
      <c r="D343" s="79"/>
      <c r="E343" s="79"/>
      <c r="F343" s="81"/>
      <c r="G343" s="81"/>
      <c r="H343" s="79"/>
      <c r="I343" s="79"/>
      <c r="J343" s="79"/>
      <c r="K343" s="79"/>
      <c r="L343" s="79"/>
      <c r="M343" s="79"/>
      <c r="N343" s="79"/>
      <c r="O343" s="79"/>
      <c r="P343" s="79"/>
      <c r="Q343" s="79"/>
      <c r="R343" s="79"/>
      <c r="S343" s="79"/>
      <c r="T343" s="79"/>
      <c r="U343" s="79"/>
      <c r="V343" s="79"/>
      <c r="W343" s="79"/>
      <c r="X343" s="79"/>
      <c r="Y343" s="79"/>
      <c r="Z343" s="79"/>
    </row>
    <row r="344" spans="1:26" ht="12.75" customHeight="1">
      <c r="A344" s="73"/>
      <c r="B344" s="73"/>
      <c r="C344" s="80"/>
      <c r="D344" s="79"/>
      <c r="E344" s="79"/>
      <c r="F344" s="81"/>
      <c r="G344" s="81"/>
      <c r="H344" s="79"/>
      <c r="I344" s="79"/>
      <c r="J344" s="79"/>
      <c r="K344" s="79"/>
      <c r="L344" s="79"/>
      <c r="M344" s="79"/>
      <c r="N344" s="79"/>
      <c r="O344" s="79"/>
      <c r="P344" s="79"/>
      <c r="Q344" s="79"/>
      <c r="R344" s="79"/>
      <c r="S344" s="79"/>
      <c r="T344" s="79"/>
      <c r="U344" s="79"/>
      <c r="V344" s="79"/>
      <c r="W344" s="79"/>
      <c r="X344" s="79"/>
      <c r="Y344" s="79"/>
      <c r="Z344" s="79"/>
    </row>
    <row r="345" spans="1:26" ht="12.75" customHeight="1">
      <c r="A345" s="73"/>
      <c r="B345" s="73"/>
      <c r="C345" s="80"/>
      <c r="D345" s="79"/>
      <c r="E345" s="79"/>
      <c r="F345" s="81"/>
      <c r="G345" s="81"/>
      <c r="H345" s="79"/>
      <c r="I345" s="79"/>
      <c r="J345" s="79"/>
      <c r="K345" s="79"/>
      <c r="L345" s="79"/>
      <c r="M345" s="79"/>
      <c r="N345" s="79"/>
      <c r="O345" s="79"/>
      <c r="P345" s="79"/>
      <c r="Q345" s="79"/>
      <c r="R345" s="79"/>
      <c r="S345" s="79"/>
      <c r="T345" s="79"/>
      <c r="U345" s="79"/>
      <c r="V345" s="79"/>
      <c r="W345" s="79"/>
      <c r="X345" s="79"/>
      <c r="Y345" s="79"/>
      <c r="Z345" s="79"/>
    </row>
    <row r="346" spans="1:26" ht="12.75" customHeight="1">
      <c r="A346" s="73"/>
      <c r="B346" s="73"/>
      <c r="C346" s="80"/>
      <c r="D346" s="79"/>
      <c r="E346" s="79"/>
      <c r="F346" s="81"/>
      <c r="G346" s="81"/>
      <c r="H346" s="79"/>
      <c r="I346" s="79"/>
      <c r="J346" s="79"/>
      <c r="K346" s="79"/>
      <c r="L346" s="79"/>
      <c r="M346" s="79"/>
      <c r="N346" s="79"/>
      <c r="O346" s="79"/>
      <c r="P346" s="79"/>
      <c r="Q346" s="79"/>
      <c r="R346" s="79"/>
      <c r="S346" s="79"/>
      <c r="T346" s="79"/>
      <c r="U346" s="79"/>
      <c r="V346" s="79"/>
      <c r="W346" s="79"/>
      <c r="X346" s="79"/>
      <c r="Y346" s="79"/>
      <c r="Z346" s="79"/>
    </row>
    <row r="347" spans="1:26" ht="12.75" customHeight="1">
      <c r="A347" s="73"/>
      <c r="B347" s="73"/>
      <c r="C347" s="80"/>
      <c r="D347" s="79"/>
      <c r="E347" s="79"/>
      <c r="F347" s="81"/>
      <c r="G347" s="81"/>
      <c r="H347" s="79"/>
      <c r="I347" s="79"/>
      <c r="J347" s="79"/>
      <c r="K347" s="79"/>
      <c r="L347" s="79"/>
      <c r="M347" s="79"/>
      <c r="N347" s="79"/>
      <c r="O347" s="79"/>
      <c r="P347" s="79"/>
      <c r="Q347" s="79"/>
      <c r="R347" s="79"/>
      <c r="S347" s="79"/>
      <c r="T347" s="79"/>
      <c r="U347" s="79"/>
      <c r="V347" s="79"/>
      <c r="W347" s="79"/>
      <c r="X347" s="79"/>
      <c r="Y347" s="79"/>
      <c r="Z347" s="79"/>
    </row>
    <row r="348" spans="1:26" ht="12.75" customHeight="1">
      <c r="A348" s="73"/>
      <c r="B348" s="73"/>
      <c r="C348" s="80"/>
      <c r="D348" s="79"/>
      <c r="E348" s="79"/>
      <c r="F348" s="81"/>
      <c r="G348" s="81"/>
      <c r="H348" s="79"/>
      <c r="I348" s="79"/>
      <c r="J348" s="79"/>
      <c r="K348" s="79"/>
      <c r="L348" s="79"/>
      <c r="M348" s="79"/>
      <c r="N348" s="79"/>
      <c r="O348" s="79"/>
      <c r="P348" s="79"/>
      <c r="Q348" s="79"/>
      <c r="R348" s="79"/>
      <c r="S348" s="79"/>
      <c r="T348" s="79"/>
      <c r="U348" s="79"/>
      <c r="V348" s="79"/>
      <c r="W348" s="79"/>
      <c r="X348" s="79"/>
      <c r="Y348" s="79"/>
      <c r="Z348" s="79"/>
    </row>
    <row r="349" spans="1:26" ht="12.75" customHeight="1">
      <c r="A349" s="73"/>
      <c r="B349" s="73"/>
      <c r="C349" s="80"/>
      <c r="D349" s="79"/>
      <c r="E349" s="79"/>
      <c r="F349" s="81"/>
      <c r="G349" s="81"/>
      <c r="H349" s="79"/>
      <c r="I349" s="79"/>
      <c r="J349" s="79"/>
      <c r="K349" s="79"/>
      <c r="L349" s="79"/>
      <c r="M349" s="79"/>
      <c r="N349" s="79"/>
      <c r="O349" s="79"/>
      <c r="P349" s="79"/>
      <c r="Q349" s="79"/>
      <c r="R349" s="79"/>
      <c r="S349" s="79"/>
      <c r="T349" s="79"/>
      <c r="U349" s="79"/>
      <c r="V349" s="79"/>
      <c r="W349" s="79"/>
      <c r="X349" s="79"/>
      <c r="Y349" s="79"/>
      <c r="Z349" s="79"/>
    </row>
    <row r="350" spans="1:26" ht="12.75" customHeight="1">
      <c r="A350" s="73"/>
      <c r="B350" s="73"/>
      <c r="C350" s="80"/>
      <c r="D350" s="79"/>
      <c r="E350" s="79"/>
      <c r="F350" s="81"/>
      <c r="G350" s="81"/>
      <c r="H350" s="79"/>
      <c r="I350" s="79"/>
      <c r="J350" s="79"/>
      <c r="K350" s="79"/>
      <c r="L350" s="79"/>
      <c r="M350" s="79"/>
      <c r="N350" s="79"/>
      <c r="O350" s="79"/>
      <c r="P350" s="79"/>
      <c r="Q350" s="79"/>
      <c r="R350" s="79"/>
      <c r="S350" s="79"/>
      <c r="T350" s="79"/>
      <c r="U350" s="79"/>
      <c r="V350" s="79"/>
      <c r="W350" s="79"/>
      <c r="X350" s="79"/>
      <c r="Y350" s="79"/>
      <c r="Z350" s="79"/>
    </row>
    <row r="351" spans="1:26" ht="12.75" customHeight="1">
      <c r="A351" s="73"/>
      <c r="B351" s="73"/>
      <c r="C351" s="80"/>
      <c r="D351" s="79"/>
      <c r="E351" s="79"/>
      <c r="F351" s="81"/>
      <c r="G351" s="81"/>
      <c r="H351" s="79"/>
      <c r="I351" s="79"/>
      <c r="J351" s="79"/>
      <c r="K351" s="79"/>
      <c r="L351" s="79"/>
      <c r="M351" s="79"/>
      <c r="N351" s="79"/>
      <c r="O351" s="79"/>
      <c r="P351" s="79"/>
      <c r="Q351" s="79"/>
      <c r="R351" s="79"/>
      <c r="S351" s="79"/>
      <c r="T351" s="79"/>
      <c r="U351" s="79"/>
      <c r="V351" s="79"/>
      <c r="W351" s="79"/>
      <c r="X351" s="79"/>
      <c r="Y351" s="79"/>
      <c r="Z351" s="79"/>
    </row>
    <row r="352" spans="1:26" ht="12.75" customHeight="1">
      <c r="A352" s="73"/>
      <c r="B352" s="73"/>
      <c r="C352" s="80"/>
      <c r="D352" s="79"/>
      <c r="E352" s="79"/>
      <c r="F352" s="81"/>
      <c r="G352" s="81"/>
      <c r="H352" s="79"/>
      <c r="I352" s="79"/>
      <c r="J352" s="79"/>
      <c r="K352" s="79"/>
      <c r="L352" s="79"/>
      <c r="M352" s="79"/>
      <c r="N352" s="79"/>
      <c r="O352" s="79"/>
      <c r="P352" s="79"/>
      <c r="Q352" s="79"/>
      <c r="R352" s="79"/>
      <c r="S352" s="79"/>
      <c r="T352" s="79"/>
      <c r="U352" s="79"/>
      <c r="V352" s="79"/>
      <c r="W352" s="79"/>
      <c r="X352" s="79"/>
      <c r="Y352" s="79"/>
      <c r="Z352" s="79"/>
    </row>
    <row r="353" spans="1:26" ht="12.75" customHeight="1">
      <c r="A353" s="73"/>
      <c r="B353" s="73"/>
      <c r="C353" s="80"/>
      <c r="D353" s="79"/>
      <c r="E353" s="79"/>
      <c r="F353" s="81"/>
      <c r="G353" s="81"/>
      <c r="H353" s="79"/>
      <c r="I353" s="79"/>
      <c r="J353" s="79"/>
      <c r="K353" s="79"/>
      <c r="L353" s="79"/>
      <c r="M353" s="79"/>
      <c r="N353" s="79"/>
      <c r="O353" s="79"/>
      <c r="P353" s="79"/>
      <c r="Q353" s="79"/>
      <c r="R353" s="79"/>
      <c r="S353" s="79"/>
      <c r="T353" s="79"/>
      <c r="U353" s="79"/>
      <c r="V353" s="79"/>
      <c r="W353" s="79"/>
      <c r="X353" s="79"/>
      <c r="Y353" s="79"/>
      <c r="Z353" s="79"/>
    </row>
    <row r="354" spans="1:26" ht="12.75" customHeight="1">
      <c r="A354" s="73"/>
      <c r="B354" s="73"/>
      <c r="C354" s="80"/>
      <c r="D354" s="79"/>
      <c r="E354" s="79"/>
      <c r="F354" s="81"/>
      <c r="G354" s="81"/>
      <c r="H354" s="79"/>
      <c r="I354" s="79"/>
      <c r="J354" s="79"/>
      <c r="K354" s="79"/>
      <c r="L354" s="79"/>
      <c r="M354" s="79"/>
      <c r="N354" s="79"/>
      <c r="O354" s="79"/>
      <c r="P354" s="79"/>
      <c r="Q354" s="79"/>
      <c r="R354" s="79"/>
      <c r="S354" s="79"/>
      <c r="T354" s="79"/>
      <c r="U354" s="79"/>
      <c r="V354" s="79"/>
      <c r="W354" s="79"/>
      <c r="X354" s="79"/>
      <c r="Y354" s="79"/>
      <c r="Z354" s="79"/>
    </row>
    <row r="355" spans="1:26" ht="12.75" customHeight="1">
      <c r="A355" s="73"/>
      <c r="B355" s="73"/>
      <c r="C355" s="80"/>
      <c r="D355" s="79"/>
      <c r="E355" s="79"/>
      <c r="F355" s="81"/>
      <c r="G355" s="81"/>
      <c r="H355" s="79"/>
      <c r="I355" s="79"/>
      <c r="J355" s="79"/>
      <c r="K355" s="79"/>
      <c r="L355" s="79"/>
      <c r="M355" s="79"/>
      <c r="N355" s="79"/>
      <c r="O355" s="79"/>
      <c r="P355" s="79"/>
      <c r="Q355" s="79"/>
      <c r="R355" s="79"/>
      <c r="S355" s="79"/>
      <c r="T355" s="79"/>
      <c r="U355" s="79"/>
      <c r="V355" s="79"/>
      <c r="W355" s="79"/>
      <c r="X355" s="79"/>
      <c r="Y355" s="79"/>
      <c r="Z355" s="79"/>
    </row>
    <row r="356" spans="1:26" ht="12.75" customHeight="1">
      <c r="A356" s="73"/>
      <c r="B356" s="73"/>
      <c r="C356" s="80"/>
      <c r="D356" s="79"/>
      <c r="E356" s="79"/>
      <c r="F356" s="81"/>
      <c r="G356" s="81"/>
      <c r="H356" s="79"/>
      <c r="I356" s="79"/>
      <c r="J356" s="79"/>
      <c r="K356" s="79"/>
      <c r="L356" s="79"/>
      <c r="M356" s="79"/>
      <c r="N356" s="79"/>
      <c r="O356" s="79"/>
      <c r="P356" s="79"/>
      <c r="Q356" s="79"/>
      <c r="R356" s="79"/>
      <c r="S356" s="79"/>
      <c r="T356" s="79"/>
      <c r="U356" s="79"/>
      <c r="V356" s="79"/>
      <c r="W356" s="79"/>
      <c r="X356" s="79"/>
      <c r="Y356" s="79"/>
      <c r="Z356" s="79"/>
    </row>
    <row r="357" spans="1:26" ht="12.75" customHeight="1">
      <c r="A357" s="73"/>
      <c r="B357" s="73"/>
      <c r="C357" s="80"/>
      <c r="D357" s="79"/>
      <c r="E357" s="79"/>
      <c r="F357" s="81"/>
      <c r="G357" s="81"/>
      <c r="H357" s="79"/>
      <c r="I357" s="79"/>
      <c r="J357" s="79"/>
      <c r="K357" s="79"/>
      <c r="L357" s="79"/>
      <c r="M357" s="79"/>
      <c r="N357" s="79"/>
      <c r="O357" s="79"/>
      <c r="P357" s="79"/>
      <c r="Q357" s="79"/>
      <c r="R357" s="79"/>
      <c r="S357" s="79"/>
      <c r="T357" s="79"/>
      <c r="U357" s="79"/>
      <c r="V357" s="79"/>
      <c r="W357" s="79"/>
      <c r="X357" s="79"/>
      <c r="Y357" s="79"/>
      <c r="Z357" s="79"/>
    </row>
    <row r="358" spans="1:26" ht="12.75" customHeight="1">
      <c r="A358" s="73"/>
      <c r="B358" s="73"/>
      <c r="C358" s="80"/>
      <c r="D358" s="79"/>
      <c r="E358" s="79"/>
      <c r="F358" s="81"/>
      <c r="G358" s="81"/>
      <c r="H358" s="79"/>
      <c r="I358" s="79"/>
      <c r="J358" s="79"/>
      <c r="K358" s="79"/>
      <c r="L358" s="79"/>
      <c r="M358" s="79"/>
      <c r="N358" s="79"/>
      <c r="O358" s="79"/>
      <c r="P358" s="79"/>
      <c r="Q358" s="79"/>
      <c r="R358" s="79"/>
      <c r="S358" s="79"/>
      <c r="T358" s="79"/>
      <c r="U358" s="79"/>
      <c r="V358" s="79"/>
      <c r="W358" s="79"/>
      <c r="X358" s="79"/>
      <c r="Y358" s="79"/>
      <c r="Z358" s="79"/>
    </row>
    <row r="359" spans="1:26" ht="12.75" customHeight="1">
      <c r="A359" s="73"/>
      <c r="B359" s="73"/>
      <c r="C359" s="80"/>
      <c r="D359" s="79"/>
      <c r="E359" s="79"/>
      <c r="F359" s="81"/>
      <c r="G359" s="81"/>
      <c r="H359" s="79"/>
      <c r="I359" s="79"/>
      <c r="J359" s="79"/>
      <c r="K359" s="79"/>
      <c r="L359" s="79"/>
      <c r="M359" s="79"/>
      <c r="N359" s="79"/>
      <c r="O359" s="79"/>
      <c r="P359" s="79"/>
      <c r="Q359" s="79"/>
      <c r="R359" s="79"/>
      <c r="S359" s="79"/>
      <c r="T359" s="79"/>
      <c r="U359" s="79"/>
      <c r="V359" s="79"/>
      <c r="W359" s="79"/>
      <c r="X359" s="79"/>
      <c r="Y359" s="79"/>
      <c r="Z359" s="79"/>
    </row>
    <row r="360" spans="1:26" ht="12.75" customHeight="1">
      <c r="A360" s="73"/>
      <c r="B360" s="73"/>
      <c r="C360" s="80"/>
      <c r="D360" s="79"/>
      <c r="E360" s="79"/>
      <c r="F360" s="81"/>
      <c r="G360" s="81"/>
      <c r="H360" s="79"/>
      <c r="I360" s="79"/>
      <c r="J360" s="79"/>
      <c r="K360" s="79"/>
      <c r="L360" s="79"/>
      <c r="M360" s="79"/>
      <c r="N360" s="79"/>
      <c r="O360" s="79"/>
      <c r="P360" s="79"/>
      <c r="Q360" s="79"/>
      <c r="R360" s="79"/>
      <c r="S360" s="79"/>
      <c r="T360" s="79"/>
      <c r="U360" s="79"/>
      <c r="V360" s="79"/>
      <c r="W360" s="79"/>
      <c r="X360" s="79"/>
      <c r="Y360" s="79"/>
      <c r="Z360" s="79"/>
    </row>
    <row r="361" spans="1:26" ht="12.75" customHeight="1">
      <c r="A361" s="73"/>
      <c r="B361" s="73"/>
      <c r="C361" s="80"/>
      <c r="D361" s="79"/>
      <c r="E361" s="79"/>
      <c r="F361" s="81"/>
      <c r="G361" s="81"/>
      <c r="H361" s="79"/>
      <c r="I361" s="79"/>
      <c r="J361" s="79"/>
      <c r="K361" s="79"/>
      <c r="L361" s="79"/>
      <c r="M361" s="79"/>
      <c r="N361" s="79"/>
      <c r="O361" s="79"/>
      <c r="P361" s="79"/>
      <c r="Q361" s="79"/>
      <c r="R361" s="79"/>
      <c r="S361" s="79"/>
      <c r="T361" s="79"/>
      <c r="U361" s="79"/>
      <c r="V361" s="79"/>
      <c r="W361" s="79"/>
      <c r="X361" s="79"/>
      <c r="Y361" s="79"/>
      <c r="Z361" s="79"/>
    </row>
    <row r="362" spans="1:26" ht="12.75" customHeight="1">
      <c r="A362" s="73"/>
      <c r="B362" s="73"/>
      <c r="C362" s="80"/>
      <c r="D362" s="79"/>
      <c r="E362" s="79"/>
      <c r="F362" s="81"/>
      <c r="G362" s="81"/>
      <c r="H362" s="79"/>
      <c r="I362" s="79"/>
      <c r="J362" s="79"/>
      <c r="K362" s="79"/>
      <c r="L362" s="79"/>
      <c r="M362" s="79"/>
      <c r="N362" s="79"/>
      <c r="O362" s="79"/>
      <c r="P362" s="79"/>
      <c r="Q362" s="79"/>
      <c r="R362" s="79"/>
      <c r="S362" s="79"/>
      <c r="T362" s="79"/>
      <c r="U362" s="79"/>
      <c r="V362" s="79"/>
      <c r="W362" s="79"/>
      <c r="X362" s="79"/>
      <c r="Y362" s="79"/>
      <c r="Z362" s="79"/>
    </row>
    <row r="363" spans="1:26" ht="12.75" customHeight="1">
      <c r="A363" s="73"/>
      <c r="B363" s="73"/>
      <c r="C363" s="80"/>
      <c r="D363" s="79"/>
      <c r="E363" s="79"/>
      <c r="F363" s="81"/>
      <c r="G363" s="81"/>
      <c r="H363" s="79"/>
      <c r="I363" s="79"/>
      <c r="J363" s="79"/>
      <c r="K363" s="79"/>
      <c r="L363" s="79"/>
      <c r="M363" s="79"/>
      <c r="N363" s="79"/>
      <c r="O363" s="79"/>
      <c r="P363" s="79"/>
      <c r="Q363" s="79"/>
      <c r="R363" s="79"/>
      <c r="S363" s="79"/>
      <c r="T363" s="79"/>
      <c r="U363" s="79"/>
      <c r="V363" s="79"/>
      <c r="W363" s="79"/>
      <c r="X363" s="79"/>
      <c r="Y363" s="79"/>
      <c r="Z363" s="79"/>
    </row>
    <row r="364" spans="1:26" ht="12.75" customHeight="1">
      <c r="A364" s="73"/>
      <c r="B364" s="73"/>
      <c r="C364" s="80"/>
      <c r="D364" s="79"/>
      <c r="E364" s="79"/>
      <c r="F364" s="81"/>
      <c r="G364" s="81"/>
      <c r="H364" s="79"/>
      <c r="I364" s="79"/>
      <c r="J364" s="79"/>
      <c r="K364" s="79"/>
      <c r="L364" s="79"/>
      <c r="M364" s="79"/>
      <c r="N364" s="79"/>
      <c r="O364" s="79"/>
      <c r="P364" s="79"/>
      <c r="Q364" s="79"/>
      <c r="R364" s="79"/>
      <c r="S364" s="79"/>
      <c r="T364" s="79"/>
      <c r="U364" s="79"/>
      <c r="V364" s="79"/>
      <c r="W364" s="79"/>
      <c r="X364" s="79"/>
      <c r="Y364" s="79"/>
      <c r="Z364" s="79"/>
    </row>
    <row r="365" spans="1:26" ht="12.75" customHeight="1">
      <c r="A365" s="73"/>
      <c r="B365" s="73"/>
      <c r="C365" s="80"/>
      <c r="D365" s="79"/>
      <c r="E365" s="79"/>
      <c r="F365" s="81"/>
      <c r="G365" s="81"/>
      <c r="H365" s="79"/>
      <c r="I365" s="79"/>
      <c r="J365" s="79"/>
      <c r="K365" s="79"/>
      <c r="L365" s="79"/>
      <c r="M365" s="79"/>
      <c r="N365" s="79"/>
      <c r="O365" s="79"/>
      <c r="P365" s="79"/>
      <c r="Q365" s="79"/>
      <c r="R365" s="79"/>
      <c r="S365" s="79"/>
      <c r="T365" s="79"/>
      <c r="U365" s="79"/>
      <c r="V365" s="79"/>
      <c r="W365" s="79"/>
      <c r="X365" s="79"/>
      <c r="Y365" s="79"/>
      <c r="Z365" s="79"/>
    </row>
    <row r="366" spans="1:26" ht="12.75" customHeight="1">
      <c r="A366" s="73"/>
      <c r="B366" s="73"/>
      <c r="C366" s="80"/>
      <c r="D366" s="79"/>
      <c r="E366" s="79"/>
      <c r="F366" s="81"/>
      <c r="G366" s="81"/>
      <c r="H366" s="79"/>
      <c r="I366" s="79"/>
      <c r="J366" s="79"/>
      <c r="K366" s="79"/>
      <c r="L366" s="79"/>
      <c r="M366" s="79"/>
      <c r="N366" s="79"/>
      <c r="O366" s="79"/>
      <c r="P366" s="79"/>
      <c r="Q366" s="79"/>
      <c r="R366" s="79"/>
      <c r="S366" s="79"/>
      <c r="T366" s="79"/>
      <c r="U366" s="79"/>
      <c r="V366" s="79"/>
      <c r="W366" s="79"/>
      <c r="X366" s="79"/>
      <c r="Y366" s="79"/>
      <c r="Z366" s="79"/>
    </row>
    <row r="367" spans="1:26" ht="12.75" customHeight="1">
      <c r="A367" s="73"/>
      <c r="B367" s="73"/>
      <c r="C367" s="80"/>
      <c r="D367" s="79"/>
      <c r="E367" s="79"/>
      <c r="F367" s="81"/>
      <c r="G367" s="81"/>
      <c r="H367" s="79"/>
      <c r="I367" s="79"/>
      <c r="J367" s="79"/>
      <c r="K367" s="79"/>
      <c r="L367" s="79"/>
      <c r="M367" s="79"/>
      <c r="N367" s="79"/>
      <c r="O367" s="79"/>
      <c r="P367" s="79"/>
      <c r="Q367" s="79"/>
      <c r="R367" s="79"/>
      <c r="S367" s="79"/>
      <c r="T367" s="79"/>
      <c r="U367" s="79"/>
      <c r="V367" s="79"/>
      <c r="W367" s="79"/>
      <c r="X367" s="79"/>
      <c r="Y367" s="79"/>
      <c r="Z367" s="79"/>
    </row>
    <row r="368" spans="1:26" ht="12.75" customHeight="1">
      <c r="A368" s="73"/>
      <c r="B368" s="73"/>
      <c r="C368" s="80"/>
      <c r="D368" s="79"/>
      <c r="E368" s="79"/>
      <c r="F368" s="81"/>
      <c r="G368" s="81"/>
      <c r="H368" s="79"/>
      <c r="I368" s="79"/>
      <c r="J368" s="79"/>
      <c r="K368" s="79"/>
      <c r="L368" s="79"/>
      <c r="M368" s="79"/>
      <c r="N368" s="79"/>
      <c r="O368" s="79"/>
      <c r="P368" s="79"/>
      <c r="Q368" s="79"/>
      <c r="R368" s="79"/>
      <c r="S368" s="79"/>
      <c r="T368" s="79"/>
      <c r="U368" s="79"/>
      <c r="V368" s="79"/>
      <c r="W368" s="79"/>
      <c r="X368" s="79"/>
      <c r="Y368" s="79"/>
      <c r="Z368" s="79"/>
    </row>
    <row r="369" spans="1:26" ht="12.75" customHeight="1">
      <c r="A369" s="73"/>
      <c r="B369" s="73"/>
      <c r="C369" s="80"/>
      <c r="D369" s="79"/>
      <c r="E369" s="79"/>
      <c r="F369" s="81"/>
      <c r="G369" s="81"/>
      <c r="H369" s="79"/>
      <c r="I369" s="79"/>
      <c r="J369" s="79"/>
      <c r="K369" s="79"/>
      <c r="L369" s="79"/>
      <c r="M369" s="79"/>
      <c r="N369" s="79"/>
      <c r="O369" s="79"/>
      <c r="P369" s="79"/>
      <c r="Q369" s="79"/>
      <c r="R369" s="79"/>
      <c r="S369" s="79"/>
      <c r="T369" s="79"/>
      <c r="U369" s="79"/>
      <c r="V369" s="79"/>
      <c r="W369" s="79"/>
      <c r="X369" s="79"/>
      <c r="Y369" s="79"/>
      <c r="Z369" s="79"/>
    </row>
    <row r="370" spans="1:26" ht="12.75" customHeight="1">
      <c r="A370" s="73"/>
      <c r="B370" s="73"/>
      <c r="C370" s="80"/>
      <c r="D370" s="79"/>
      <c r="E370" s="79"/>
      <c r="F370" s="81"/>
      <c r="G370" s="81"/>
      <c r="H370" s="79"/>
      <c r="I370" s="79"/>
      <c r="J370" s="79"/>
      <c r="K370" s="79"/>
      <c r="L370" s="79"/>
      <c r="M370" s="79"/>
      <c r="N370" s="79"/>
      <c r="O370" s="79"/>
      <c r="P370" s="79"/>
      <c r="Q370" s="79"/>
      <c r="R370" s="79"/>
      <c r="S370" s="79"/>
      <c r="T370" s="79"/>
      <c r="U370" s="79"/>
      <c r="V370" s="79"/>
      <c r="W370" s="79"/>
      <c r="X370" s="79"/>
      <c r="Y370" s="79"/>
      <c r="Z370" s="79"/>
    </row>
    <row r="371" spans="1:26" ht="12.75" customHeight="1">
      <c r="A371" s="73"/>
      <c r="B371" s="73"/>
      <c r="C371" s="80"/>
      <c r="D371" s="79"/>
      <c r="E371" s="79"/>
      <c r="F371" s="81"/>
      <c r="G371" s="81"/>
      <c r="H371" s="79"/>
      <c r="I371" s="79"/>
      <c r="J371" s="79"/>
      <c r="K371" s="79"/>
      <c r="L371" s="79"/>
      <c r="M371" s="79"/>
      <c r="N371" s="79"/>
      <c r="O371" s="79"/>
      <c r="P371" s="79"/>
      <c r="Q371" s="79"/>
      <c r="R371" s="79"/>
      <c r="S371" s="79"/>
      <c r="T371" s="79"/>
      <c r="U371" s="79"/>
      <c r="V371" s="79"/>
      <c r="W371" s="79"/>
      <c r="X371" s="79"/>
      <c r="Y371" s="79"/>
      <c r="Z371" s="79"/>
    </row>
    <row r="372" spans="1:26" ht="12.75" customHeight="1">
      <c r="A372" s="73"/>
      <c r="B372" s="73"/>
      <c r="C372" s="80"/>
      <c r="D372" s="79"/>
      <c r="E372" s="79"/>
      <c r="F372" s="81"/>
      <c r="G372" s="81"/>
      <c r="H372" s="79"/>
      <c r="I372" s="79"/>
      <c r="J372" s="79"/>
      <c r="K372" s="79"/>
      <c r="L372" s="79"/>
      <c r="M372" s="79"/>
      <c r="N372" s="79"/>
      <c r="O372" s="79"/>
      <c r="P372" s="79"/>
      <c r="Q372" s="79"/>
      <c r="R372" s="79"/>
      <c r="S372" s="79"/>
      <c r="T372" s="79"/>
      <c r="U372" s="79"/>
      <c r="V372" s="79"/>
      <c r="W372" s="79"/>
      <c r="X372" s="79"/>
      <c r="Y372" s="79"/>
      <c r="Z372" s="79"/>
    </row>
    <row r="373" spans="1:26" ht="12.75" customHeight="1">
      <c r="A373" s="73"/>
      <c r="B373" s="73"/>
      <c r="C373" s="80"/>
      <c r="D373" s="79"/>
      <c r="E373" s="79"/>
      <c r="F373" s="81"/>
      <c r="G373" s="81"/>
      <c r="H373" s="79"/>
      <c r="I373" s="79"/>
      <c r="J373" s="79"/>
      <c r="K373" s="79"/>
      <c r="L373" s="79"/>
      <c r="M373" s="79"/>
      <c r="N373" s="79"/>
      <c r="O373" s="79"/>
      <c r="P373" s="79"/>
      <c r="Q373" s="79"/>
      <c r="R373" s="79"/>
      <c r="S373" s="79"/>
      <c r="T373" s="79"/>
      <c r="U373" s="79"/>
      <c r="V373" s="79"/>
      <c r="W373" s="79"/>
      <c r="X373" s="79"/>
      <c r="Y373" s="79"/>
      <c r="Z373" s="79"/>
    </row>
    <row r="374" spans="1:26" ht="12.75" customHeight="1">
      <c r="A374" s="73"/>
      <c r="B374" s="73"/>
      <c r="C374" s="80"/>
      <c r="D374" s="79"/>
      <c r="E374" s="79"/>
      <c r="F374" s="81"/>
      <c r="G374" s="81"/>
      <c r="H374" s="79"/>
      <c r="I374" s="79"/>
      <c r="J374" s="79"/>
      <c r="K374" s="79"/>
      <c r="L374" s="79"/>
      <c r="M374" s="79"/>
      <c r="N374" s="79"/>
      <c r="O374" s="79"/>
      <c r="P374" s="79"/>
      <c r="Q374" s="79"/>
      <c r="R374" s="79"/>
      <c r="S374" s="79"/>
      <c r="T374" s="79"/>
      <c r="U374" s="79"/>
      <c r="V374" s="79"/>
      <c r="W374" s="79"/>
      <c r="X374" s="79"/>
      <c r="Y374" s="79"/>
      <c r="Z374" s="79"/>
    </row>
    <row r="375" spans="1:26" ht="12.75" customHeight="1">
      <c r="A375" s="73"/>
      <c r="B375" s="73"/>
      <c r="C375" s="80"/>
      <c r="D375" s="79"/>
      <c r="E375" s="79"/>
      <c r="F375" s="81"/>
      <c r="G375" s="81"/>
      <c r="H375" s="79"/>
      <c r="I375" s="79"/>
      <c r="J375" s="79"/>
      <c r="K375" s="79"/>
      <c r="L375" s="79"/>
      <c r="M375" s="79"/>
      <c r="N375" s="79"/>
      <c r="O375" s="79"/>
      <c r="P375" s="79"/>
      <c r="Q375" s="79"/>
      <c r="R375" s="79"/>
      <c r="S375" s="79"/>
      <c r="T375" s="79"/>
      <c r="U375" s="79"/>
      <c r="V375" s="79"/>
      <c r="W375" s="79"/>
      <c r="X375" s="79"/>
      <c r="Y375" s="79"/>
      <c r="Z375" s="79"/>
    </row>
    <row r="376" spans="1:26" ht="12.75" customHeight="1">
      <c r="A376" s="73"/>
      <c r="B376" s="73"/>
      <c r="C376" s="80"/>
      <c r="D376" s="79"/>
      <c r="E376" s="79"/>
      <c r="F376" s="81"/>
      <c r="G376" s="81"/>
      <c r="H376" s="79"/>
      <c r="I376" s="79"/>
      <c r="J376" s="79"/>
      <c r="K376" s="79"/>
      <c r="L376" s="79"/>
      <c r="M376" s="79"/>
      <c r="N376" s="79"/>
      <c r="O376" s="79"/>
      <c r="P376" s="79"/>
      <c r="Q376" s="79"/>
      <c r="R376" s="79"/>
      <c r="S376" s="79"/>
      <c r="T376" s="79"/>
      <c r="U376" s="79"/>
      <c r="V376" s="79"/>
      <c r="W376" s="79"/>
      <c r="X376" s="79"/>
      <c r="Y376" s="79"/>
      <c r="Z376" s="79"/>
    </row>
    <row r="377" spans="1:26" ht="12.75" customHeight="1">
      <c r="A377" s="73"/>
      <c r="B377" s="73"/>
      <c r="C377" s="80"/>
      <c r="D377" s="79"/>
      <c r="E377" s="79"/>
      <c r="F377" s="81"/>
      <c r="G377" s="81"/>
      <c r="H377" s="79"/>
      <c r="I377" s="79"/>
      <c r="J377" s="79"/>
      <c r="K377" s="79"/>
      <c r="L377" s="79"/>
      <c r="M377" s="79"/>
      <c r="N377" s="79"/>
      <c r="O377" s="79"/>
      <c r="P377" s="79"/>
      <c r="Q377" s="79"/>
      <c r="R377" s="79"/>
      <c r="S377" s="79"/>
      <c r="T377" s="79"/>
      <c r="U377" s="79"/>
      <c r="V377" s="79"/>
      <c r="W377" s="79"/>
      <c r="X377" s="79"/>
      <c r="Y377" s="79"/>
      <c r="Z377" s="79"/>
    </row>
    <row r="378" spans="1:26" ht="12.75" customHeight="1">
      <c r="A378" s="73"/>
      <c r="B378" s="73"/>
      <c r="C378" s="80"/>
      <c r="D378" s="79"/>
      <c r="E378" s="79"/>
      <c r="F378" s="81"/>
      <c r="G378" s="81"/>
      <c r="H378" s="79"/>
      <c r="I378" s="79"/>
      <c r="J378" s="79"/>
      <c r="K378" s="79"/>
      <c r="L378" s="79"/>
      <c r="M378" s="79"/>
      <c r="N378" s="79"/>
      <c r="O378" s="79"/>
      <c r="P378" s="79"/>
      <c r="Q378" s="79"/>
      <c r="R378" s="79"/>
      <c r="S378" s="79"/>
      <c r="T378" s="79"/>
      <c r="U378" s="79"/>
      <c r="V378" s="79"/>
      <c r="W378" s="79"/>
      <c r="X378" s="79"/>
      <c r="Y378" s="79"/>
      <c r="Z378" s="79"/>
    </row>
    <row r="379" spans="1:26" ht="12.75" customHeight="1">
      <c r="A379" s="73"/>
      <c r="B379" s="73"/>
      <c r="C379" s="80"/>
      <c r="D379" s="79"/>
      <c r="E379" s="79"/>
      <c r="F379" s="81"/>
      <c r="G379" s="81"/>
      <c r="H379" s="79"/>
      <c r="I379" s="79"/>
      <c r="J379" s="79"/>
      <c r="K379" s="79"/>
      <c r="L379" s="79"/>
      <c r="M379" s="79"/>
      <c r="N379" s="79"/>
      <c r="O379" s="79"/>
      <c r="P379" s="79"/>
      <c r="Q379" s="79"/>
      <c r="R379" s="79"/>
      <c r="S379" s="79"/>
      <c r="T379" s="79"/>
      <c r="U379" s="79"/>
      <c r="V379" s="79"/>
      <c r="W379" s="79"/>
      <c r="X379" s="79"/>
      <c r="Y379" s="79"/>
      <c r="Z379" s="79"/>
    </row>
    <row r="380" spans="1:26" ht="12.75" customHeight="1">
      <c r="A380" s="73"/>
      <c r="B380" s="73"/>
      <c r="C380" s="80"/>
      <c r="D380" s="79"/>
      <c r="E380" s="79"/>
      <c r="F380" s="81"/>
      <c r="G380" s="81"/>
      <c r="H380" s="79"/>
      <c r="I380" s="79"/>
      <c r="J380" s="79"/>
      <c r="K380" s="79"/>
      <c r="L380" s="79"/>
      <c r="M380" s="79"/>
      <c r="N380" s="79"/>
      <c r="O380" s="79"/>
      <c r="P380" s="79"/>
      <c r="Q380" s="79"/>
      <c r="R380" s="79"/>
      <c r="S380" s="79"/>
      <c r="T380" s="79"/>
      <c r="U380" s="79"/>
      <c r="V380" s="79"/>
      <c r="W380" s="79"/>
      <c r="X380" s="79"/>
      <c r="Y380" s="79"/>
      <c r="Z380" s="79"/>
    </row>
    <row r="381" spans="1:26" ht="12.75" customHeight="1">
      <c r="A381" s="73"/>
      <c r="B381" s="73"/>
      <c r="C381" s="80"/>
      <c r="D381" s="79"/>
      <c r="E381" s="79"/>
      <c r="F381" s="81"/>
      <c r="G381" s="81"/>
      <c r="H381" s="79"/>
      <c r="I381" s="79"/>
      <c r="J381" s="79"/>
      <c r="K381" s="79"/>
      <c r="L381" s="79"/>
      <c r="M381" s="79"/>
      <c r="N381" s="79"/>
      <c r="O381" s="79"/>
      <c r="P381" s="79"/>
      <c r="Q381" s="79"/>
      <c r="R381" s="79"/>
      <c r="S381" s="79"/>
      <c r="T381" s="79"/>
      <c r="U381" s="79"/>
      <c r="V381" s="79"/>
      <c r="W381" s="79"/>
      <c r="X381" s="79"/>
      <c r="Y381" s="79"/>
      <c r="Z381" s="79"/>
    </row>
    <row r="382" spans="1:26" ht="12.75" customHeight="1">
      <c r="A382" s="73"/>
      <c r="B382" s="73"/>
      <c r="C382" s="80"/>
      <c r="D382" s="79"/>
      <c r="E382" s="79"/>
      <c r="F382" s="81"/>
      <c r="G382" s="81"/>
      <c r="H382" s="79"/>
      <c r="I382" s="79"/>
      <c r="J382" s="79"/>
      <c r="K382" s="79"/>
      <c r="L382" s="79"/>
      <c r="M382" s="79"/>
      <c r="N382" s="79"/>
      <c r="O382" s="79"/>
      <c r="P382" s="79"/>
      <c r="Q382" s="79"/>
      <c r="R382" s="79"/>
      <c r="S382" s="79"/>
      <c r="T382" s="79"/>
      <c r="U382" s="79"/>
      <c r="V382" s="79"/>
      <c r="W382" s="79"/>
      <c r="X382" s="79"/>
      <c r="Y382" s="79"/>
      <c r="Z382" s="79"/>
    </row>
    <row r="383" spans="1:26" ht="12.75" customHeight="1">
      <c r="A383" s="73"/>
      <c r="B383" s="73"/>
      <c r="C383" s="80"/>
      <c r="D383" s="79"/>
      <c r="E383" s="79"/>
      <c r="F383" s="81"/>
      <c r="G383" s="81"/>
      <c r="H383" s="79"/>
      <c r="I383" s="79"/>
      <c r="J383" s="79"/>
      <c r="K383" s="79"/>
      <c r="L383" s="79"/>
      <c r="M383" s="79"/>
      <c r="N383" s="79"/>
      <c r="O383" s="79"/>
      <c r="P383" s="79"/>
      <c r="Q383" s="79"/>
      <c r="R383" s="79"/>
      <c r="S383" s="79"/>
      <c r="T383" s="79"/>
      <c r="U383" s="79"/>
      <c r="V383" s="79"/>
      <c r="W383" s="79"/>
      <c r="X383" s="79"/>
      <c r="Y383" s="79"/>
      <c r="Z383" s="79"/>
    </row>
    <row r="384" spans="1:26" ht="12.75" customHeight="1">
      <c r="A384" s="73"/>
      <c r="B384" s="73"/>
      <c r="C384" s="80"/>
      <c r="D384" s="79"/>
      <c r="E384" s="79"/>
      <c r="F384" s="81"/>
      <c r="G384" s="81"/>
      <c r="H384" s="79"/>
      <c r="I384" s="79"/>
      <c r="J384" s="79"/>
      <c r="K384" s="79"/>
      <c r="L384" s="79"/>
      <c r="M384" s="79"/>
      <c r="N384" s="79"/>
      <c r="O384" s="79"/>
      <c r="P384" s="79"/>
      <c r="Q384" s="79"/>
      <c r="R384" s="79"/>
      <c r="S384" s="79"/>
      <c r="T384" s="79"/>
      <c r="U384" s="79"/>
      <c r="V384" s="79"/>
      <c r="W384" s="79"/>
      <c r="X384" s="79"/>
      <c r="Y384" s="79"/>
      <c r="Z384" s="79"/>
    </row>
    <row r="385" spans="1:26" ht="12.75" customHeight="1">
      <c r="A385" s="73"/>
      <c r="B385" s="73"/>
      <c r="C385" s="80"/>
      <c r="D385" s="79"/>
      <c r="E385" s="79"/>
      <c r="F385" s="81"/>
      <c r="G385" s="81"/>
      <c r="H385" s="79"/>
      <c r="I385" s="79"/>
      <c r="J385" s="79"/>
      <c r="K385" s="79"/>
      <c r="L385" s="79"/>
      <c r="M385" s="79"/>
      <c r="N385" s="79"/>
      <c r="O385" s="79"/>
      <c r="P385" s="79"/>
      <c r="Q385" s="79"/>
      <c r="R385" s="79"/>
      <c r="S385" s="79"/>
      <c r="T385" s="79"/>
      <c r="U385" s="79"/>
      <c r="V385" s="79"/>
      <c r="W385" s="79"/>
      <c r="X385" s="79"/>
      <c r="Y385" s="79"/>
      <c r="Z385" s="79"/>
    </row>
    <row r="386" spans="1:26" ht="12.75" customHeight="1">
      <c r="A386" s="73"/>
      <c r="B386" s="73"/>
      <c r="C386" s="80"/>
      <c r="D386" s="79"/>
      <c r="E386" s="79"/>
      <c r="F386" s="81"/>
      <c r="G386" s="81"/>
      <c r="H386" s="79"/>
      <c r="I386" s="79"/>
      <c r="J386" s="79"/>
      <c r="K386" s="79"/>
      <c r="L386" s="79"/>
      <c r="M386" s="79"/>
      <c r="N386" s="79"/>
      <c r="O386" s="79"/>
      <c r="P386" s="79"/>
      <c r="Q386" s="79"/>
      <c r="R386" s="79"/>
      <c r="S386" s="79"/>
      <c r="T386" s="79"/>
      <c r="U386" s="79"/>
      <c r="V386" s="79"/>
      <c r="W386" s="79"/>
      <c r="X386" s="79"/>
      <c r="Y386" s="79"/>
      <c r="Z386" s="79"/>
    </row>
    <row r="387" spans="1:26" ht="12.75" customHeight="1">
      <c r="A387" s="73"/>
      <c r="B387" s="73"/>
      <c r="C387" s="80"/>
      <c r="D387" s="79"/>
      <c r="E387" s="79"/>
      <c r="F387" s="81"/>
      <c r="G387" s="81"/>
      <c r="H387" s="79"/>
      <c r="I387" s="79"/>
      <c r="J387" s="79"/>
      <c r="K387" s="79"/>
      <c r="L387" s="79"/>
      <c r="M387" s="79"/>
      <c r="N387" s="79"/>
      <c r="O387" s="79"/>
      <c r="P387" s="79"/>
      <c r="Q387" s="79"/>
      <c r="R387" s="79"/>
      <c r="S387" s="79"/>
      <c r="T387" s="79"/>
      <c r="U387" s="79"/>
      <c r="V387" s="79"/>
      <c r="W387" s="79"/>
      <c r="X387" s="79"/>
      <c r="Y387" s="79"/>
      <c r="Z387" s="79"/>
    </row>
    <row r="388" spans="1:26" ht="12.75" customHeight="1">
      <c r="A388" s="73"/>
      <c r="B388" s="73"/>
      <c r="C388" s="80"/>
      <c r="D388" s="79"/>
      <c r="E388" s="79"/>
      <c r="F388" s="81"/>
      <c r="G388" s="81"/>
      <c r="H388" s="79"/>
      <c r="I388" s="79"/>
      <c r="J388" s="79"/>
      <c r="K388" s="79"/>
      <c r="L388" s="79"/>
      <c r="M388" s="79"/>
      <c r="N388" s="79"/>
      <c r="O388" s="79"/>
      <c r="P388" s="79"/>
      <c r="Q388" s="79"/>
      <c r="R388" s="79"/>
      <c r="S388" s="79"/>
      <c r="T388" s="79"/>
      <c r="U388" s="79"/>
      <c r="V388" s="79"/>
      <c r="W388" s="79"/>
      <c r="X388" s="79"/>
      <c r="Y388" s="79"/>
      <c r="Z388" s="79"/>
    </row>
    <row r="389" spans="1:26" ht="12.75" customHeight="1">
      <c r="A389" s="73"/>
      <c r="B389" s="73"/>
      <c r="C389" s="80"/>
      <c r="D389" s="79"/>
      <c r="E389" s="79"/>
      <c r="F389" s="81"/>
      <c r="G389" s="81"/>
      <c r="H389" s="79"/>
      <c r="I389" s="79"/>
      <c r="J389" s="79"/>
      <c r="K389" s="79"/>
      <c r="L389" s="79"/>
      <c r="M389" s="79"/>
      <c r="N389" s="79"/>
      <c r="O389" s="79"/>
      <c r="P389" s="79"/>
      <c r="Q389" s="79"/>
      <c r="R389" s="79"/>
      <c r="S389" s="79"/>
      <c r="T389" s="79"/>
      <c r="U389" s="79"/>
      <c r="V389" s="79"/>
      <c r="W389" s="79"/>
      <c r="X389" s="79"/>
      <c r="Y389" s="79"/>
      <c r="Z389" s="79"/>
    </row>
    <row r="390" spans="1:26" ht="12.75" customHeight="1">
      <c r="A390" s="73"/>
      <c r="B390" s="73"/>
      <c r="C390" s="80"/>
      <c r="D390" s="79"/>
      <c r="E390" s="79"/>
      <c r="F390" s="81"/>
      <c r="G390" s="81"/>
      <c r="H390" s="79"/>
      <c r="I390" s="79"/>
      <c r="J390" s="79"/>
      <c r="K390" s="79"/>
      <c r="L390" s="79"/>
      <c r="M390" s="79"/>
      <c r="N390" s="79"/>
      <c r="O390" s="79"/>
      <c r="P390" s="79"/>
      <c r="Q390" s="79"/>
      <c r="R390" s="79"/>
      <c r="S390" s="79"/>
      <c r="T390" s="79"/>
      <c r="U390" s="79"/>
      <c r="V390" s="79"/>
      <c r="W390" s="79"/>
      <c r="X390" s="79"/>
      <c r="Y390" s="79"/>
      <c r="Z390" s="79"/>
    </row>
    <row r="391" spans="1:26" ht="12.75" customHeight="1">
      <c r="A391" s="73"/>
      <c r="B391" s="73"/>
      <c r="C391" s="80"/>
      <c r="D391" s="79"/>
      <c r="E391" s="79"/>
      <c r="F391" s="81"/>
      <c r="G391" s="81"/>
      <c r="H391" s="79"/>
      <c r="I391" s="79"/>
      <c r="J391" s="79"/>
      <c r="K391" s="79"/>
      <c r="L391" s="79"/>
      <c r="M391" s="79"/>
      <c r="N391" s="79"/>
      <c r="O391" s="79"/>
      <c r="P391" s="79"/>
      <c r="Q391" s="79"/>
      <c r="R391" s="79"/>
      <c r="S391" s="79"/>
      <c r="T391" s="79"/>
      <c r="U391" s="79"/>
      <c r="V391" s="79"/>
      <c r="W391" s="79"/>
      <c r="X391" s="79"/>
      <c r="Y391" s="79"/>
      <c r="Z391" s="79"/>
    </row>
    <row r="392" spans="1:26" ht="12.75" customHeight="1">
      <c r="A392" s="73"/>
      <c r="B392" s="73"/>
      <c r="C392" s="80"/>
      <c r="D392" s="79"/>
      <c r="E392" s="79"/>
      <c r="F392" s="81"/>
      <c r="G392" s="81"/>
      <c r="H392" s="79"/>
      <c r="I392" s="79"/>
      <c r="J392" s="79"/>
      <c r="K392" s="79"/>
      <c r="L392" s="79"/>
      <c r="M392" s="79"/>
      <c r="N392" s="79"/>
      <c r="O392" s="79"/>
      <c r="P392" s="79"/>
      <c r="Q392" s="79"/>
      <c r="R392" s="79"/>
      <c r="S392" s="79"/>
      <c r="T392" s="79"/>
      <c r="U392" s="79"/>
      <c r="V392" s="79"/>
      <c r="W392" s="79"/>
      <c r="X392" s="79"/>
      <c r="Y392" s="79"/>
      <c r="Z392" s="79"/>
    </row>
    <row r="393" spans="1:26" ht="12.75" customHeight="1">
      <c r="A393" s="73"/>
      <c r="B393" s="73"/>
      <c r="C393" s="80"/>
      <c r="D393" s="79"/>
      <c r="E393" s="79"/>
      <c r="F393" s="81"/>
      <c r="G393" s="81"/>
      <c r="H393" s="79"/>
      <c r="I393" s="79"/>
      <c r="J393" s="79"/>
      <c r="K393" s="79"/>
      <c r="L393" s="79"/>
      <c r="M393" s="79"/>
      <c r="N393" s="79"/>
      <c r="O393" s="79"/>
      <c r="P393" s="79"/>
      <c r="Q393" s="79"/>
      <c r="R393" s="79"/>
      <c r="S393" s="79"/>
      <c r="T393" s="79"/>
      <c r="U393" s="79"/>
      <c r="V393" s="79"/>
      <c r="W393" s="79"/>
      <c r="X393" s="79"/>
      <c r="Y393" s="79"/>
      <c r="Z393" s="79"/>
    </row>
    <row r="394" spans="1:26" ht="12.75" customHeight="1">
      <c r="A394" s="73"/>
      <c r="B394" s="73"/>
      <c r="C394" s="80"/>
      <c r="D394" s="79"/>
      <c r="E394" s="79"/>
      <c r="F394" s="81"/>
      <c r="G394" s="81"/>
      <c r="H394" s="79"/>
      <c r="I394" s="79"/>
      <c r="J394" s="79"/>
      <c r="K394" s="79"/>
      <c r="L394" s="79"/>
      <c r="M394" s="79"/>
      <c r="N394" s="79"/>
      <c r="O394" s="79"/>
      <c r="P394" s="79"/>
      <c r="Q394" s="79"/>
      <c r="R394" s="79"/>
      <c r="S394" s="79"/>
      <c r="T394" s="79"/>
      <c r="U394" s="79"/>
      <c r="V394" s="79"/>
      <c r="W394" s="79"/>
      <c r="X394" s="79"/>
      <c r="Y394" s="79"/>
      <c r="Z394" s="79"/>
    </row>
    <row r="395" spans="1:26" ht="12.75" customHeight="1">
      <c r="A395" s="73"/>
      <c r="B395" s="73"/>
      <c r="C395" s="80"/>
      <c r="D395" s="79"/>
      <c r="E395" s="79"/>
      <c r="F395" s="81"/>
      <c r="G395" s="81"/>
      <c r="H395" s="79"/>
      <c r="I395" s="79"/>
      <c r="J395" s="79"/>
      <c r="K395" s="79"/>
      <c r="L395" s="79"/>
      <c r="M395" s="79"/>
      <c r="N395" s="79"/>
      <c r="O395" s="79"/>
      <c r="P395" s="79"/>
      <c r="Q395" s="79"/>
      <c r="R395" s="79"/>
      <c r="S395" s="79"/>
      <c r="T395" s="79"/>
      <c r="U395" s="79"/>
      <c r="V395" s="79"/>
      <c r="W395" s="79"/>
      <c r="X395" s="79"/>
      <c r="Y395" s="79"/>
      <c r="Z395" s="79"/>
    </row>
    <row r="396" spans="1:26" ht="12.75" customHeight="1">
      <c r="A396" s="73"/>
      <c r="B396" s="73"/>
      <c r="C396" s="80"/>
      <c r="D396" s="79"/>
      <c r="E396" s="79"/>
      <c r="F396" s="81"/>
      <c r="G396" s="81"/>
      <c r="H396" s="79"/>
      <c r="I396" s="79"/>
      <c r="J396" s="79"/>
      <c r="K396" s="79"/>
      <c r="L396" s="79"/>
      <c r="M396" s="79"/>
      <c r="N396" s="79"/>
      <c r="O396" s="79"/>
      <c r="P396" s="79"/>
      <c r="Q396" s="79"/>
      <c r="R396" s="79"/>
      <c r="S396" s="79"/>
      <c r="T396" s="79"/>
      <c r="U396" s="79"/>
      <c r="V396" s="79"/>
      <c r="W396" s="79"/>
      <c r="X396" s="79"/>
      <c r="Y396" s="79"/>
      <c r="Z396" s="79"/>
    </row>
    <row r="397" spans="1:26" ht="12.75" customHeight="1">
      <c r="A397" s="73"/>
      <c r="B397" s="73"/>
      <c r="C397" s="80"/>
      <c r="D397" s="79"/>
      <c r="E397" s="79"/>
      <c r="F397" s="81"/>
      <c r="G397" s="81"/>
      <c r="H397" s="79"/>
      <c r="I397" s="79"/>
      <c r="J397" s="79"/>
      <c r="K397" s="79"/>
      <c r="L397" s="79"/>
      <c r="M397" s="79"/>
      <c r="N397" s="79"/>
      <c r="O397" s="79"/>
      <c r="P397" s="79"/>
      <c r="Q397" s="79"/>
      <c r="R397" s="79"/>
      <c r="S397" s="79"/>
      <c r="T397" s="79"/>
      <c r="U397" s="79"/>
      <c r="V397" s="79"/>
      <c r="W397" s="79"/>
      <c r="X397" s="79"/>
      <c r="Y397" s="79"/>
      <c r="Z397" s="79"/>
    </row>
    <row r="398" spans="1:26" ht="12.75" customHeight="1">
      <c r="A398" s="73"/>
      <c r="B398" s="73"/>
      <c r="C398" s="80"/>
      <c r="D398" s="79"/>
      <c r="E398" s="79"/>
      <c r="F398" s="81"/>
      <c r="G398" s="81"/>
      <c r="H398" s="79"/>
      <c r="I398" s="79"/>
      <c r="J398" s="79"/>
      <c r="K398" s="79"/>
      <c r="L398" s="79"/>
      <c r="M398" s="79"/>
      <c r="N398" s="79"/>
      <c r="O398" s="79"/>
      <c r="P398" s="79"/>
      <c r="Q398" s="79"/>
      <c r="R398" s="79"/>
      <c r="S398" s="79"/>
      <c r="T398" s="79"/>
      <c r="U398" s="79"/>
      <c r="V398" s="79"/>
      <c r="W398" s="79"/>
      <c r="X398" s="79"/>
      <c r="Y398" s="79"/>
      <c r="Z398" s="79"/>
    </row>
    <row r="399" spans="1:26" ht="12.75" customHeight="1">
      <c r="A399" s="73"/>
      <c r="B399" s="73"/>
      <c r="C399" s="80"/>
      <c r="D399" s="79"/>
      <c r="E399" s="79"/>
      <c r="F399" s="81"/>
      <c r="G399" s="81"/>
      <c r="H399" s="79"/>
      <c r="I399" s="79"/>
      <c r="J399" s="79"/>
      <c r="K399" s="79"/>
      <c r="L399" s="79"/>
      <c r="M399" s="79"/>
      <c r="N399" s="79"/>
      <c r="O399" s="79"/>
      <c r="P399" s="79"/>
      <c r="Q399" s="79"/>
      <c r="R399" s="79"/>
      <c r="S399" s="79"/>
      <c r="T399" s="79"/>
      <c r="U399" s="79"/>
      <c r="V399" s="79"/>
      <c r="W399" s="79"/>
      <c r="X399" s="79"/>
      <c r="Y399" s="79"/>
      <c r="Z399" s="79"/>
    </row>
    <row r="400" spans="1:26" ht="12.75" customHeight="1">
      <c r="A400" s="73"/>
      <c r="B400" s="73"/>
      <c r="C400" s="80"/>
      <c r="D400" s="79"/>
      <c r="E400" s="79"/>
      <c r="F400" s="81"/>
      <c r="G400" s="81"/>
      <c r="H400" s="79"/>
      <c r="I400" s="79"/>
      <c r="J400" s="79"/>
      <c r="K400" s="79"/>
      <c r="L400" s="79"/>
      <c r="M400" s="79"/>
      <c r="N400" s="79"/>
      <c r="O400" s="79"/>
      <c r="P400" s="79"/>
      <c r="Q400" s="79"/>
      <c r="R400" s="79"/>
      <c r="S400" s="79"/>
      <c r="T400" s="79"/>
      <c r="U400" s="79"/>
      <c r="V400" s="79"/>
      <c r="W400" s="79"/>
      <c r="X400" s="79"/>
      <c r="Y400" s="79"/>
      <c r="Z400" s="79"/>
    </row>
    <row r="401" spans="1:26" ht="12.75" customHeight="1">
      <c r="A401" s="73"/>
      <c r="B401" s="73"/>
      <c r="C401" s="80"/>
      <c r="D401" s="79"/>
      <c r="E401" s="79"/>
      <c r="F401" s="81"/>
      <c r="G401" s="81"/>
      <c r="H401" s="79"/>
      <c r="I401" s="79"/>
      <c r="J401" s="79"/>
      <c r="K401" s="79"/>
      <c r="L401" s="79"/>
      <c r="M401" s="79"/>
      <c r="N401" s="79"/>
      <c r="O401" s="79"/>
      <c r="P401" s="79"/>
      <c r="Q401" s="79"/>
      <c r="R401" s="79"/>
      <c r="S401" s="79"/>
      <c r="T401" s="79"/>
      <c r="U401" s="79"/>
      <c r="V401" s="79"/>
      <c r="W401" s="79"/>
      <c r="X401" s="79"/>
      <c r="Y401" s="79"/>
      <c r="Z401" s="79"/>
    </row>
    <row r="402" spans="1:26" ht="12.75" customHeight="1">
      <c r="A402" s="73"/>
      <c r="B402" s="73"/>
      <c r="C402" s="80"/>
      <c r="D402" s="79"/>
      <c r="E402" s="79"/>
      <c r="F402" s="81"/>
      <c r="G402" s="81"/>
      <c r="H402" s="79"/>
      <c r="I402" s="79"/>
      <c r="J402" s="79"/>
      <c r="K402" s="79"/>
      <c r="L402" s="79"/>
      <c r="M402" s="79"/>
      <c r="N402" s="79"/>
      <c r="O402" s="79"/>
      <c r="P402" s="79"/>
      <c r="Q402" s="79"/>
      <c r="R402" s="79"/>
      <c r="S402" s="79"/>
      <c r="T402" s="79"/>
      <c r="U402" s="79"/>
      <c r="V402" s="79"/>
      <c r="W402" s="79"/>
      <c r="X402" s="79"/>
      <c r="Y402" s="79"/>
      <c r="Z402" s="79"/>
    </row>
    <row r="403" spans="1:26" ht="12.75" customHeight="1">
      <c r="A403" s="73"/>
      <c r="B403" s="73"/>
      <c r="C403" s="80"/>
      <c r="D403" s="79"/>
      <c r="E403" s="79"/>
      <c r="F403" s="81"/>
      <c r="G403" s="81"/>
      <c r="H403" s="79"/>
      <c r="I403" s="79"/>
      <c r="J403" s="79"/>
      <c r="K403" s="79"/>
      <c r="L403" s="79"/>
      <c r="M403" s="79"/>
      <c r="N403" s="79"/>
      <c r="O403" s="79"/>
      <c r="P403" s="79"/>
      <c r="Q403" s="79"/>
      <c r="R403" s="79"/>
      <c r="S403" s="79"/>
      <c r="T403" s="79"/>
      <c r="U403" s="79"/>
      <c r="V403" s="79"/>
      <c r="W403" s="79"/>
      <c r="X403" s="79"/>
      <c r="Y403" s="79"/>
      <c r="Z403" s="79"/>
    </row>
    <row r="404" spans="1:26" ht="12.75" customHeight="1">
      <c r="A404" s="73"/>
      <c r="B404" s="73"/>
      <c r="C404" s="80"/>
      <c r="D404" s="79"/>
      <c r="E404" s="79"/>
      <c r="F404" s="81"/>
      <c r="G404" s="81"/>
      <c r="H404" s="79"/>
      <c r="I404" s="79"/>
      <c r="J404" s="79"/>
      <c r="K404" s="79"/>
      <c r="L404" s="79"/>
      <c r="M404" s="79"/>
      <c r="N404" s="79"/>
      <c r="O404" s="79"/>
      <c r="P404" s="79"/>
      <c r="Q404" s="79"/>
      <c r="R404" s="79"/>
      <c r="S404" s="79"/>
      <c r="T404" s="79"/>
      <c r="U404" s="79"/>
      <c r="V404" s="79"/>
      <c r="W404" s="79"/>
      <c r="X404" s="79"/>
      <c r="Y404" s="79"/>
      <c r="Z404" s="79"/>
    </row>
    <row r="405" spans="1:26" ht="12.75" customHeight="1">
      <c r="A405" s="73"/>
      <c r="B405" s="73"/>
      <c r="C405" s="80"/>
      <c r="D405" s="79"/>
      <c r="E405" s="79"/>
      <c r="F405" s="81"/>
      <c r="G405" s="81"/>
      <c r="H405" s="79"/>
      <c r="I405" s="79"/>
      <c r="J405" s="79"/>
      <c r="K405" s="79"/>
      <c r="L405" s="79"/>
      <c r="M405" s="79"/>
      <c r="N405" s="79"/>
      <c r="O405" s="79"/>
      <c r="P405" s="79"/>
      <c r="Q405" s="79"/>
      <c r="R405" s="79"/>
      <c r="S405" s="79"/>
      <c r="T405" s="79"/>
      <c r="U405" s="79"/>
      <c r="V405" s="79"/>
      <c r="W405" s="79"/>
      <c r="X405" s="79"/>
      <c r="Y405" s="79"/>
      <c r="Z405" s="79"/>
    </row>
    <row r="406" spans="1:26" ht="12.75" customHeight="1">
      <c r="A406" s="73"/>
      <c r="B406" s="73"/>
      <c r="C406" s="80"/>
      <c r="D406" s="79"/>
      <c r="E406" s="79"/>
      <c r="F406" s="81"/>
      <c r="G406" s="81"/>
      <c r="H406" s="79"/>
      <c r="I406" s="79"/>
      <c r="J406" s="79"/>
      <c r="K406" s="79"/>
      <c r="L406" s="79"/>
      <c r="M406" s="79"/>
      <c r="N406" s="79"/>
      <c r="O406" s="79"/>
      <c r="P406" s="79"/>
      <c r="Q406" s="79"/>
      <c r="R406" s="79"/>
      <c r="S406" s="79"/>
      <c r="T406" s="79"/>
      <c r="U406" s="79"/>
      <c r="V406" s="79"/>
      <c r="W406" s="79"/>
      <c r="X406" s="79"/>
      <c r="Y406" s="79"/>
      <c r="Z406" s="79"/>
    </row>
    <row r="407" spans="1:26" ht="12.75" customHeight="1">
      <c r="A407" s="73"/>
      <c r="B407" s="73"/>
      <c r="C407" s="80"/>
      <c r="D407" s="79"/>
      <c r="E407" s="79"/>
      <c r="F407" s="81"/>
      <c r="G407" s="81"/>
      <c r="H407" s="79"/>
      <c r="I407" s="79"/>
      <c r="J407" s="79"/>
      <c r="K407" s="79"/>
      <c r="L407" s="79"/>
      <c r="M407" s="79"/>
      <c r="N407" s="79"/>
      <c r="O407" s="79"/>
      <c r="P407" s="79"/>
      <c r="Q407" s="79"/>
      <c r="R407" s="79"/>
      <c r="S407" s="79"/>
      <c r="T407" s="79"/>
      <c r="U407" s="79"/>
      <c r="V407" s="79"/>
      <c r="W407" s="79"/>
      <c r="X407" s="79"/>
      <c r="Y407" s="79"/>
      <c r="Z407" s="79"/>
    </row>
    <row r="408" spans="1:26" ht="12.75" customHeight="1">
      <c r="A408" s="73"/>
      <c r="B408" s="73"/>
      <c r="C408" s="80"/>
      <c r="D408" s="79"/>
      <c r="E408" s="79"/>
      <c r="F408" s="81"/>
      <c r="G408" s="81"/>
      <c r="H408" s="79"/>
      <c r="I408" s="79"/>
      <c r="J408" s="79"/>
      <c r="K408" s="79"/>
      <c r="L408" s="79"/>
      <c r="M408" s="79"/>
      <c r="N408" s="79"/>
      <c r="O408" s="79"/>
      <c r="P408" s="79"/>
      <c r="Q408" s="79"/>
      <c r="R408" s="79"/>
      <c r="S408" s="79"/>
      <c r="T408" s="79"/>
      <c r="U408" s="79"/>
      <c r="V408" s="79"/>
      <c r="W408" s="79"/>
      <c r="X408" s="79"/>
      <c r="Y408" s="79"/>
      <c r="Z408" s="79"/>
    </row>
    <row r="409" spans="1:26" ht="12.75" customHeight="1">
      <c r="A409" s="73"/>
      <c r="B409" s="73"/>
      <c r="C409" s="80"/>
      <c r="D409" s="79"/>
      <c r="E409" s="79"/>
      <c r="F409" s="81"/>
      <c r="G409" s="81"/>
      <c r="H409" s="79"/>
      <c r="I409" s="79"/>
      <c r="J409" s="79"/>
      <c r="K409" s="79"/>
      <c r="L409" s="79"/>
      <c r="M409" s="79"/>
      <c r="N409" s="79"/>
      <c r="O409" s="79"/>
      <c r="P409" s="79"/>
      <c r="Q409" s="79"/>
      <c r="R409" s="79"/>
      <c r="S409" s="79"/>
      <c r="T409" s="79"/>
      <c r="U409" s="79"/>
      <c r="V409" s="79"/>
      <c r="W409" s="79"/>
      <c r="X409" s="79"/>
      <c r="Y409" s="79"/>
      <c r="Z409" s="79"/>
    </row>
    <row r="410" spans="1:26" ht="12.75" customHeight="1">
      <c r="A410" s="73"/>
      <c r="B410" s="73"/>
      <c r="C410" s="80"/>
      <c r="D410" s="79"/>
      <c r="E410" s="79"/>
      <c r="F410" s="81"/>
      <c r="G410" s="81"/>
      <c r="H410" s="79"/>
      <c r="I410" s="79"/>
      <c r="J410" s="79"/>
      <c r="K410" s="79"/>
      <c r="L410" s="79"/>
      <c r="M410" s="79"/>
      <c r="N410" s="79"/>
      <c r="O410" s="79"/>
      <c r="P410" s="79"/>
      <c r="Q410" s="79"/>
      <c r="R410" s="79"/>
      <c r="S410" s="79"/>
      <c r="T410" s="79"/>
      <c r="U410" s="79"/>
      <c r="V410" s="79"/>
      <c r="W410" s="79"/>
      <c r="X410" s="79"/>
      <c r="Y410" s="79"/>
      <c r="Z410" s="79"/>
    </row>
    <row r="411" spans="1:26" ht="12.75" customHeight="1">
      <c r="A411" s="73"/>
      <c r="B411" s="73"/>
      <c r="C411" s="80"/>
      <c r="D411" s="79"/>
      <c r="E411" s="79"/>
      <c r="F411" s="81"/>
      <c r="G411" s="81"/>
      <c r="H411" s="79"/>
      <c r="I411" s="79"/>
      <c r="J411" s="79"/>
      <c r="K411" s="79"/>
      <c r="L411" s="79"/>
      <c r="M411" s="79"/>
      <c r="N411" s="79"/>
      <c r="O411" s="79"/>
      <c r="P411" s="79"/>
      <c r="Q411" s="79"/>
      <c r="R411" s="79"/>
      <c r="S411" s="79"/>
      <c r="T411" s="79"/>
      <c r="U411" s="79"/>
      <c r="V411" s="79"/>
      <c r="W411" s="79"/>
      <c r="X411" s="79"/>
      <c r="Y411" s="79"/>
      <c r="Z411" s="79"/>
    </row>
    <row r="412" spans="1:26" ht="12.75" customHeight="1">
      <c r="A412" s="73"/>
      <c r="B412" s="73"/>
      <c r="C412" s="80"/>
      <c r="D412" s="79"/>
      <c r="E412" s="79"/>
      <c r="F412" s="81"/>
      <c r="G412" s="81"/>
      <c r="H412" s="79"/>
      <c r="I412" s="79"/>
      <c r="J412" s="79"/>
      <c r="K412" s="79"/>
      <c r="L412" s="79"/>
      <c r="M412" s="79"/>
      <c r="N412" s="79"/>
      <c r="O412" s="79"/>
      <c r="P412" s="79"/>
      <c r="Q412" s="79"/>
      <c r="R412" s="79"/>
      <c r="S412" s="79"/>
      <c r="T412" s="79"/>
      <c r="U412" s="79"/>
      <c r="V412" s="79"/>
      <c r="W412" s="79"/>
      <c r="X412" s="79"/>
      <c r="Y412" s="79"/>
      <c r="Z412" s="79"/>
    </row>
    <row r="413" spans="1:26" ht="12.75" customHeight="1">
      <c r="A413" s="73"/>
      <c r="B413" s="73"/>
      <c r="C413" s="80"/>
      <c r="D413" s="79"/>
      <c r="E413" s="79"/>
      <c r="F413" s="81"/>
      <c r="G413" s="81"/>
      <c r="H413" s="79"/>
      <c r="I413" s="79"/>
      <c r="J413" s="79"/>
      <c r="K413" s="79"/>
      <c r="L413" s="79"/>
      <c r="M413" s="79"/>
      <c r="N413" s="79"/>
      <c r="O413" s="79"/>
      <c r="P413" s="79"/>
      <c r="Q413" s="79"/>
      <c r="R413" s="79"/>
      <c r="S413" s="79"/>
      <c r="T413" s="79"/>
      <c r="U413" s="79"/>
      <c r="V413" s="79"/>
      <c r="W413" s="79"/>
      <c r="X413" s="79"/>
      <c r="Y413" s="79"/>
      <c r="Z413" s="79"/>
    </row>
    <row r="414" spans="1:26" ht="12.75" customHeight="1">
      <c r="A414" s="73"/>
      <c r="B414" s="73"/>
      <c r="C414" s="80"/>
      <c r="D414" s="79"/>
      <c r="E414" s="79"/>
      <c r="F414" s="81"/>
      <c r="G414" s="81"/>
      <c r="H414" s="79"/>
      <c r="I414" s="79"/>
      <c r="J414" s="79"/>
      <c r="K414" s="79"/>
      <c r="L414" s="79"/>
      <c r="M414" s="79"/>
      <c r="N414" s="79"/>
      <c r="O414" s="79"/>
      <c r="P414" s="79"/>
      <c r="Q414" s="79"/>
      <c r="R414" s="79"/>
      <c r="S414" s="79"/>
      <c r="T414" s="79"/>
      <c r="U414" s="79"/>
      <c r="V414" s="79"/>
      <c r="W414" s="79"/>
      <c r="X414" s="79"/>
      <c r="Y414" s="79"/>
      <c r="Z414" s="79"/>
    </row>
    <row r="415" spans="1:26" ht="12.75" customHeight="1">
      <c r="A415" s="73"/>
      <c r="B415" s="73"/>
      <c r="C415" s="80"/>
      <c r="D415" s="79"/>
      <c r="E415" s="79"/>
      <c r="F415" s="81"/>
      <c r="G415" s="81"/>
      <c r="H415" s="79"/>
      <c r="I415" s="79"/>
      <c r="J415" s="79"/>
      <c r="K415" s="79"/>
      <c r="L415" s="79"/>
      <c r="M415" s="79"/>
      <c r="N415" s="79"/>
      <c r="O415" s="79"/>
      <c r="P415" s="79"/>
      <c r="Q415" s="79"/>
      <c r="R415" s="79"/>
      <c r="S415" s="79"/>
      <c r="T415" s="79"/>
      <c r="U415" s="79"/>
      <c r="V415" s="79"/>
      <c r="W415" s="79"/>
      <c r="X415" s="79"/>
      <c r="Y415" s="79"/>
      <c r="Z415" s="79"/>
    </row>
    <row r="416" spans="1:26" ht="12.75" customHeight="1">
      <c r="A416" s="73"/>
      <c r="B416" s="73"/>
      <c r="C416" s="80"/>
      <c r="D416" s="79"/>
      <c r="E416" s="79"/>
      <c r="F416" s="81"/>
      <c r="G416" s="81"/>
      <c r="H416" s="79"/>
      <c r="I416" s="79"/>
      <c r="J416" s="79"/>
      <c r="K416" s="79"/>
      <c r="L416" s="79"/>
      <c r="M416" s="79"/>
      <c r="N416" s="79"/>
      <c r="O416" s="79"/>
      <c r="P416" s="79"/>
      <c r="Q416" s="79"/>
      <c r="R416" s="79"/>
      <c r="S416" s="79"/>
      <c r="T416" s="79"/>
      <c r="U416" s="79"/>
      <c r="V416" s="79"/>
      <c r="W416" s="79"/>
      <c r="X416" s="79"/>
      <c r="Y416" s="79"/>
      <c r="Z416" s="79"/>
    </row>
    <row r="417" spans="1:26" ht="12.75" customHeight="1">
      <c r="A417" s="73"/>
      <c r="B417" s="73"/>
      <c r="C417" s="80"/>
      <c r="D417" s="79"/>
      <c r="E417" s="79"/>
      <c r="F417" s="81"/>
      <c r="G417" s="81"/>
      <c r="H417" s="79"/>
      <c r="I417" s="79"/>
      <c r="J417" s="79"/>
      <c r="K417" s="79"/>
      <c r="L417" s="79"/>
      <c r="M417" s="79"/>
      <c r="N417" s="79"/>
      <c r="O417" s="79"/>
      <c r="P417" s="79"/>
      <c r="Q417" s="79"/>
      <c r="R417" s="79"/>
      <c r="S417" s="79"/>
      <c r="T417" s="79"/>
      <c r="U417" s="79"/>
      <c r="V417" s="79"/>
      <c r="W417" s="79"/>
      <c r="X417" s="79"/>
      <c r="Y417" s="79"/>
      <c r="Z417" s="79"/>
    </row>
    <row r="418" spans="1:26" ht="12.75" customHeight="1">
      <c r="A418" s="73"/>
      <c r="B418" s="73"/>
      <c r="C418" s="80"/>
      <c r="D418" s="79"/>
      <c r="E418" s="79"/>
      <c r="F418" s="81"/>
      <c r="G418" s="81"/>
      <c r="H418" s="79"/>
      <c r="I418" s="79"/>
      <c r="J418" s="79"/>
      <c r="K418" s="79"/>
      <c r="L418" s="79"/>
      <c r="M418" s="79"/>
      <c r="N418" s="79"/>
      <c r="O418" s="79"/>
      <c r="P418" s="79"/>
      <c r="Q418" s="79"/>
      <c r="R418" s="79"/>
      <c r="S418" s="79"/>
      <c r="T418" s="79"/>
      <c r="U418" s="79"/>
      <c r="V418" s="79"/>
      <c r="W418" s="79"/>
      <c r="X418" s="79"/>
      <c r="Y418" s="79"/>
      <c r="Z418" s="79"/>
    </row>
    <row r="419" spans="1:26" ht="12.75" customHeight="1">
      <c r="A419" s="73"/>
      <c r="B419" s="73"/>
      <c r="C419" s="80"/>
      <c r="D419" s="79"/>
      <c r="E419" s="79"/>
      <c r="F419" s="81"/>
      <c r="G419" s="81"/>
      <c r="H419" s="79"/>
      <c r="I419" s="79"/>
      <c r="J419" s="79"/>
      <c r="K419" s="79"/>
      <c r="L419" s="79"/>
      <c r="M419" s="79"/>
      <c r="N419" s="79"/>
      <c r="O419" s="79"/>
      <c r="P419" s="79"/>
      <c r="Q419" s="79"/>
      <c r="R419" s="79"/>
      <c r="S419" s="79"/>
      <c r="T419" s="79"/>
      <c r="U419" s="79"/>
      <c r="V419" s="79"/>
      <c r="W419" s="79"/>
      <c r="X419" s="79"/>
      <c r="Y419" s="79"/>
      <c r="Z419" s="79"/>
    </row>
    <row r="420" spans="1:26" ht="12.75" customHeight="1">
      <c r="A420" s="73"/>
      <c r="B420" s="73"/>
      <c r="C420" s="80"/>
      <c r="D420" s="79"/>
      <c r="E420" s="79"/>
      <c r="F420" s="81"/>
      <c r="G420" s="81"/>
      <c r="H420" s="79"/>
      <c r="I420" s="79"/>
      <c r="J420" s="79"/>
      <c r="K420" s="79"/>
      <c r="L420" s="79"/>
      <c r="M420" s="79"/>
      <c r="N420" s="79"/>
      <c r="O420" s="79"/>
      <c r="P420" s="79"/>
      <c r="Q420" s="79"/>
      <c r="R420" s="79"/>
      <c r="S420" s="79"/>
      <c r="T420" s="79"/>
      <c r="U420" s="79"/>
      <c r="V420" s="79"/>
      <c r="W420" s="79"/>
      <c r="X420" s="79"/>
      <c r="Y420" s="79"/>
      <c r="Z420" s="79"/>
    </row>
    <row r="421" spans="1:26" ht="12.75" customHeight="1">
      <c r="A421" s="73"/>
      <c r="B421" s="73"/>
      <c r="C421" s="80"/>
      <c r="D421" s="79"/>
      <c r="E421" s="79"/>
      <c r="F421" s="81"/>
      <c r="G421" s="81"/>
      <c r="H421" s="79"/>
      <c r="I421" s="79"/>
      <c r="J421" s="79"/>
      <c r="K421" s="79"/>
      <c r="L421" s="79"/>
      <c r="M421" s="79"/>
      <c r="N421" s="79"/>
      <c r="O421" s="79"/>
      <c r="P421" s="79"/>
      <c r="Q421" s="79"/>
      <c r="R421" s="79"/>
      <c r="S421" s="79"/>
      <c r="T421" s="79"/>
      <c r="U421" s="79"/>
      <c r="V421" s="79"/>
      <c r="W421" s="79"/>
      <c r="X421" s="79"/>
      <c r="Y421" s="79"/>
      <c r="Z421" s="79"/>
    </row>
    <row r="422" spans="1:26" ht="12.75" customHeight="1">
      <c r="A422" s="73"/>
      <c r="B422" s="73"/>
      <c r="C422" s="80"/>
      <c r="D422" s="79"/>
      <c r="E422" s="79"/>
      <c r="F422" s="81"/>
      <c r="G422" s="81"/>
      <c r="H422" s="79"/>
      <c r="I422" s="79"/>
      <c r="J422" s="79"/>
      <c r="K422" s="79"/>
      <c r="L422" s="79"/>
      <c r="M422" s="79"/>
      <c r="N422" s="79"/>
      <c r="O422" s="79"/>
      <c r="P422" s="79"/>
      <c r="Q422" s="79"/>
      <c r="R422" s="79"/>
      <c r="S422" s="79"/>
      <c r="T422" s="79"/>
      <c r="U422" s="79"/>
      <c r="V422" s="79"/>
      <c r="W422" s="79"/>
      <c r="X422" s="79"/>
      <c r="Y422" s="79"/>
      <c r="Z422" s="79"/>
    </row>
    <row r="423" spans="1:26" ht="12.75" customHeight="1">
      <c r="A423" s="73"/>
      <c r="B423" s="73"/>
      <c r="C423" s="80"/>
      <c r="D423" s="79"/>
      <c r="E423" s="79"/>
      <c r="F423" s="81"/>
      <c r="G423" s="81"/>
      <c r="H423" s="79"/>
      <c r="I423" s="79"/>
      <c r="J423" s="79"/>
      <c r="K423" s="79"/>
      <c r="L423" s="79"/>
      <c r="M423" s="79"/>
      <c r="N423" s="79"/>
      <c r="O423" s="79"/>
      <c r="P423" s="79"/>
      <c r="Q423" s="79"/>
      <c r="R423" s="79"/>
      <c r="S423" s="79"/>
      <c r="T423" s="79"/>
      <c r="U423" s="79"/>
      <c r="V423" s="79"/>
      <c r="W423" s="79"/>
      <c r="X423" s="79"/>
      <c r="Y423" s="79"/>
      <c r="Z423" s="79"/>
    </row>
    <row r="424" spans="1:26" ht="12.75" customHeight="1">
      <c r="A424" s="73"/>
      <c r="B424" s="73"/>
      <c r="C424" s="80"/>
      <c r="D424" s="79"/>
      <c r="E424" s="79"/>
      <c r="F424" s="81"/>
      <c r="G424" s="81"/>
      <c r="H424" s="79"/>
      <c r="I424" s="79"/>
      <c r="J424" s="79"/>
      <c r="K424" s="79"/>
      <c r="L424" s="79"/>
      <c r="M424" s="79"/>
      <c r="N424" s="79"/>
      <c r="O424" s="79"/>
      <c r="P424" s="79"/>
      <c r="Q424" s="79"/>
      <c r="R424" s="79"/>
      <c r="S424" s="79"/>
      <c r="T424" s="79"/>
      <c r="U424" s="79"/>
      <c r="V424" s="79"/>
      <c r="W424" s="79"/>
      <c r="X424" s="79"/>
      <c r="Y424" s="79"/>
      <c r="Z424" s="79"/>
    </row>
    <row r="425" spans="1:26" ht="12.75" customHeight="1">
      <c r="A425" s="73"/>
      <c r="B425" s="73"/>
      <c r="C425" s="80"/>
      <c r="D425" s="79"/>
      <c r="E425" s="79"/>
      <c r="F425" s="81"/>
      <c r="G425" s="81"/>
      <c r="H425" s="79"/>
      <c r="I425" s="79"/>
      <c r="J425" s="79"/>
      <c r="K425" s="79"/>
      <c r="L425" s="79"/>
      <c r="M425" s="79"/>
      <c r="N425" s="79"/>
      <c r="O425" s="79"/>
      <c r="P425" s="79"/>
      <c r="Q425" s="79"/>
      <c r="R425" s="79"/>
      <c r="S425" s="79"/>
      <c r="T425" s="79"/>
      <c r="U425" s="79"/>
      <c r="V425" s="79"/>
      <c r="W425" s="79"/>
      <c r="X425" s="79"/>
      <c r="Y425" s="79"/>
      <c r="Z425" s="79"/>
    </row>
    <row r="426" spans="1:26" ht="12.75" customHeight="1">
      <c r="A426" s="73"/>
      <c r="B426" s="73"/>
      <c r="C426" s="80"/>
      <c r="D426" s="79"/>
      <c r="E426" s="79"/>
      <c r="F426" s="81"/>
      <c r="G426" s="81"/>
      <c r="H426" s="79"/>
      <c r="I426" s="79"/>
      <c r="J426" s="79"/>
      <c r="K426" s="79"/>
      <c r="L426" s="79"/>
      <c r="M426" s="79"/>
      <c r="N426" s="79"/>
      <c r="O426" s="79"/>
      <c r="P426" s="79"/>
      <c r="Q426" s="79"/>
      <c r="R426" s="79"/>
      <c r="S426" s="79"/>
      <c r="T426" s="79"/>
      <c r="U426" s="79"/>
      <c r="V426" s="79"/>
      <c r="W426" s="79"/>
      <c r="X426" s="79"/>
      <c r="Y426" s="79"/>
      <c r="Z426" s="79"/>
    </row>
    <row r="427" spans="1:26" ht="12.75" customHeight="1">
      <c r="A427" s="73"/>
      <c r="B427" s="73"/>
      <c r="C427" s="80"/>
      <c r="D427" s="79"/>
      <c r="E427" s="79"/>
      <c r="F427" s="81"/>
      <c r="G427" s="81"/>
      <c r="H427" s="79"/>
      <c r="I427" s="79"/>
      <c r="J427" s="79"/>
      <c r="K427" s="79"/>
      <c r="L427" s="79"/>
      <c r="M427" s="79"/>
      <c r="N427" s="79"/>
      <c r="O427" s="79"/>
      <c r="P427" s="79"/>
      <c r="Q427" s="79"/>
      <c r="R427" s="79"/>
      <c r="S427" s="79"/>
      <c r="T427" s="79"/>
      <c r="U427" s="79"/>
      <c r="V427" s="79"/>
      <c r="W427" s="79"/>
      <c r="X427" s="79"/>
      <c r="Y427" s="79"/>
      <c r="Z427" s="79"/>
    </row>
    <row r="428" spans="1:26" ht="12.75" customHeight="1">
      <c r="A428" s="73"/>
      <c r="B428" s="73"/>
      <c r="C428" s="80"/>
      <c r="D428" s="79"/>
      <c r="E428" s="79"/>
      <c r="F428" s="81"/>
      <c r="G428" s="81"/>
      <c r="H428" s="79"/>
      <c r="I428" s="79"/>
      <c r="J428" s="79"/>
      <c r="K428" s="79"/>
      <c r="L428" s="79"/>
      <c r="M428" s="79"/>
      <c r="N428" s="79"/>
      <c r="O428" s="79"/>
      <c r="P428" s="79"/>
      <c r="Q428" s="79"/>
      <c r="R428" s="79"/>
      <c r="S428" s="79"/>
      <c r="T428" s="79"/>
      <c r="U428" s="79"/>
      <c r="V428" s="79"/>
      <c r="W428" s="79"/>
      <c r="X428" s="79"/>
      <c r="Y428" s="79"/>
      <c r="Z428" s="79"/>
    </row>
    <row r="429" spans="1:26" ht="12.75" customHeight="1">
      <c r="A429" s="73"/>
      <c r="B429" s="73"/>
      <c r="C429" s="80"/>
      <c r="D429" s="79"/>
      <c r="E429" s="79"/>
      <c r="F429" s="81"/>
      <c r="G429" s="81"/>
      <c r="H429" s="79"/>
      <c r="I429" s="79"/>
      <c r="J429" s="79"/>
      <c r="K429" s="79"/>
      <c r="L429" s="79"/>
      <c r="M429" s="79"/>
      <c r="N429" s="79"/>
      <c r="O429" s="79"/>
      <c r="P429" s="79"/>
      <c r="Q429" s="79"/>
      <c r="R429" s="79"/>
      <c r="S429" s="79"/>
      <c r="T429" s="79"/>
      <c r="U429" s="79"/>
      <c r="V429" s="79"/>
      <c r="W429" s="79"/>
      <c r="X429" s="79"/>
      <c r="Y429" s="79"/>
      <c r="Z429" s="79"/>
    </row>
    <row r="430" spans="1:26" ht="12.75" customHeight="1">
      <c r="A430" s="73"/>
      <c r="B430" s="73"/>
      <c r="C430" s="80"/>
      <c r="D430" s="79"/>
      <c r="E430" s="79"/>
      <c r="F430" s="81"/>
      <c r="G430" s="81"/>
      <c r="H430" s="79"/>
      <c r="I430" s="79"/>
      <c r="J430" s="79"/>
      <c r="K430" s="79"/>
      <c r="L430" s="79"/>
      <c r="M430" s="79"/>
      <c r="N430" s="79"/>
      <c r="O430" s="79"/>
      <c r="P430" s="79"/>
      <c r="Q430" s="79"/>
      <c r="R430" s="79"/>
      <c r="S430" s="79"/>
      <c r="T430" s="79"/>
      <c r="U430" s="79"/>
      <c r="V430" s="79"/>
      <c r="W430" s="79"/>
      <c r="X430" s="79"/>
      <c r="Y430" s="79"/>
      <c r="Z430" s="79"/>
    </row>
    <row r="431" spans="1:26" ht="12.75" customHeight="1">
      <c r="A431" s="73"/>
      <c r="B431" s="73"/>
      <c r="C431" s="80"/>
      <c r="D431" s="79"/>
      <c r="E431" s="79"/>
      <c r="F431" s="81"/>
      <c r="G431" s="81"/>
      <c r="H431" s="79"/>
      <c r="I431" s="79"/>
      <c r="J431" s="79"/>
      <c r="K431" s="79"/>
      <c r="L431" s="79"/>
      <c r="M431" s="79"/>
      <c r="N431" s="79"/>
      <c r="O431" s="79"/>
      <c r="P431" s="79"/>
      <c r="Q431" s="79"/>
      <c r="R431" s="79"/>
      <c r="S431" s="79"/>
      <c r="T431" s="79"/>
      <c r="U431" s="79"/>
      <c r="V431" s="79"/>
      <c r="W431" s="79"/>
      <c r="X431" s="79"/>
      <c r="Y431" s="79"/>
      <c r="Z431" s="79"/>
    </row>
    <row r="432" spans="1:26" ht="12.75" customHeight="1">
      <c r="A432" s="73"/>
      <c r="B432" s="73"/>
      <c r="C432" s="80"/>
      <c r="D432" s="79"/>
      <c r="E432" s="79"/>
      <c r="F432" s="81"/>
      <c r="G432" s="81"/>
      <c r="H432" s="79"/>
      <c r="I432" s="79"/>
      <c r="J432" s="79"/>
      <c r="K432" s="79"/>
      <c r="L432" s="79"/>
      <c r="M432" s="79"/>
      <c r="N432" s="79"/>
      <c r="O432" s="79"/>
      <c r="P432" s="79"/>
      <c r="Q432" s="79"/>
      <c r="R432" s="79"/>
      <c r="S432" s="79"/>
      <c r="T432" s="79"/>
      <c r="U432" s="79"/>
      <c r="V432" s="79"/>
      <c r="W432" s="79"/>
      <c r="X432" s="79"/>
      <c r="Y432" s="79"/>
      <c r="Z432" s="79"/>
    </row>
    <row r="433" spans="1:26" ht="12.75" customHeight="1">
      <c r="A433" s="73"/>
      <c r="B433" s="73"/>
      <c r="C433" s="80"/>
      <c r="D433" s="79"/>
      <c r="E433" s="79"/>
      <c r="F433" s="81"/>
      <c r="G433" s="81"/>
      <c r="H433" s="79"/>
      <c r="I433" s="79"/>
      <c r="J433" s="79"/>
      <c r="K433" s="79"/>
      <c r="L433" s="79"/>
      <c r="M433" s="79"/>
      <c r="N433" s="79"/>
      <c r="O433" s="79"/>
      <c r="P433" s="79"/>
      <c r="Q433" s="79"/>
      <c r="R433" s="79"/>
      <c r="S433" s="79"/>
      <c r="T433" s="79"/>
      <c r="U433" s="79"/>
      <c r="V433" s="79"/>
      <c r="W433" s="79"/>
      <c r="X433" s="79"/>
      <c r="Y433" s="79"/>
      <c r="Z433" s="79"/>
    </row>
    <row r="434" spans="1:26" ht="12.75" customHeight="1">
      <c r="A434" s="73"/>
      <c r="B434" s="73"/>
      <c r="C434" s="80"/>
      <c r="D434" s="79"/>
      <c r="E434" s="79"/>
      <c r="F434" s="81"/>
      <c r="G434" s="81"/>
      <c r="H434" s="79"/>
      <c r="I434" s="79"/>
      <c r="J434" s="79"/>
      <c r="K434" s="79"/>
      <c r="L434" s="79"/>
      <c r="M434" s="79"/>
      <c r="N434" s="79"/>
      <c r="O434" s="79"/>
      <c r="P434" s="79"/>
      <c r="Q434" s="79"/>
      <c r="R434" s="79"/>
      <c r="S434" s="79"/>
      <c r="T434" s="79"/>
      <c r="U434" s="79"/>
      <c r="V434" s="79"/>
      <c r="W434" s="79"/>
      <c r="X434" s="79"/>
      <c r="Y434" s="79"/>
      <c r="Z434" s="79"/>
    </row>
    <row r="435" spans="1:26" ht="12.75" customHeight="1">
      <c r="A435" s="73"/>
      <c r="B435" s="73"/>
      <c r="C435" s="80"/>
      <c r="D435" s="79"/>
      <c r="E435" s="79"/>
      <c r="F435" s="81"/>
      <c r="G435" s="81"/>
      <c r="H435" s="79"/>
      <c r="I435" s="79"/>
      <c r="J435" s="79"/>
      <c r="K435" s="79"/>
      <c r="L435" s="79"/>
      <c r="M435" s="79"/>
      <c r="N435" s="79"/>
      <c r="O435" s="79"/>
      <c r="P435" s="79"/>
      <c r="Q435" s="79"/>
      <c r="R435" s="79"/>
      <c r="S435" s="79"/>
      <c r="T435" s="79"/>
      <c r="U435" s="79"/>
      <c r="V435" s="79"/>
      <c r="W435" s="79"/>
      <c r="X435" s="79"/>
      <c r="Y435" s="79"/>
      <c r="Z435" s="79"/>
    </row>
    <row r="436" spans="1:26" ht="12.75" customHeight="1">
      <c r="A436" s="73"/>
      <c r="B436" s="73"/>
      <c r="C436" s="80"/>
      <c r="D436" s="79"/>
      <c r="E436" s="79"/>
      <c r="F436" s="81"/>
      <c r="G436" s="81"/>
      <c r="H436" s="79"/>
      <c r="I436" s="79"/>
      <c r="J436" s="79"/>
      <c r="K436" s="79"/>
      <c r="L436" s="79"/>
      <c r="M436" s="79"/>
      <c r="N436" s="79"/>
      <c r="O436" s="79"/>
      <c r="P436" s="79"/>
      <c r="Q436" s="79"/>
      <c r="R436" s="79"/>
      <c r="S436" s="79"/>
      <c r="T436" s="79"/>
      <c r="U436" s="79"/>
      <c r="V436" s="79"/>
      <c r="W436" s="79"/>
      <c r="X436" s="79"/>
      <c r="Y436" s="79"/>
      <c r="Z436" s="79"/>
    </row>
    <row r="437" spans="1:26" ht="12.75" customHeight="1">
      <c r="A437" s="73"/>
      <c r="B437" s="73"/>
      <c r="C437" s="80"/>
      <c r="D437" s="79"/>
      <c r="E437" s="79"/>
      <c r="F437" s="81"/>
      <c r="G437" s="81"/>
      <c r="H437" s="79"/>
      <c r="I437" s="79"/>
      <c r="J437" s="79"/>
      <c r="K437" s="79"/>
      <c r="L437" s="79"/>
      <c r="M437" s="79"/>
      <c r="N437" s="79"/>
      <c r="O437" s="79"/>
      <c r="P437" s="79"/>
      <c r="Q437" s="79"/>
      <c r="R437" s="79"/>
      <c r="S437" s="79"/>
      <c r="T437" s="79"/>
      <c r="U437" s="79"/>
      <c r="V437" s="79"/>
      <c r="W437" s="79"/>
      <c r="X437" s="79"/>
      <c r="Y437" s="79"/>
      <c r="Z437" s="79"/>
    </row>
    <row r="438" spans="1:26" ht="12.75" customHeight="1">
      <c r="A438" s="73"/>
      <c r="B438" s="73"/>
      <c r="C438" s="80"/>
      <c r="D438" s="79"/>
      <c r="E438" s="79"/>
      <c r="F438" s="81"/>
      <c r="G438" s="81"/>
      <c r="H438" s="79"/>
      <c r="I438" s="79"/>
      <c r="J438" s="79"/>
      <c r="K438" s="79"/>
      <c r="L438" s="79"/>
      <c r="M438" s="79"/>
      <c r="N438" s="79"/>
      <c r="O438" s="79"/>
      <c r="P438" s="79"/>
      <c r="Q438" s="79"/>
      <c r="R438" s="79"/>
      <c r="S438" s="79"/>
      <c r="T438" s="79"/>
      <c r="U438" s="79"/>
      <c r="V438" s="79"/>
      <c r="W438" s="79"/>
      <c r="X438" s="79"/>
      <c r="Y438" s="79"/>
      <c r="Z438" s="79"/>
    </row>
    <row r="439" spans="1:26" ht="12.75" customHeight="1">
      <c r="A439" s="73"/>
      <c r="B439" s="73"/>
      <c r="C439" s="80"/>
      <c r="D439" s="79"/>
      <c r="E439" s="79"/>
      <c r="F439" s="81"/>
      <c r="G439" s="81"/>
      <c r="H439" s="79"/>
      <c r="I439" s="79"/>
      <c r="J439" s="79"/>
      <c r="K439" s="79"/>
      <c r="L439" s="79"/>
      <c r="M439" s="79"/>
      <c r="N439" s="79"/>
      <c r="O439" s="79"/>
      <c r="P439" s="79"/>
      <c r="Q439" s="79"/>
      <c r="R439" s="79"/>
      <c r="S439" s="79"/>
      <c r="T439" s="79"/>
      <c r="U439" s="79"/>
      <c r="V439" s="79"/>
      <c r="W439" s="79"/>
      <c r="X439" s="79"/>
      <c r="Y439" s="79"/>
      <c r="Z439" s="79"/>
    </row>
    <row r="440" spans="1:26" ht="12.75" customHeight="1">
      <c r="A440" s="73"/>
      <c r="B440" s="73"/>
      <c r="C440" s="80"/>
      <c r="D440" s="79"/>
      <c r="E440" s="79"/>
      <c r="F440" s="81"/>
      <c r="G440" s="81"/>
      <c r="H440" s="79"/>
      <c r="I440" s="79"/>
      <c r="J440" s="79"/>
      <c r="K440" s="79"/>
      <c r="L440" s="79"/>
      <c r="M440" s="79"/>
      <c r="N440" s="79"/>
      <c r="O440" s="79"/>
      <c r="P440" s="79"/>
      <c r="Q440" s="79"/>
      <c r="R440" s="79"/>
      <c r="S440" s="79"/>
      <c r="T440" s="79"/>
      <c r="U440" s="79"/>
      <c r="V440" s="79"/>
      <c r="W440" s="79"/>
      <c r="X440" s="79"/>
      <c r="Y440" s="79"/>
      <c r="Z440" s="79"/>
    </row>
    <row r="441" spans="1:26" ht="12.75" customHeight="1">
      <c r="A441" s="73"/>
      <c r="B441" s="73"/>
      <c r="C441" s="80"/>
      <c r="D441" s="79"/>
      <c r="E441" s="79"/>
      <c r="F441" s="81"/>
      <c r="G441" s="81"/>
      <c r="H441" s="79"/>
      <c r="I441" s="79"/>
      <c r="J441" s="79"/>
      <c r="K441" s="79"/>
      <c r="L441" s="79"/>
      <c r="M441" s="79"/>
      <c r="N441" s="79"/>
      <c r="O441" s="79"/>
      <c r="P441" s="79"/>
      <c r="Q441" s="79"/>
      <c r="R441" s="79"/>
      <c r="S441" s="79"/>
      <c r="T441" s="79"/>
      <c r="U441" s="79"/>
      <c r="V441" s="79"/>
      <c r="W441" s="79"/>
      <c r="X441" s="79"/>
      <c r="Y441" s="79"/>
      <c r="Z441" s="79"/>
    </row>
    <row r="442" spans="1:26" ht="12.75" customHeight="1">
      <c r="A442" s="73"/>
      <c r="B442" s="73"/>
      <c r="C442" s="80"/>
      <c r="D442" s="79"/>
      <c r="E442" s="79"/>
      <c r="F442" s="81"/>
      <c r="G442" s="81"/>
      <c r="H442" s="79"/>
      <c r="I442" s="79"/>
      <c r="J442" s="79"/>
      <c r="K442" s="79"/>
      <c r="L442" s="79"/>
      <c r="M442" s="79"/>
      <c r="N442" s="79"/>
      <c r="O442" s="79"/>
      <c r="P442" s="79"/>
      <c r="Q442" s="79"/>
      <c r="R442" s="79"/>
      <c r="S442" s="79"/>
      <c r="T442" s="79"/>
      <c r="U442" s="79"/>
      <c r="V442" s="79"/>
      <c r="W442" s="79"/>
      <c r="X442" s="79"/>
      <c r="Y442" s="79"/>
      <c r="Z442" s="79"/>
    </row>
    <row r="443" spans="1:26" ht="12.75" customHeight="1">
      <c r="A443" s="73"/>
      <c r="B443" s="73"/>
      <c r="C443" s="80"/>
      <c r="D443" s="79"/>
      <c r="E443" s="79"/>
      <c r="F443" s="81"/>
      <c r="G443" s="81"/>
      <c r="H443" s="79"/>
      <c r="I443" s="79"/>
      <c r="J443" s="79"/>
      <c r="K443" s="79"/>
      <c r="L443" s="79"/>
      <c r="M443" s="79"/>
      <c r="N443" s="79"/>
      <c r="O443" s="79"/>
      <c r="P443" s="79"/>
      <c r="Q443" s="79"/>
      <c r="R443" s="79"/>
      <c r="S443" s="79"/>
      <c r="T443" s="79"/>
      <c r="U443" s="79"/>
      <c r="V443" s="79"/>
      <c r="W443" s="79"/>
      <c r="X443" s="79"/>
      <c r="Y443" s="79"/>
      <c r="Z443" s="79"/>
    </row>
    <row r="444" spans="1:26" ht="12.75" customHeight="1">
      <c r="A444" s="73"/>
      <c r="B444" s="73"/>
      <c r="C444" s="80"/>
      <c r="D444" s="79"/>
      <c r="E444" s="79"/>
      <c r="F444" s="81"/>
      <c r="G444" s="81"/>
      <c r="H444" s="79"/>
      <c r="I444" s="79"/>
      <c r="J444" s="79"/>
      <c r="K444" s="79"/>
      <c r="L444" s="79"/>
      <c r="M444" s="79"/>
      <c r="N444" s="79"/>
      <c r="O444" s="79"/>
      <c r="P444" s="79"/>
      <c r="Q444" s="79"/>
      <c r="R444" s="79"/>
      <c r="S444" s="79"/>
      <c r="T444" s="79"/>
      <c r="U444" s="79"/>
      <c r="V444" s="79"/>
      <c r="W444" s="79"/>
      <c r="X444" s="79"/>
      <c r="Y444" s="79"/>
      <c r="Z444" s="79"/>
    </row>
    <row r="445" spans="1:26" ht="12.75" customHeight="1">
      <c r="A445" s="73"/>
      <c r="B445" s="73"/>
      <c r="C445" s="80"/>
      <c r="D445" s="79"/>
      <c r="E445" s="79"/>
      <c r="F445" s="81"/>
      <c r="G445" s="81"/>
      <c r="H445" s="79"/>
      <c r="I445" s="79"/>
      <c r="J445" s="79"/>
      <c r="K445" s="79"/>
      <c r="L445" s="79"/>
      <c r="M445" s="79"/>
      <c r="N445" s="79"/>
      <c r="O445" s="79"/>
      <c r="P445" s="79"/>
      <c r="Q445" s="79"/>
      <c r="R445" s="79"/>
      <c r="S445" s="79"/>
      <c r="T445" s="79"/>
      <c r="U445" s="79"/>
      <c r="V445" s="79"/>
      <c r="W445" s="79"/>
      <c r="X445" s="79"/>
      <c r="Y445" s="79"/>
      <c r="Z445" s="79"/>
    </row>
    <row r="446" spans="1:26" ht="12.75" customHeight="1">
      <c r="A446" s="73"/>
      <c r="B446" s="73"/>
      <c r="C446" s="80"/>
      <c r="D446" s="79"/>
      <c r="E446" s="79"/>
      <c r="F446" s="81"/>
      <c r="G446" s="81"/>
      <c r="H446" s="79"/>
      <c r="I446" s="79"/>
      <c r="J446" s="79"/>
      <c r="K446" s="79"/>
      <c r="L446" s="79"/>
      <c r="M446" s="79"/>
      <c r="N446" s="79"/>
      <c r="O446" s="79"/>
      <c r="P446" s="79"/>
      <c r="Q446" s="79"/>
      <c r="R446" s="79"/>
      <c r="S446" s="79"/>
      <c r="T446" s="79"/>
      <c r="U446" s="79"/>
      <c r="V446" s="79"/>
      <c r="W446" s="79"/>
      <c r="X446" s="79"/>
      <c r="Y446" s="79"/>
      <c r="Z446" s="79"/>
    </row>
    <row r="447" spans="1:26" ht="12.75" customHeight="1">
      <c r="A447" s="73"/>
      <c r="B447" s="73"/>
      <c r="C447" s="80"/>
      <c r="D447" s="79"/>
      <c r="E447" s="79"/>
      <c r="F447" s="81"/>
      <c r="G447" s="81"/>
      <c r="H447" s="79"/>
      <c r="I447" s="79"/>
      <c r="J447" s="79"/>
      <c r="K447" s="79"/>
      <c r="L447" s="79"/>
      <c r="M447" s="79"/>
      <c r="N447" s="79"/>
      <c r="O447" s="79"/>
      <c r="P447" s="79"/>
      <c r="Q447" s="79"/>
      <c r="R447" s="79"/>
      <c r="S447" s="79"/>
      <c r="T447" s="79"/>
      <c r="U447" s="79"/>
      <c r="V447" s="79"/>
      <c r="W447" s="79"/>
      <c r="X447" s="79"/>
      <c r="Y447" s="79"/>
      <c r="Z447" s="79"/>
    </row>
    <row r="448" spans="1:26" ht="12.75" customHeight="1">
      <c r="A448" s="73"/>
      <c r="B448" s="73"/>
      <c r="C448" s="80"/>
      <c r="D448" s="79"/>
      <c r="E448" s="79"/>
      <c r="F448" s="81"/>
      <c r="G448" s="81"/>
      <c r="H448" s="79"/>
      <c r="I448" s="79"/>
      <c r="J448" s="79"/>
      <c r="K448" s="79"/>
      <c r="L448" s="79"/>
      <c r="M448" s="79"/>
      <c r="N448" s="79"/>
      <c r="O448" s="79"/>
      <c r="P448" s="79"/>
      <c r="Q448" s="79"/>
      <c r="R448" s="79"/>
      <c r="S448" s="79"/>
      <c r="T448" s="79"/>
      <c r="U448" s="79"/>
      <c r="V448" s="79"/>
      <c r="W448" s="79"/>
      <c r="X448" s="79"/>
      <c r="Y448" s="79"/>
      <c r="Z448" s="79"/>
    </row>
    <row r="449" spans="1:26" ht="12.75" customHeight="1">
      <c r="A449" s="73"/>
      <c r="B449" s="73"/>
      <c r="C449" s="80"/>
      <c r="D449" s="79"/>
      <c r="E449" s="79"/>
      <c r="F449" s="81"/>
      <c r="G449" s="81"/>
      <c r="H449" s="79"/>
      <c r="I449" s="79"/>
      <c r="J449" s="79"/>
      <c r="K449" s="79"/>
      <c r="L449" s="79"/>
      <c r="M449" s="79"/>
      <c r="N449" s="79"/>
      <c r="O449" s="79"/>
      <c r="P449" s="79"/>
      <c r="Q449" s="79"/>
      <c r="R449" s="79"/>
      <c r="S449" s="79"/>
      <c r="T449" s="79"/>
      <c r="U449" s="79"/>
      <c r="V449" s="79"/>
      <c r="W449" s="79"/>
      <c r="X449" s="79"/>
      <c r="Y449" s="79"/>
      <c r="Z449" s="79"/>
    </row>
    <row r="450" spans="1:26" ht="12.75" customHeight="1">
      <c r="A450" s="73"/>
      <c r="B450" s="73"/>
      <c r="C450" s="80"/>
      <c r="D450" s="79"/>
      <c r="E450" s="79"/>
      <c r="F450" s="81"/>
      <c r="G450" s="81"/>
      <c r="H450" s="79"/>
      <c r="I450" s="79"/>
      <c r="J450" s="79"/>
      <c r="K450" s="79"/>
      <c r="L450" s="79"/>
      <c r="M450" s="79"/>
      <c r="N450" s="79"/>
      <c r="O450" s="79"/>
      <c r="P450" s="79"/>
      <c r="Q450" s="79"/>
      <c r="R450" s="79"/>
      <c r="S450" s="79"/>
      <c r="T450" s="79"/>
      <c r="U450" s="79"/>
      <c r="V450" s="79"/>
      <c r="W450" s="79"/>
      <c r="X450" s="79"/>
      <c r="Y450" s="79"/>
      <c r="Z450" s="79"/>
    </row>
    <row r="451" spans="1:26" ht="12.75" customHeight="1">
      <c r="A451" s="73"/>
      <c r="B451" s="73"/>
      <c r="C451" s="80"/>
      <c r="D451" s="79"/>
      <c r="E451" s="79"/>
      <c r="F451" s="81"/>
      <c r="G451" s="81"/>
      <c r="H451" s="79"/>
      <c r="I451" s="79"/>
      <c r="J451" s="79"/>
      <c r="K451" s="79"/>
      <c r="L451" s="79"/>
      <c r="M451" s="79"/>
      <c r="N451" s="79"/>
      <c r="O451" s="79"/>
      <c r="P451" s="79"/>
      <c r="Q451" s="79"/>
      <c r="R451" s="79"/>
      <c r="S451" s="79"/>
      <c r="T451" s="79"/>
      <c r="U451" s="79"/>
      <c r="V451" s="79"/>
      <c r="W451" s="79"/>
      <c r="X451" s="79"/>
      <c r="Y451" s="79"/>
      <c r="Z451" s="79"/>
    </row>
    <row r="452" spans="1:26" ht="12.75" customHeight="1">
      <c r="A452" s="73"/>
      <c r="B452" s="73"/>
      <c r="C452" s="80"/>
      <c r="D452" s="79"/>
      <c r="E452" s="79"/>
      <c r="F452" s="81"/>
      <c r="G452" s="81"/>
      <c r="H452" s="79"/>
      <c r="I452" s="79"/>
      <c r="J452" s="79"/>
      <c r="K452" s="79"/>
      <c r="L452" s="79"/>
      <c r="M452" s="79"/>
      <c r="N452" s="79"/>
      <c r="O452" s="79"/>
      <c r="P452" s="79"/>
      <c r="Q452" s="79"/>
      <c r="R452" s="79"/>
      <c r="S452" s="79"/>
      <c r="T452" s="79"/>
      <c r="U452" s="79"/>
      <c r="V452" s="79"/>
      <c r="W452" s="79"/>
      <c r="X452" s="79"/>
      <c r="Y452" s="79"/>
      <c r="Z452" s="79"/>
    </row>
    <row r="453" spans="1:26" ht="12.75" customHeight="1">
      <c r="A453" s="73"/>
      <c r="B453" s="73"/>
      <c r="C453" s="80"/>
      <c r="D453" s="79"/>
      <c r="E453" s="79"/>
      <c r="F453" s="81"/>
      <c r="G453" s="81"/>
      <c r="H453" s="79"/>
      <c r="I453" s="79"/>
      <c r="J453" s="79"/>
      <c r="K453" s="79"/>
      <c r="L453" s="79"/>
      <c r="M453" s="79"/>
      <c r="N453" s="79"/>
      <c r="O453" s="79"/>
      <c r="P453" s="79"/>
      <c r="Q453" s="79"/>
      <c r="R453" s="79"/>
      <c r="S453" s="79"/>
      <c r="T453" s="79"/>
      <c r="U453" s="79"/>
      <c r="V453" s="79"/>
      <c r="W453" s="79"/>
      <c r="X453" s="79"/>
      <c r="Y453" s="79"/>
      <c r="Z453" s="79"/>
    </row>
    <row r="454" spans="1:26" ht="12.75" customHeight="1">
      <c r="A454" s="73"/>
      <c r="B454" s="73"/>
      <c r="C454" s="80"/>
      <c r="D454" s="79"/>
      <c r="E454" s="79"/>
      <c r="F454" s="81"/>
      <c r="G454" s="81"/>
      <c r="H454" s="79"/>
      <c r="I454" s="79"/>
      <c r="J454" s="79"/>
      <c r="K454" s="79"/>
      <c r="L454" s="79"/>
      <c r="M454" s="79"/>
      <c r="N454" s="79"/>
      <c r="O454" s="79"/>
      <c r="P454" s="79"/>
      <c r="Q454" s="79"/>
      <c r="R454" s="79"/>
      <c r="S454" s="79"/>
      <c r="T454" s="79"/>
      <c r="U454" s="79"/>
      <c r="V454" s="79"/>
      <c r="W454" s="79"/>
      <c r="X454" s="79"/>
      <c r="Y454" s="79"/>
      <c r="Z454" s="79"/>
    </row>
    <row r="455" spans="1:26" ht="12.75" customHeight="1">
      <c r="A455" s="73"/>
      <c r="B455" s="73"/>
      <c r="C455" s="80"/>
      <c r="D455" s="79"/>
      <c r="E455" s="79"/>
      <c r="F455" s="81"/>
      <c r="G455" s="81"/>
      <c r="H455" s="79"/>
      <c r="I455" s="79"/>
      <c r="J455" s="79"/>
      <c r="K455" s="79"/>
      <c r="L455" s="79"/>
      <c r="M455" s="79"/>
      <c r="N455" s="79"/>
      <c r="O455" s="79"/>
      <c r="P455" s="79"/>
      <c r="Q455" s="79"/>
      <c r="R455" s="79"/>
      <c r="S455" s="79"/>
      <c r="T455" s="79"/>
      <c r="U455" s="79"/>
      <c r="V455" s="79"/>
      <c r="W455" s="79"/>
      <c r="X455" s="79"/>
      <c r="Y455" s="79"/>
      <c r="Z455" s="79"/>
    </row>
    <row r="456" spans="1:26" ht="12.75" customHeight="1">
      <c r="A456" s="73"/>
      <c r="B456" s="73"/>
      <c r="C456" s="80"/>
      <c r="D456" s="79"/>
      <c r="E456" s="79"/>
      <c r="F456" s="81"/>
      <c r="G456" s="81"/>
      <c r="H456" s="79"/>
      <c r="I456" s="79"/>
      <c r="J456" s="79"/>
      <c r="K456" s="79"/>
      <c r="L456" s="79"/>
      <c r="M456" s="79"/>
      <c r="N456" s="79"/>
      <c r="O456" s="79"/>
      <c r="P456" s="79"/>
      <c r="Q456" s="79"/>
      <c r="R456" s="79"/>
      <c r="S456" s="79"/>
      <c r="T456" s="79"/>
      <c r="U456" s="79"/>
      <c r="V456" s="79"/>
      <c r="W456" s="79"/>
      <c r="X456" s="79"/>
      <c r="Y456" s="79"/>
      <c r="Z456" s="79"/>
    </row>
    <row r="457" spans="1:26" ht="12.75" customHeight="1">
      <c r="A457" s="73"/>
      <c r="B457" s="73"/>
      <c r="C457" s="80"/>
      <c r="D457" s="79"/>
      <c r="E457" s="79"/>
      <c r="F457" s="81"/>
      <c r="G457" s="81"/>
      <c r="H457" s="79"/>
      <c r="I457" s="79"/>
      <c r="J457" s="79"/>
      <c r="K457" s="79"/>
      <c r="L457" s="79"/>
      <c r="M457" s="79"/>
      <c r="N457" s="79"/>
      <c r="O457" s="79"/>
      <c r="P457" s="79"/>
      <c r="Q457" s="79"/>
      <c r="R457" s="79"/>
      <c r="S457" s="79"/>
      <c r="T457" s="79"/>
      <c r="U457" s="79"/>
      <c r="V457" s="79"/>
      <c r="W457" s="79"/>
      <c r="X457" s="79"/>
      <c r="Y457" s="79"/>
      <c r="Z457" s="79"/>
    </row>
    <row r="458" spans="1:26" ht="12.75" customHeight="1">
      <c r="A458" s="73"/>
      <c r="B458" s="73"/>
      <c r="C458" s="80"/>
      <c r="D458" s="79"/>
      <c r="E458" s="79"/>
      <c r="F458" s="81"/>
      <c r="G458" s="81"/>
      <c r="H458" s="79"/>
      <c r="I458" s="79"/>
      <c r="J458" s="79"/>
      <c r="K458" s="79"/>
      <c r="L458" s="79"/>
      <c r="M458" s="79"/>
      <c r="N458" s="79"/>
      <c r="O458" s="79"/>
      <c r="P458" s="79"/>
      <c r="Q458" s="79"/>
      <c r="R458" s="79"/>
      <c r="S458" s="79"/>
      <c r="T458" s="79"/>
      <c r="U458" s="79"/>
      <c r="V458" s="79"/>
      <c r="W458" s="79"/>
      <c r="X458" s="79"/>
      <c r="Y458" s="79"/>
      <c r="Z458" s="79"/>
    </row>
    <row r="459" spans="1:26" ht="12.75" customHeight="1">
      <c r="A459" s="73"/>
      <c r="B459" s="73"/>
      <c r="C459" s="80"/>
      <c r="D459" s="79"/>
      <c r="E459" s="79"/>
      <c r="F459" s="81"/>
      <c r="G459" s="81"/>
      <c r="H459" s="79"/>
      <c r="I459" s="79"/>
      <c r="J459" s="79"/>
      <c r="K459" s="79"/>
      <c r="L459" s="79"/>
      <c r="M459" s="79"/>
      <c r="N459" s="79"/>
      <c r="O459" s="79"/>
      <c r="P459" s="79"/>
      <c r="Q459" s="79"/>
      <c r="R459" s="79"/>
      <c r="S459" s="79"/>
      <c r="T459" s="79"/>
      <c r="U459" s="79"/>
      <c r="V459" s="79"/>
      <c r="W459" s="79"/>
      <c r="X459" s="79"/>
      <c r="Y459" s="79"/>
      <c r="Z459" s="79"/>
    </row>
    <row r="460" spans="1:26" ht="12.75" customHeight="1">
      <c r="A460" s="73"/>
      <c r="B460" s="73"/>
      <c r="C460" s="80"/>
      <c r="D460" s="79"/>
      <c r="E460" s="79"/>
      <c r="F460" s="81"/>
      <c r="G460" s="81"/>
      <c r="H460" s="79"/>
      <c r="I460" s="79"/>
      <c r="J460" s="79"/>
      <c r="K460" s="79"/>
      <c r="L460" s="79"/>
      <c r="M460" s="79"/>
      <c r="N460" s="79"/>
      <c r="O460" s="79"/>
      <c r="P460" s="79"/>
      <c r="Q460" s="79"/>
      <c r="R460" s="79"/>
      <c r="S460" s="79"/>
      <c r="T460" s="79"/>
      <c r="U460" s="79"/>
      <c r="V460" s="79"/>
      <c r="W460" s="79"/>
      <c r="X460" s="79"/>
      <c r="Y460" s="79"/>
      <c r="Z460" s="79"/>
    </row>
    <row r="461" spans="1:26" ht="12.75" customHeight="1">
      <c r="A461" s="73"/>
      <c r="B461" s="73"/>
      <c r="C461" s="80"/>
      <c r="D461" s="79"/>
      <c r="E461" s="79"/>
      <c r="F461" s="81"/>
      <c r="G461" s="81"/>
      <c r="H461" s="79"/>
      <c r="I461" s="79"/>
      <c r="J461" s="79"/>
      <c r="K461" s="79"/>
      <c r="L461" s="79"/>
      <c r="M461" s="79"/>
      <c r="N461" s="79"/>
      <c r="O461" s="79"/>
      <c r="P461" s="79"/>
      <c r="Q461" s="79"/>
      <c r="R461" s="79"/>
      <c r="S461" s="79"/>
      <c r="T461" s="79"/>
      <c r="U461" s="79"/>
      <c r="V461" s="79"/>
      <c r="W461" s="79"/>
      <c r="X461" s="79"/>
      <c r="Y461" s="79"/>
      <c r="Z461" s="79"/>
    </row>
    <row r="462" spans="1:26" ht="12.75" customHeight="1">
      <c r="A462" s="73"/>
      <c r="B462" s="73"/>
      <c r="C462" s="80"/>
      <c r="D462" s="79"/>
      <c r="E462" s="79"/>
      <c r="F462" s="81"/>
      <c r="G462" s="81"/>
      <c r="H462" s="79"/>
      <c r="I462" s="79"/>
      <c r="J462" s="79"/>
      <c r="K462" s="79"/>
      <c r="L462" s="79"/>
      <c r="M462" s="79"/>
      <c r="N462" s="79"/>
      <c r="O462" s="79"/>
      <c r="P462" s="79"/>
      <c r="Q462" s="79"/>
      <c r="R462" s="79"/>
      <c r="S462" s="79"/>
      <c r="T462" s="79"/>
      <c r="U462" s="79"/>
      <c r="V462" s="79"/>
      <c r="W462" s="79"/>
      <c r="X462" s="79"/>
      <c r="Y462" s="79"/>
      <c r="Z462" s="79"/>
    </row>
    <row r="463" spans="1:26" ht="12.75" customHeight="1">
      <c r="A463" s="73"/>
      <c r="B463" s="73"/>
      <c r="C463" s="80"/>
      <c r="D463" s="79"/>
      <c r="E463" s="79"/>
      <c r="F463" s="81"/>
      <c r="G463" s="81"/>
      <c r="H463" s="79"/>
      <c r="I463" s="79"/>
      <c r="J463" s="79"/>
      <c r="K463" s="79"/>
      <c r="L463" s="79"/>
      <c r="M463" s="79"/>
      <c r="N463" s="79"/>
      <c r="O463" s="79"/>
      <c r="P463" s="79"/>
      <c r="Q463" s="79"/>
      <c r="R463" s="79"/>
      <c r="S463" s="79"/>
      <c r="T463" s="79"/>
      <c r="U463" s="79"/>
      <c r="V463" s="79"/>
      <c r="W463" s="79"/>
      <c r="X463" s="79"/>
      <c r="Y463" s="79"/>
      <c r="Z463" s="79"/>
    </row>
    <row r="464" spans="1:26" ht="12.75" customHeight="1">
      <c r="A464" s="73"/>
      <c r="B464" s="73"/>
      <c r="C464" s="80"/>
      <c r="D464" s="79"/>
      <c r="E464" s="79"/>
      <c r="F464" s="81"/>
      <c r="G464" s="81"/>
      <c r="H464" s="79"/>
      <c r="I464" s="79"/>
      <c r="J464" s="79"/>
      <c r="K464" s="79"/>
      <c r="L464" s="79"/>
      <c r="M464" s="79"/>
      <c r="N464" s="79"/>
      <c r="O464" s="79"/>
      <c r="P464" s="79"/>
      <c r="Q464" s="79"/>
      <c r="R464" s="79"/>
      <c r="S464" s="79"/>
      <c r="T464" s="79"/>
      <c r="U464" s="79"/>
      <c r="V464" s="79"/>
      <c r="W464" s="79"/>
      <c r="X464" s="79"/>
      <c r="Y464" s="79"/>
      <c r="Z464" s="79"/>
    </row>
    <row r="465" spans="1:26" ht="12.75" customHeight="1">
      <c r="A465" s="73"/>
      <c r="B465" s="73"/>
      <c r="C465" s="80"/>
      <c r="D465" s="79"/>
      <c r="E465" s="79"/>
      <c r="F465" s="81"/>
      <c r="G465" s="81"/>
      <c r="H465" s="79"/>
      <c r="I465" s="79"/>
      <c r="J465" s="79"/>
      <c r="K465" s="79"/>
      <c r="L465" s="79"/>
      <c r="M465" s="79"/>
      <c r="N465" s="79"/>
      <c r="O465" s="79"/>
      <c r="P465" s="79"/>
      <c r="Q465" s="79"/>
      <c r="R465" s="79"/>
      <c r="S465" s="79"/>
      <c r="T465" s="79"/>
      <c r="U465" s="79"/>
      <c r="V465" s="79"/>
      <c r="W465" s="79"/>
      <c r="X465" s="79"/>
      <c r="Y465" s="79"/>
      <c r="Z465" s="79"/>
    </row>
    <row r="466" spans="1:26" ht="12.75" customHeight="1">
      <c r="A466" s="73"/>
      <c r="B466" s="73"/>
      <c r="C466" s="80"/>
      <c r="D466" s="79"/>
      <c r="E466" s="79"/>
      <c r="F466" s="81"/>
      <c r="G466" s="81"/>
      <c r="H466" s="79"/>
      <c r="I466" s="79"/>
      <c r="J466" s="79"/>
      <c r="K466" s="79"/>
      <c r="L466" s="79"/>
      <c r="M466" s="79"/>
      <c r="N466" s="79"/>
      <c r="O466" s="79"/>
      <c r="P466" s="79"/>
      <c r="Q466" s="79"/>
      <c r="R466" s="79"/>
      <c r="S466" s="79"/>
      <c r="T466" s="79"/>
      <c r="U466" s="79"/>
      <c r="V466" s="79"/>
      <c r="W466" s="79"/>
      <c r="X466" s="79"/>
      <c r="Y466" s="79"/>
      <c r="Z466" s="79"/>
    </row>
    <row r="467" spans="1:26" ht="12.75" customHeight="1">
      <c r="A467" s="73"/>
      <c r="B467" s="73"/>
      <c r="C467" s="80"/>
      <c r="D467" s="79"/>
      <c r="E467" s="79"/>
      <c r="F467" s="81"/>
      <c r="G467" s="81"/>
      <c r="H467" s="79"/>
      <c r="I467" s="79"/>
      <c r="J467" s="79"/>
      <c r="K467" s="79"/>
      <c r="L467" s="79"/>
      <c r="M467" s="79"/>
      <c r="N467" s="79"/>
      <c r="O467" s="79"/>
      <c r="P467" s="79"/>
      <c r="Q467" s="79"/>
      <c r="R467" s="79"/>
      <c r="S467" s="79"/>
      <c r="T467" s="79"/>
      <c r="U467" s="79"/>
      <c r="V467" s="79"/>
      <c r="W467" s="79"/>
      <c r="X467" s="79"/>
      <c r="Y467" s="79"/>
      <c r="Z467" s="79"/>
    </row>
    <row r="468" spans="1:26" ht="12.75" customHeight="1">
      <c r="A468" s="73"/>
      <c r="B468" s="73"/>
      <c r="C468" s="80"/>
      <c r="D468" s="79"/>
      <c r="E468" s="79"/>
      <c r="F468" s="81"/>
      <c r="G468" s="81"/>
      <c r="H468" s="79"/>
      <c r="I468" s="79"/>
      <c r="J468" s="79"/>
      <c r="K468" s="79"/>
      <c r="L468" s="79"/>
      <c r="M468" s="79"/>
      <c r="N468" s="79"/>
      <c r="O468" s="79"/>
      <c r="P468" s="79"/>
      <c r="Q468" s="79"/>
      <c r="R468" s="79"/>
      <c r="S468" s="79"/>
      <c r="T468" s="79"/>
      <c r="U468" s="79"/>
      <c r="V468" s="79"/>
      <c r="W468" s="79"/>
      <c r="X468" s="79"/>
      <c r="Y468" s="79"/>
      <c r="Z468" s="79"/>
    </row>
    <row r="469" spans="1:26" ht="12.75" customHeight="1">
      <c r="A469" s="73"/>
      <c r="B469" s="73"/>
      <c r="C469" s="80"/>
      <c r="D469" s="79"/>
      <c r="E469" s="79"/>
      <c r="F469" s="81"/>
      <c r="G469" s="81"/>
      <c r="H469" s="79"/>
      <c r="I469" s="79"/>
      <c r="J469" s="79"/>
      <c r="K469" s="79"/>
      <c r="L469" s="79"/>
      <c r="M469" s="79"/>
      <c r="N469" s="79"/>
      <c r="O469" s="79"/>
      <c r="P469" s="79"/>
      <c r="Q469" s="79"/>
      <c r="R469" s="79"/>
      <c r="S469" s="79"/>
      <c r="T469" s="79"/>
      <c r="U469" s="79"/>
      <c r="V469" s="79"/>
      <c r="W469" s="79"/>
      <c r="X469" s="79"/>
      <c r="Y469" s="79"/>
      <c r="Z469" s="79"/>
    </row>
    <row r="470" spans="1:26" ht="12.75" customHeight="1">
      <c r="A470" s="73"/>
      <c r="B470" s="73"/>
      <c r="C470" s="80"/>
      <c r="D470" s="79"/>
      <c r="E470" s="79"/>
      <c r="F470" s="81"/>
      <c r="G470" s="81"/>
      <c r="H470" s="79"/>
      <c r="I470" s="79"/>
      <c r="J470" s="79"/>
      <c r="K470" s="79"/>
      <c r="L470" s="79"/>
      <c r="M470" s="79"/>
      <c r="N470" s="79"/>
      <c r="O470" s="79"/>
      <c r="P470" s="79"/>
      <c r="Q470" s="79"/>
      <c r="R470" s="79"/>
      <c r="S470" s="79"/>
      <c r="T470" s="79"/>
      <c r="U470" s="79"/>
      <c r="V470" s="79"/>
      <c r="W470" s="79"/>
      <c r="X470" s="79"/>
      <c r="Y470" s="79"/>
      <c r="Z470" s="79"/>
    </row>
    <row r="471" spans="1:26" ht="12.75" customHeight="1">
      <c r="A471" s="73"/>
      <c r="B471" s="73"/>
      <c r="C471" s="80"/>
      <c r="D471" s="79"/>
      <c r="E471" s="79"/>
      <c r="F471" s="81"/>
      <c r="G471" s="81"/>
      <c r="H471" s="79"/>
      <c r="I471" s="79"/>
      <c r="J471" s="79"/>
      <c r="K471" s="79"/>
      <c r="L471" s="79"/>
      <c r="M471" s="79"/>
      <c r="N471" s="79"/>
      <c r="O471" s="79"/>
      <c r="P471" s="79"/>
      <c r="Q471" s="79"/>
      <c r="R471" s="79"/>
      <c r="S471" s="79"/>
      <c r="T471" s="79"/>
      <c r="U471" s="79"/>
      <c r="V471" s="79"/>
      <c r="W471" s="79"/>
      <c r="X471" s="79"/>
      <c r="Y471" s="79"/>
      <c r="Z471" s="79"/>
    </row>
    <row r="472" spans="1:26" ht="12.75" customHeight="1">
      <c r="A472" s="73"/>
      <c r="B472" s="73"/>
      <c r="C472" s="80"/>
      <c r="D472" s="79"/>
      <c r="E472" s="79"/>
      <c r="F472" s="81"/>
      <c r="G472" s="81"/>
      <c r="H472" s="79"/>
      <c r="I472" s="79"/>
      <c r="J472" s="79"/>
      <c r="K472" s="79"/>
      <c r="L472" s="79"/>
      <c r="M472" s="79"/>
      <c r="N472" s="79"/>
      <c r="O472" s="79"/>
      <c r="P472" s="79"/>
      <c r="Q472" s="79"/>
      <c r="R472" s="79"/>
      <c r="S472" s="79"/>
      <c r="T472" s="79"/>
      <c r="U472" s="79"/>
      <c r="V472" s="79"/>
      <c r="W472" s="79"/>
      <c r="X472" s="79"/>
      <c r="Y472" s="79"/>
      <c r="Z472" s="79"/>
    </row>
    <row r="473" spans="1:26" ht="12.75" customHeight="1">
      <c r="A473" s="73"/>
      <c r="B473" s="73"/>
      <c r="C473" s="80"/>
      <c r="D473" s="79"/>
      <c r="E473" s="79"/>
      <c r="F473" s="81"/>
      <c r="G473" s="81"/>
      <c r="H473" s="79"/>
      <c r="I473" s="79"/>
      <c r="J473" s="79"/>
      <c r="K473" s="79"/>
      <c r="L473" s="79"/>
      <c r="M473" s="79"/>
      <c r="N473" s="79"/>
      <c r="O473" s="79"/>
      <c r="P473" s="79"/>
      <c r="Q473" s="79"/>
      <c r="R473" s="79"/>
      <c r="S473" s="79"/>
      <c r="T473" s="79"/>
      <c r="U473" s="79"/>
      <c r="V473" s="79"/>
      <c r="W473" s="79"/>
      <c r="X473" s="79"/>
      <c r="Y473" s="79"/>
      <c r="Z473" s="79"/>
    </row>
    <row r="474" spans="1:26" ht="12.75" customHeight="1">
      <c r="A474" s="73"/>
      <c r="B474" s="73"/>
      <c r="C474" s="80"/>
      <c r="D474" s="79"/>
      <c r="E474" s="79"/>
      <c r="F474" s="81"/>
      <c r="G474" s="81"/>
      <c r="H474" s="79"/>
      <c r="I474" s="79"/>
      <c r="J474" s="79"/>
      <c r="K474" s="79"/>
      <c r="L474" s="79"/>
      <c r="M474" s="79"/>
      <c r="N474" s="79"/>
      <c r="O474" s="79"/>
      <c r="P474" s="79"/>
      <c r="Q474" s="79"/>
      <c r="R474" s="79"/>
      <c r="S474" s="79"/>
      <c r="T474" s="79"/>
      <c r="U474" s="79"/>
      <c r="V474" s="79"/>
      <c r="W474" s="79"/>
      <c r="X474" s="79"/>
      <c r="Y474" s="79"/>
      <c r="Z474" s="79"/>
    </row>
    <row r="475" spans="1:26" ht="12.75" customHeight="1">
      <c r="A475" s="73"/>
      <c r="B475" s="73"/>
      <c r="C475" s="80"/>
      <c r="D475" s="79"/>
      <c r="E475" s="79"/>
      <c r="F475" s="81"/>
      <c r="G475" s="81"/>
      <c r="H475" s="79"/>
      <c r="I475" s="79"/>
      <c r="J475" s="79"/>
      <c r="K475" s="79"/>
      <c r="L475" s="79"/>
      <c r="M475" s="79"/>
      <c r="N475" s="79"/>
      <c r="O475" s="79"/>
      <c r="P475" s="79"/>
      <c r="Q475" s="79"/>
      <c r="R475" s="79"/>
      <c r="S475" s="79"/>
      <c r="T475" s="79"/>
      <c r="U475" s="79"/>
      <c r="V475" s="79"/>
      <c r="W475" s="79"/>
      <c r="X475" s="79"/>
      <c r="Y475" s="79"/>
      <c r="Z475" s="79"/>
    </row>
    <row r="476" spans="1:26" ht="12.75" customHeight="1">
      <c r="A476" s="73"/>
      <c r="B476" s="73"/>
      <c r="C476" s="80"/>
      <c r="D476" s="79"/>
      <c r="E476" s="79"/>
      <c r="F476" s="81"/>
      <c r="G476" s="81"/>
      <c r="H476" s="79"/>
      <c r="I476" s="79"/>
      <c r="J476" s="79"/>
      <c r="K476" s="79"/>
      <c r="L476" s="79"/>
      <c r="M476" s="79"/>
      <c r="N476" s="79"/>
      <c r="O476" s="79"/>
      <c r="P476" s="79"/>
      <c r="Q476" s="79"/>
      <c r="R476" s="79"/>
      <c r="S476" s="79"/>
      <c r="T476" s="79"/>
      <c r="U476" s="79"/>
      <c r="V476" s="79"/>
      <c r="W476" s="79"/>
      <c r="X476" s="79"/>
      <c r="Y476" s="79"/>
      <c r="Z476" s="79"/>
    </row>
    <row r="477" spans="1:26" ht="12.75" customHeight="1">
      <c r="A477" s="73"/>
      <c r="B477" s="73"/>
      <c r="C477" s="80"/>
      <c r="D477" s="79"/>
      <c r="E477" s="79"/>
      <c r="F477" s="81"/>
      <c r="G477" s="81"/>
      <c r="H477" s="79"/>
      <c r="I477" s="79"/>
      <c r="J477" s="79"/>
      <c r="K477" s="79"/>
      <c r="L477" s="79"/>
      <c r="M477" s="79"/>
      <c r="N477" s="79"/>
      <c r="O477" s="79"/>
      <c r="P477" s="79"/>
      <c r="Q477" s="79"/>
      <c r="R477" s="79"/>
      <c r="S477" s="79"/>
      <c r="T477" s="79"/>
      <c r="U477" s="79"/>
      <c r="V477" s="79"/>
      <c r="W477" s="79"/>
      <c r="X477" s="79"/>
      <c r="Y477" s="79"/>
      <c r="Z477" s="79"/>
    </row>
    <row r="478" spans="1:26" ht="12.75" customHeight="1">
      <c r="A478" s="73"/>
      <c r="B478" s="73"/>
      <c r="C478" s="80"/>
      <c r="D478" s="79"/>
      <c r="E478" s="79"/>
      <c r="F478" s="81"/>
      <c r="G478" s="81"/>
      <c r="H478" s="79"/>
      <c r="I478" s="79"/>
      <c r="J478" s="79"/>
      <c r="K478" s="79"/>
      <c r="L478" s="79"/>
      <c r="M478" s="79"/>
      <c r="N478" s="79"/>
      <c r="O478" s="79"/>
      <c r="P478" s="79"/>
      <c r="Q478" s="79"/>
      <c r="R478" s="79"/>
      <c r="S478" s="79"/>
      <c r="T478" s="79"/>
      <c r="U478" s="79"/>
      <c r="V478" s="79"/>
      <c r="W478" s="79"/>
      <c r="X478" s="79"/>
      <c r="Y478" s="79"/>
      <c r="Z478" s="79"/>
    </row>
    <row r="479" spans="1:26" ht="12.75" customHeight="1">
      <c r="A479" s="73"/>
      <c r="B479" s="73"/>
      <c r="C479" s="80"/>
      <c r="D479" s="79"/>
      <c r="E479" s="79"/>
      <c r="F479" s="81"/>
      <c r="G479" s="81"/>
      <c r="H479" s="79"/>
      <c r="I479" s="79"/>
      <c r="J479" s="79"/>
      <c r="K479" s="79"/>
      <c r="L479" s="79"/>
      <c r="M479" s="79"/>
      <c r="N479" s="79"/>
      <c r="O479" s="79"/>
      <c r="P479" s="79"/>
      <c r="Q479" s="79"/>
      <c r="R479" s="79"/>
      <c r="S479" s="79"/>
      <c r="T479" s="79"/>
      <c r="U479" s="79"/>
      <c r="V479" s="79"/>
      <c r="W479" s="79"/>
      <c r="X479" s="79"/>
      <c r="Y479" s="79"/>
      <c r="Z479" s="79"/>
    </row>
    <row r="480" spans="1:26" ht="12.75" customHeight="1">
      <c r="A480" s="73"/>
      <c r="B480" s="73"/>
      <c r="C480" s="80"/>
      <c r="D480" s="79"/>
      <c r="E480" s="79"/>
      <c r="F480" s="81"/>
      <c r="G480" s="81"/>
      <c r="H480" s="79"/>
      <c r="I480" s="79"/>
      <c r="J480" s="79"/>
      <c r="K480" s="79"/>
      <c r="L480" s="79"/>
      <c r="M480" s="79"/>
      <c r="N480" s="79"/>
      <c r="O480" s="79"/>
      <c r="P480" s="79"/>
      <c r="Q480" s="79"/>
      <c r="R480" s="79"/>
      <c r="S480" s="79"/>
      <c r="T480" s="79"/>
      <c r="U480" s="79"/>
      <c r="V480" s="79"/>
      <c r="W480" s="79"/>
      <c r="X480" s="79"/>
      <c r="Y480" s="79"/>
      <c r="Z480" s="79"/>
    </row>
    <row r="481" spans="1:26" ht="12.75" customHeight="1">
      <c r="A481" s="73"/>
      <c r="B481" s="73"/>
      <c r="C481" s="80"/>
      <c r="D481" s="79"/>
      <c r="E481" s="79"/>
      <c r="F481" s="81"/>
      <c r="G481" s="81"/>
      <c r="H481" s="79"/>
      <c r="I481" s="79"/>
      <c r="J481" s="79"/>
      <c r="K481" s="79"/>
      <c r="L481" s="79"/>
      <c r="M481" s="79"/>
      <c r="N481" s="79"/>
      <c r="O481" s="79"/>
      <c r="P481" s="79"/>
      <c r="Q481" s="79"/>
      <c r="R481" s="79"/>
      <c r="S481" s="79"/>
      <c r="T481" s="79"/>
      <c r="U481" s="79"/>
      <c r="V481" s="79"/>
      <c r="W481" s="79"/>
      <c r="X481" s="79"/>
      <c r="Y481" s="79"/>
      <c r="Z481" s="79"/>
    </row>
    <row r="482" spans="1:26" ht="12.75" customHeight="1">
      <c r="A482" s="73"/>
      <c r="B482" s="73"/>
      <c r="C482" s="80"/>
      <c r="D482" s="79"/>
      <c r="E482" s="79"/>
      <c r="F482" s="81"/>
      <c r="G482" s="81"/>
      <c r="H482" s="79"/>
      <c r="I482" s="79"/>
      <c r="J482" s="79"/>
      <c r="K482" s="79"/>
      <c r="L482" s="79"/>
      <c r="M482" s="79"/>
      <c r="N482" s="79"/>
      <c r="O482" s="79"/>
      <c r="P482" s="79"/>
      <c r="Q482" s="79"/>
      <c r="R482" s="79"/>
      <c r="S482" s="79"/>
      <c r="T482" s="79"/>
      <c r="U482" s="79"/>
      <c r="V482" s="79"/>
      <c r="W482" s="79"/>
      <c r="X482" s="79"/>
      <c r="Y482" s="79"/>
      <c r="Z482" s="79"/>
    </row>
    <row r="483" spans="1:26" ht="12.75" customHeight="1">
      <c r="A483" s="73"/>
      <c r="B483" s="73"/>
      <c r="C483" s="80"/>
      <c r="D483" s="79"/>
      <c r="E483" s="79"/>
      <c r="F483" s="81"/>
      <c r="G483" s="81"/>
      <c r="H483" s="79"/>
      <c r="I483" s="79"/>
      <c r="J483" s="79"/>
      <c r="K483" s="79"/>
      <c r="L483" s="79"/>
      <c r="M483" s="79"/>
      <c r="N483" s="79"/>
      <c r="O483" s="79"/>
      <c r="P483" s="79"/>
      <c r="Q483" s="79"/>
      <c r="R483" s="79"/>
      <c r="S483" s="79"/>
      <c r="T483" s="79"/>
      <c r="U483" s="79"/>
      <c r="V483" s="79"/>
      <c r="W483" s="79"/>
      <c r="X483" s="79"/>
      <c r="Y483" s="79"/>
      <c r="Z483" s="79"/>
    </row>
    <row r="484" spans="1:26" ht="12.75" customHeight="1">
      <c r="A484" s="73"/>
      <c r="B484" s="73"/>
      <c r="C484" s="80"/>
      <c r="D484" s="79"/>
      <c r="E484" s="79"/>
      <c r="F484" s="81"/>
      <c r="G484" s="81"/>
      <c r="H484" s="79"/>
      <c r="I484" s="79"/>
      <c r="J484" s="79"/>
      <c r="K484" s="79"/>
      <c r="L484" s="79"/>
      <c r="M484" s="79"/>
      <c r="N484" s="79"/>
      <c r="O484" s="79"/>
      <c r="P484" s="79"/>
      <c r="Q484" s="79"/>
      <c r="R484" s="79"/>
      <c r="S484" s="79"/>
      <c r="T484" s="79"/>
      <c r="U484" s="79"/>
      <c r="V484" s="79"/>
      <c r="W484" s="79"/>
      <c r="X484" s="79"/>
      <c r="Y484" s="79"/>
      <c r="Z484" s="79"/>
    </row>
    <row r="485" spans="1:26" ht="12.75" customHeight="1">
      <c r="A485" s="73"/>
      <c r="B485" s="73"/>
      <c r="C485" s="80"/>
      <c r="D485" s="79"/>
      <c r="E485" s="79"/>
      <c r="F485" s="81"/>
      <c r="G485" s="81"/>
      <c r="H485" s="79"/>
      <c r="I485" s="79"/>
      <c r="J485" s="79"/>
      <c r="K485" s="79"/>
      <c r="L485" s="79"/>
      <c r="M485" s="79"/>
      <c r="N485" s="79"/>
      <c r="O485" s="79"/>
      <c r="P485" s="79"/>
      <c r="Q485" s="79"/>
      <c r="R485" s="79"/>
      <c r="S485" s="79"/>
      <c r="T485" s="79"/>
      <c r="U485" s="79"/>
      <c r="V485" s="79"/>
      <c r="W485" s="79"/>
      <c r="X485" s="79"/>
      <c r="Y485" s="79"/>
      <c r="Z485" s="79"/>
    </row>
    <row r="486" spans="1:26" ht="12.75" customHeight="1">
      <c r="A486" s="73"/>
      <c r="B486" s="73"/>
      <c r="C486" s="80"/>
      <c r="D486" s="79"/>
      <c r="E486" s="79"/>
      <c r="F486" s="81"/>
      <c r="G486" s="81"/>
      <c r="H486" s="79"/>
      <c r="I486" s="79"/>
      <c r="J486" s="79"/>
      <c r="K486" s="79"/>
      <c r="L486" s="79"/>
      <c r="M486" s="79"/>
      <c r="N486" s="79"/>
      <c r="O486" s="79"/>
      <c r="P486" s="79"/>
      <c r="Q486" s="79"/>
      <c r="R486" s="79"/>
      <c r="S486" s="79"/>
      <c r="T486" s="79"/>
      <c r="U486" s="79"/>
      <c r="V486" s="79"/>
      <c r="W486" s="79"/>
      <c r="X486" s="79"/>
      <c r="Y486" s="79"/>
      <c r="Z486" s="79"/>
    </row>
    <row r="487" spans="1:26" ht="12.75" customHeight="1">
      <c r="A487" s="73"/>
      <c r="B487" s="73"/>
      <c r="C487" s="80"/>
      <c r="D487" s="79"/>
      <c r="E487" s="79"/>
      <c r="F487" s="81"/>
      <c r="G487" s="81"/>
      <c r="H487" s="79"/>
      <c r="I487" s="79"/>
      <c r="J487" s="79"/>
      <c r="K487" s="79"/>
      <c r="L487" s="79"/>
      <c r="M487" s="79"/>
      <c r="N487" s="79"/>
      <c r="O487" s="79"/>
      <c r="P487" s="79"/>
      <c r="Q487" s="79"/>
      <c r="R487" s="79"/>
      <c r="S487" s="79"/>
      <c r="T487" s="79"/>
      <c r="U487" s="79"/>
      <c r="V487" s="79"/>
      <c r="W487" s="79"/>
      <c r="X487" s="79"/>
      <c r="Y487" s="79"/>
      <c r="Z487" s="79"/>
    </row>
    <row r="488" spans="1:26" ht="12.75" customHeight="1">
      <c r="A488" s="73"/>
      <c r="B488" s="73"/>
      <c r="C488" s="80"/>
      <c r="D488" s="79"/>
      <c r="E488" s="79"/>
      <c r="F488" s="81"/>
      <c r="G488" s="81"/>
      <c r="H488" s="79"/>
      <c r="I488" s="79"/>
      <c r="J488" s="79"/>
      <c r="K488" s="79"/>
      <c r="L488" s="79"/>
      <c r="M488" s="79"/>
      <c r="N488" s="79"/>
      <c r="O488" s="79"/>
      <c r="P488" s="79"/>
      <c r="Q488" s="79"/>
      <c r="R488" s="79"/>
      <c r="S488" s="79"/>
      <c r="T488" s="79"/>
      <c r="U488" s="79"/>
      <c r="V488" s="79"/>
      <c r="W488" s="79"/>
      <c r="X488" s="79"/>
      <c r="Y488" s="79"/>
      <c r="Z488" s="79"/>
    </row>
    <row r="489" spans="1:26" ht="12.75" customHeight="1">
      <c r="A489" s="73"/>
      <c r="B489" s="73"/>
      <c r="C489" s="80"/>
      <c r="D489" s="79"/>
      <c r="E489" s="79"/>
      <c r="F489" s="81"/>
      <c r="G489" s="81"/>
      <c r="H489" s="79"/>
      <c r="I489" s="79"/>
      <c r="J489" s="79"/>
      <c r="K489" s="79"/>
      <c r="L489" s="79"/>
      <c r="M489" s="79"/>
      <c r="N489" s="79"/>
      <c r="O489" s="79"/>
      <c r="P489" s="79"/>
      <c r="Q489" s="79"/>
      <c r="R489" s="79"/>
      <c r="S489" s="79"/>
      <c r="T489" s="79"/>
      <c r="U489" s="79"/>
      <c r="V489" s="79"/>
      <c r="W489" s="79"/>
      <c r="X489" s="79"/>
      <c r="Y489" s="79"/>
      <c r="Z489" s="79"/>
    </row>
    <row r="490" spans="1:26" ht="12.75" customHeight="1">
      <c r="A490" s="73"/>
      <c r="B490" s="73"/>
      <c r="C490" s="80"/>
      <c r="D490" s="79"/>
      <c r="E490" s="79"/>
      <c r="F490" s="81"/>
      <c r="G490" s="81"/>
      <c r="H490" s="79"/>
      <c r="I490" s="79"/>
      <c r="J490" s="79"/>
      <c r="K490" s="79"/>
      <c r="L490" s="79"/>
      <c r="M490" s="79"/>
      <c r="N490" s="79"/>
      <c r="O490" s="79"/>
      <c r="P490" s="79"/>
      <c r="Q490" s="79"/>
      <c r="R490" s="79"/>
      <c r="S490" s="79"/>
      <c r="T490" s="79"/>
      <c r="U490" s="79"/>
      <c r="V490" s="79"/>
      <c r="W490" s="79"/>
      <c r="X490" s="79"/>
      <c r="Y490" s="79"/>
      <c r="Z490" s="79"/>
    </row>
    <row r="491" spans="1:26" ht="12.75" customHeight="1">
      <c r="A491" s="73"/>
      <c r="B491" s="73"/>
      <c r="C491" s="80"/>
      <c r="D491" s="79"/>
      <c r="E491" s="79"/>
      <c r="F491" s="81"/>
      <c r="G491" s="81"/>
      <c r="H491" s="79"/>
      <c r="I491" s="79"/>
      <c r="J491" s="79"/>
      <c r="K491" s="79"/>
      <c r="L491" s="79"/>
      <c r="M491" s="79"/>
      <c r="N491" s="79"/>
      <c r="O491" s="79"/>
      <c r="P491" s="79"/>
      <c r="Q491" s="79"/>
      <c r="R491" s="79"/>
      <c r="S491" s="79"/>
      <c r="T491" s="79"/>
      <c r="U491" s="79"/>
      <c r="V491" s="79"/>
      <c r="W491" s="79"/>
      <c r="X491" s="79"/>
      <c r="Y491" s="79"/>
      <c r="Z491" s="79"/>
    </row>
    <row r="492" spans="1:26" ht="12.75" customHeight="1">
      <c r="A492" s="73"/>
      <c r="B492" s="73"/>
      <c r="C492" s="80"/>
      <c r="D492" s="79"/>
      <c r="E492" s="79"/>
      <c r="F492" s="81"/>
      <c r="G492" s="81"/>
      <c r="H492" s="79"/>
      <c r="I492" s="79"/>
      <c r="J492" s="79"/>
      <c r="K492" s="79"/>
      <c r="L492" s="79"/>
      <c r="M492" s="79"/>
      <c r="N492" s="79"/>
      <c r="O492" s="79"/>
      <c r="P492" s="79"/>
      <c r="Q492" s="79"/>
      <c r="R492" s="79"/>
      <c r="S492" s="79"/>
      <c r="T492" s="79"/>
      <c r="U492" s="79"/>
      <c r="V492" s="79"/>
      <c r="W492" s="79"/>
      <c r="X492" s="79"/>
      <c r="Y492" s="79"/>
      <c r="Z492" s="79"/>
    </row>
    <row r="493" spans="1:26" ht="12.75" customHeight="1">
      <c r="A493" s="73"/>
      <c r="B493" s="73"/>
      <c r="C493" s="80"/>
      <c r="D493" s="79"/>
      <c r="E493" s="79"/>
      <c r="F493" s="81"/>
      <c r="G493" s="81"/>
      <c r="H493" s="79"/>
      <c r="I493" s="79"/>
      <c r="J493" s="79"/>
      <c r="K493" s="79"/>
      <c r="L493" s="79"/>
      <c r="M493" s="79"/>
      <c r="N493" s="79"/>
      <c r="O493" s="79"/>
      <c r="P493" s="79"/>
      <c r="Q493" s="79"/>
      <c r="R493" s="79"/>
      <c r="S493" s="79"/>
      <c r="T493" s="79"/>
      <c r="U493" s="79"/>
      <c r="V493" s="79"/>
      <c r="W493" s="79"/>
      <c r="X493" s="79"/>
      <c r="Y493" s="79"/>
      <c r="Z493" s="79"/>
    </row>
    <row r="494" spans="1:26" ht="12.75" customHeight="1">
      <c r="A494" s="73"/>
      <c r="B494" s="73"/>
      <c r="C494" s="80"/>
      <c r="D494" s="79"/>
      <c r="E494" s="79"/>
      <c r="F494" s="81"/>
      <c r="G494" s="81"/>
      <c r="H494" s="79"/>
      <c r="I494" s="79"/>
      <c r="J494" s="79"/>
      <c r="K494" s="79"/>
      <c r="L494" s="79"/>
      <c r="M494" s="79"/>
      <c r="N494" s="79"/>
      <c r="O494" s="79"/>
      <c r="P494" s="79"/>
      <c r="Q494" s="79"/>
      <c r="R494" s="79"/>
      <c r="S494" s="79"/>
      <c r="T494" s="79"/>
      <c r="U494" s="79"/>
      <c r="V494" s="79"/>
      <c r="W494" s="79"/>
      <c r="X494" s="79"/>
      <c r="Y494" s="79"/>
      <c r="Z494" s="79"/>
    </row>
    <row r="495" spans="1:26" ht="12.75" customHeight="1">
      <c r="A495" s="73"/>
      <c r="B495" s="73"/>
      <c r="C495" s="80"/>
      <c r="D495" s="79"/>
      <c r="E495" s="79"/>
      <c r="F495" s="81"/>
      <c r="G495" s="81"/>
      <c r="H495" s="79"/>
      <c r="I495" s="79"/>
      <c r="J495" s="79"/>
      <c r="K495" s="79"/>
      <c r="L495" s="79"/>
      <c r="M495" s="79"/>
      <c r="N495" s="79"/>
      <c r="O495" s="79"/>
      <c r="P495" s="79"/>
      <c r="Q495" s="79"/>
      <c r="R495" s="79"/>
      <c r="S495" s="79"/>
      <c r="T495" s="79"/>
      <c r="U495" s="79"/>
      <c r="V495" s="79"/>
      <c r="W495" s="79"/>
      <c r="X495" s="79"/>
      <c r="Y495" s="79"/>
      <c r="Z495" s="79"/>
    </row>
    <row r="496" spans="1:26" ht="12.75" customHeight="1">
      <c r="A496" s="73"/>
      <c r="B496" s="73"/>
      <c r="C496" s="80"/>
      <c r="D496" s="79"/>
      <c r="E496" s="79"/>
      <c r="F496" s="81"/>
      <c r="G496" s="81"/>
      <c r="H496" s="79"/>
      <c r="I496" s="79"/>
      <c r="J496" s="79"/>
      <c r="K496" s="79"/>
      <c r="L496" s="79"/>
      <c r="M496" s="79"/>
      <c r="N496" s="79"/>
      <c r="O496" s="79"/>
      <c r="P496" s="79"/>
      <c r="Q496" s="79"/>
      <c r="R496" s="79"/>
      <c r="S496" s="79"/>
      <c r="T496" s="79"/>
      <c r="U496" s="79"/>
      <c r="V496" s="79"/>
      <c r="W496" s="79"/>
      <c r="X496" s="79"/>
      <c r="Y496" s="79"/>
      <c r="Z496" s="79"/>
    </row>
    <row r="497" spans="1:26" ht="12.75" customHeight="1">
      <c r="A497" s="73"/>
      <c r="B497" s="73"/>
      <c r="C497" s="80"/>
      <c r="D497" s="79"/>
      <c r="E497" s="79"/>
      <c r="F497" s="81"/>
      <c r="G497" s="81"/>
      <c r="H497" s="79"/>
      <c r="I497" s="79"/>
      <c r="J497" s="79"/>
      <c r="K497" s="79"/>
      <c r="L497" s="79"/>
      <c r="M497" s="79"/>
      <c r="N497" s="79"/>
      <c r="O497" s="79"/>
      <c r="P497" s="79"/>
      <c r="Q497" s="79"/>
      <c r="R497" s="79"/>
      <c r="S497" s="79"/>
      <c r="T497" s="79"/>
      <c r="U497" s="79"/>
      <c r="V497" s="79"/>
      <c r="W497" s="79"/>
      <c r="X497" s="79"/>
      <c r="Y497" s="79"/>
      <c r="Z497" s="79"/>
    </row>
    <row r="498" spans="1:26" ht="12.75" customHeight="1">
      <c r="A498" s="73"/>
      <c r="B498" s="73"/>
      <c r="C498" s="80"/>
      <c r="D498" s="79"/>
      <c r="E498" s="79"/>
      <c r="F498" s="81"/>
      <c r="G498" s="81"/>
      <c r="H498" s="79"/>
      <c r="I498" s="79"/>
      <c r="J498" s="79"/>
      <c r="K498" s="79"/>
      <c r="L498" s="79"/>
      <c r="M498" s="79"/>
      <c r="N498" s="79"/>
      <c r="O498" s="79"/>
      <c r="P498" s="79"/>
      <c r="Q498" s="79"/>
      <c r="R498" s="79"/>
      <c r="S498" s="79"/>
      <c r="T498" s="79"/>
      <c r="U498" s="79"/>
      <c r="V498" s="79"/>
      <c r="W498" s="79"/>
      <c r="X498" s="79"/>
      <c r="Y498" s="79"/>
      <c r="Z498" s="79"/>
    </row>
    <row r="499" spans="1:26" ht="12.75" customHeight="1">
      <c r="A499" s="73"/>
      <c r="B499" s="73"/>
      <c r="C499" s="80"/>
      <c r="D499" s="79"/>
      <c r="E499" s="79"/>
      <c r="F499" s="81"/>
      <c r="G499" s="81"/>
      <c r="H499" s="79"/>
      <c r="I499" s="79"/>
      <c r="J499" s="79"/>
      <c r="K499" s="79"/>
      <c r="L499" s="79"/>
      <c r="M499" s="79"/>
      <c r="N499" s="79"/>
      <c r="O499" s="79"/>
      <c r="P499" s="79"/>
      <c r="Q499" s="79"/>
      <c r="R499" s="79"/>
      <c r="S499" s="79"/>
      <c r="T499" s="79"/>
      <c r="U499" s="79"/>
      <c r="V499" s="79"/>
      <c r="W499" s="79"/>
      <c r="X499" s="79"/>
      <c r="Y499" s="79"/>
      <c r="Z499" s="79"/>
    </row>
    <row r="500" spans="1:26" ht="12.75" customHeight="1">
      <c r="A500" s="73"/>
      <c r="B500" s="73"/>
      <c r="C500" s="80"/>
      <c r="D500" s="79"/>
      <c r="E500" s="79"/>
      <c r="F500" s="81"/>
      <c r="G500" s="81"/>
      <c r="H500" s="79"/>
      <c r="I500" s="79"/>
      <c r="J500" s="79"/>
      <c r="K500" s="79"/>
      <c r="L500" s="79"/>
      <c r="M500" s="79"/>
      <c r="N500" s="79"/>
      <c r="O500" s="79"/>
      <c r="P500" s="79"/>
      <c r="Q500" s="79"/>
      <c r="R500" s="79"/>
      <c r="S500" s="79"/>
      <c r="T500" s="79"/>
      <c r="U500" s="79"/>
      <c r="V500" s="79"/>
      <c r="W500" s="79"/>
      <c r="X500" s="79"/>
      <c r="Y500" s="79"/>
      <c r="Z500" s="79"/>
    </row>
    <row r="501" spans="1:26" ht="12.75" customHeight="1">
      <c r="A501" s="73"/>
      <c r="B501" s="73"/>
      <c r="C501" s="80"/>
      <c r="D501" s="79"/>
      <c r="E501" s="79"/>
      <c r="F501" s="81"/>
      <c r="G501" s="81"/>
      <c r="H501" s="79"/>
      <c r="I501" s="79"/>
      <c r="J501" s="79"/>
      <c r="K501" s="79"/>
      <c r="L501" s="79"/>
      <c r="M501" s="79"/>
      <c r="N501" s="79"/>
      <c r="O501" s="79"/>
      <c r="P501" s="79"/>
      <c r="Q501" s="79"/>
      <c r="R501" s="79"/>
      <c r="S501" s="79"/>
      <c r="T501" s="79"/>
      <c r="U501" s="79"/>
      <c r="V501" s="79"/>
      <c r="W501" s="79"/>
      <c r="X501" s="79"/>
      <c r="Y501" s="79"/>
      <c r="Z501" s="79"/>
    </row>
    <row r="502" spans="1:26" ht="12.75" customHeight="1">
      <c r="A502" s="73"/>
      <c r="B502" s="73"/>
      <c r="C502" s="80"/>
      <c r="D502" s="79"/>
      <c r="E502" s="79"/>
      <c r="F502" s="81"/>
      <c r="G502" s="81"/>
      <c r="H502" s="79"/>
      <c r="I502" s="79"/>
      <c r="J502" s="79"/>
      <c r="K502" s="79"/>
      <c r="L502" s="79"/>
      <c r="M502" s="79"/>
      <c r="N502" s="79"/>
      <c r="O502" s="79"/>
      <c r="P502" s="79"/>
      <c r="Q502" s="79"/>
      <c r="R502" s="79"/>
      <c r="S502" s="79"/>
      <c r="T502" s="79"/>
      <c r="U502" s="79"/>
      <c r="V502" s="79"/>
      <c r="W502" s="79"/>
      <c r="X502" s="79"/>
      <c r="Y502" s="79"/>
      <c r="Z502" s="79"/>
    </row>
    <row r="503" spans="1:26" ht="12.75" customHeight="1">
      <c r="A503" s="73"/>
      <c r="B503" s="73"/>
      <c r="C503" s="80"/>
      <c r="D503" s="79"/>
      <c r="E503" s="79"/>
      <c r="F503" s="81"/>
      <c r="G503" s="81"/>
      <c r="H503" s="79"/>
      <c r="I503" s="79"/>
      <c r="J503" s="79"/>
      <c r="K503" s="79"/>
      <c r="L503" s="79"/>
      <c r="M503" s="79"/>
      <c r="N503" s="79"/>
      <c r="O503" s="79"/>
      <c r="P503" s="79"/>
      <c r="Q503" s="79"/>
      <c r="R503" s="79"/>
      <c r="S503" s="79"/>
      <c r="T503" s="79"/>
      <c r="U503" s="79"/>
      <c r="V503" s="79"/>
      <c r="W503" s="79"/>
      <c r="X503" s="79"/>
      <c r="Y503" s="79"/>
      <c r="Z503" s="79"/>
    </row>
    <row r="504" spans="1:26" ht="12.75" customHeight="1">
      <c r="A504" s="73"/>
      <c r="B504" s="73"/>
      <c r="C504" s="80"/>
      <c r="D504" s="79"/>
      <c r="E504" s="79"/>
      <c r="F504" s="81"/>
      <c r="G504" s="81"/>
      <c r="H504" s="79"/>
      <c r="I504" s="79"/>
      <c r="J504" s="79"/>
      <c r="K504" s="79"/>
      <c r="L504" s="79"/>
      <c r="M504" s="79"/>
      <c r="N504" s="79"/>
      <c r="O504" s="79"/>
      <c r="P504" s="79"/>
      <c r="Q504" s="79"/>
      <c r="R504" s="79"/>
      <c r="S504" s="79"/>
      <c r="T504" s="79"/>
      <c r="U504" s="79"/>
      <c r="V504" s="79"/>
      <c r="W504" s="79"/>
      <c r="X504" s="79"/>
      <c r="Y504" s="79"/>
      <c r="Z504" s="79"/>
    </row>
    <row r="505" spans="1:26" ht="12.75" customHeight="1">
      <c r="A505" s="73"/>
      <c r="B505" s="73"/>
      <c r="C505" s="80"/>
      <c r="D505" s="79"/>
      <c r="E505" s="79"/>
      <c r="F505" s="81"/>
      <c r="G505" s="81"/>
      <c r="H505" s="79"/>
      <c r="I505" s="79"/>
      <c r="J505" s="79"/>
      <c r="K505" s="79"/>
      <c r="L505" s="79"/>
      <c r="M505" s="79"/>
      <c r="N505" s="79"/>
      <c r="O505" s="79"/>
      <c r="P505" s="79"/>
      <c r="Q505" s="79"/>
      <c r="R505" s="79"/>
      <c r="S505" s="79"/>
      <c r="T505" s="79"/>
      <c r="U505" s="79"/>
      <c r="V505" s="79"/>
      <c r="W505" s="79"/>
      <c r="X505" s="79"/>
      <c r="Y505" s="79"/>
      <c r="Z505" s="79"/>
    </row>
    <row r="506" spans="1:26" ht="12.75" customHeight="1">
      <c r="A506" s="73"/>
      <c r="B506" s="73"/>
      <c r="C506" s="80"/>
      <c r="D506" s="79"/>
      <c r="E506" s="79"/>
      <c r="F506" s="81"/>
      <c r="G506" s="81"/>
      <c r="H506" s="79"/>
      <c r="I506" s="79"/>
      <c r="J506" s="79"/>
      <c r="K506" s="79"/>
      <c r="L506" s="79"/>
      <c r="M506" s="79"/>
      <c r="N506" s="79"/>
      <c r="O506" s="79"/>
      <c r="P506" s="79"/>
      <c r="Q506" s="79"/>
      <c r="R506" s="79"/>
      <c r="S506" s="79"/>
      <c r="T506" s="79"/>
      <c r="U506" s="79"/>
      <c r="V506" s="79"/>
      <c r="W506" s="79"/>
      <c r="X506" s="79"/>
      <c r="Y506" s="79"/>
      <c r="Z506" s="79"/>
    </row>
    <row r="507" spans="1:26" ht="12.75" customHeight="1">
      <c r="A507" s="73"/>
      <c r="B507" s="73"/>
      <c r="C507" s="80"/>
      <c r="D507" s="79"/>
      <c r="E507" s="79"/>
      <c r="F507" s="81"/>
      <c r="G507" s="81"/>
      <c r="H507" s="79"/>
      <c r="I507" s="79"/>
      <c r="J507" s="79"/>
      <c r="K507" s="79"/>
      <c r="L507" s="79"/>
      <c r="M507" s="79"/>
      <c r="N507" s="79"/>
      <c r="O507" s="79"/>
      <c r="P507" s="79"/>
      <c r="Q507" s="79"/>
      <c r="R507" s="79"/>
      <c r="S507" s="79"/>
      <c r="T507" s="79"/>
      <c r="U507" s="79"/>
      <c r="V507" s="79"/>
      <c r="W507" s="79"/>
      <c r="X507" s="79"/>
      <c r="Y507" s="79"/>
      <c r="Z507" s="79"/>
    </row>
    <row r="508" spans="1:26" ht="12.75" customHeight="1">
      <c r="A508" s="73"/>
      <c r="B508" s="73"/>
      <c r="C508" s="80"/>
      <c r="D508" s="79"/>
      <c r="E508" s="79"/>
      <c r="F508" s="81"/>
      <c r="G508" s="81"/>
      <c r="H508" s="79"/>
      <c r="I508" s="79"/>
      <c r="J508" s="79"/>
      <c r="K508" s="79"/>
      <c r="L508" s="79"/>
      <c r="M508" s="79"/>
      <c r="N508" s="79"/>
      <c r="O508" s="79"/>
      <c r="P508" s="79"/>
      <c r="Q508" s="79"/>
      <c r="R508" s="79"/>
      <c r="S508" s="79"/>
      <c r="T508" s="79"/>
      <c r="U508" s="79"/>
      <c r="V508" s="79"/>
      <c r="W508" s="79"/>
      <c r="X508" s="79"/>
      <c r="Y508" s="79"/>
      <c r="Z508" s="79"/>
    </row>
    <row r="509" spans="1:26" ht="12.75" customHeight="1">
      <c r="A509" s="73"/>
      <c r="B509" s="73"/>
      <c r="C509" s="80"/>
      <c r="D509" s="79"/>
      <c r="E509" s="79"/>
      <c r="F509" s="81"/>
      <c r="G509" s="81"/>
      <c r="H509" s="79"/>
      <c r="I509" s="79"/>
      <c r="J509" s="79"/>
      <c r="K509" s="79"/>
      <c r="L509" s="79"/>
      <c r="M509" s="79"/>
      <c r="N509" s="79"/>
      <c r="O509" s="79"/>
      <c r="P509" s="79"/>
      <c r="Q509" s="79"/>
      <c r="R509" s="79"/>
      <c r="S509" s="79"/>
      <c r="T509" s="79"/>
      <c r="U509" s="79"/>
      <c r="V509" s="79"/>
      <c r="W509" s="79"/>
      <c r="X509" s="79"/>
      <c r="Y509" s="79"/>
      <c r="Z509" s="79"/>
    </row>
    <row r="510" spans="1:26" ht="12.75" customHeight="1">
      <c r="A510" s="73"/>
      <c r="B510" s="73"/>
      <c r="C510" s="80"/>
      <c r="D510" s="79"/>
      <c r="E510" s="79"/>
      <c r="F510" s="81"/>
      <c r="G510" s="81"/>
      <c r="H510" s="79"/>
      <c r="I510" s="79"/>
      <c r="J510" s="79"/>
      <c r="K510" s="79"/>
      <c r="L510" s="79"/>
      <c r="M510" s="79"/>
      <c r="N510" s="79"/>
      <c r="O510" s="79"/>
      <c r="P510" s="79"/>
      <c r="Q510" s="79"/>
      <c r="R510" s="79"/>
      <c r="S510" s="79"/>
      <c r="T510" s="79"/>
      <c r="U510" s="79"/>
      <c r="V510" s="79"/>
      <c r="W510" s="79"/>
      <c r="X510" s="79"/>
      <c r="Y510" s="79"/>
      <c r="Z510" s="79"/>
    </row>
    <row r="511" spans="1:26" ht="12.75" customHeight="1">
      <c r="A511" s="73"/>
      <c r="B511" s="73"/>
      <c r="C511" s="80"/>
      <c r="D511" s="79"/>
      <c r="E511" s="79"/>
      <c r="F511" s="81"/>
      <c r="G511" s="81"/>
      <c r="H511" s="79"/>
      <c r="I511" s="79"/>
      <c r="J511" s="79"/>
      <c r="K511" s="79"/>
      <c r="L511" s="79"/>
      <c r="M511" s="79"/>
      <c r="N511" s="79"/>
      <c r="O511" s="79"/>
      <c r="P511" s="79"/>
      <c r="Q511" s="79"/>
      <c r="R511" s="79"/>
      <c r="S511" s="79"/>
      <c r="T511" s="79"/>
      <c r="U511" s="79"/>
      <c r="V511" s="79"/>
      <c r="W511" s="79"/>
      <c r="X511" s="79"/>
      <c r="Y511" s="79"/>
      <c r="Z511" s="79"/>
    </row>
    <row r="512" spans="1:26" ht="12.75" customHeight="1">
      <c r="A512" s="73"/>
      <c r="B512" s="73"/>
      <c r="C512" s="80"/>
      <c r="D512" s="79"/>
      <c r="E512" s="79"/>
      <c r="F512" s="81"/>
      <c r="G512" s="81"/>
      <c r="H512" s="79"/>
      <c r="I512" s="79"/>
      <c r="J512" s="79"/>
      <c r="K512" s="79"/>
      <c r="L512" s="79"/>
      <c r="M512" s="79"/>
      <c r="N512" s="79"/>
      <c r="O512" s="79"/>
      <c r="P512" s="79"/>
      <c r="Q512" s="79"/>
      <c r="R512" s="79"/>
      <c r="S512" s="79"/>
      <c r="T512" s="79"/>
      <c r="U512" s="79"/>
      <c r="V512" s="79"/>
      <c r="W512" s="79"/>
      <c r="X512" s="79"/>
      <c r="Y512" s="79"/>
      <c r="Z512" s="79"/>
    </row>
    <row r="513" spans="1:26" ht="12.75" customHeight="1">
      <c r="A513" s="73"/>
      <c r="B513" s="73"/>
      <c r="C513" s="80"/>
      <c r="D513" s="79"/>
      <c r="E513" s="79"/>
      <c r="F513" s="81"/>
      <c r="G513" s="81"/>
      <c r="H513" s="79"/>
      <c r="I513" s="79"/>
      <c r="J513" s="79"/>
      <c r="K513" s="79"/>
      <c r="L513" s="79"/>
      <c r="M513" s="79"/>
      <c r="N513" s="79"/>
      <c r="O513" s="79"/>
      <c r="P513" s="79"/>
      <c r="Q513" s="79"/>
      <c r="R513" s="79"/>
      <c r="S513" s="79"/>
      <c r="T513" s="79"/>
      <c r="U513" s="79"/>
      <c r="V513" s="79"/>
      <c r="W513" s="79"/>
      <c r="X513" s="79"/>
      <c r="Y513" s="79"/>
      <c r="Z513" s="79"/>
    </row>
    <row r="514" spans="1:26" ht="12.75" customHeight="1">
      <c r="A514" s="73"/>
      <c r="B514" s="73"/>
      <c r="C514" s="80"/>
      <c r="D514" s="79"/>
      <c r="E514" s="79"/>
      <c r="F514" s="81"/>
      <c r="G514" s="81"/>
      <c r="H514" s="79"/>
      <c r="I514" s="79"/>
      <c r="J514" s="79"/>
      <c r="K514" s="79"/>
      <c r="L514" s="79"/>
      <c r="M514" s="79"/>
      <c r="N514" s="79"/>
      <c r="O514" s="79"/>
      <c r="P514" s="79"/>
      <c r="Q514" s="79"/>
      <c r="R514" s="79"/>
      <c r="S514" s="79"/>
      <c r="T514" s="79"/>
      <c r="U514" s="79"/>
      <c r="V514" s="79"/>
      <c r="W514" s="79"/>
      <c r="X514" s="79"/>
      <c r="Y514" s="79"/>
      <c r="Z514" s="79"/>
    </row>
    <row r="515" spans="1:26" ht="12.75" customHeight="1">
      <c r="A515" s="73"/>
      <c r="B515" s="73"/>
      <c r="C515" s="80"/>
      <c r="D515" s="79"/>
      <c r="E515" s="79"/>
      <c r="F515" s="81"/>
      <c r="G515" s="81"/>
      <c r="H515" s="79"/>
      <c r="I515" s="79"/>
      <c r="J515" s="79"/>
      <c r="K515" s="79"/>
      <c r="L515" s="79"/>
      <c r="M515" s="79"/>
      <c r="N515" s="79"/>
      <c r="O515" s="79"/>
      <c r="P515" s="79"/>
      <c r="Q515" s="79"/>
      <c r="R515" s="79"/>
      <c r="S515" s="79"/>
      <c r="T515" s="79"/>
      <c r="U515" s="79"/>
      <c r="V515" s="79"/>
      <c r="W515" s="79"/>
      <c r="X515" s="79"/>
      <c r="Y515" s="79"/>
      <c r="Z515" s="79"/>
    </row>
    <row r="516" spans="1:26" ht="12.75" customHeight="1">
      <c r="A516" s="73"/>
      <c r="B516" s="73"/>
      <c r="C516" s="80"/>
      <c r="D516" s="79"/>
      <c r="E516" s="79"/>
      <c r="F516" s="81"/>
      <c r="G516" s="81"/>
      <c r="H516" s="79"/>
      <c r="I516" s="79"/>
      <c r="J516" s="79"/>
      <c r="K516" s="79"/>
      <c r="L516" s="79"/>
      <c r="M516" s="79"/>
      <c r="N516" s="79"/>
      <c r="O516" s="79"/>
      <c r="P516" s="79"/>
      <c r="Q516" s="79"/>
      <c r="R516" s="79"/>
      <c r="S516" s="79"/>
      <c r="T516" s="79"/>
      <c r="U516" s="79"/>
      <c r="V516" s="79"/>
      <c r="W516" s="79"/>
      <c r="X516" s="79"/>
      <c r="Y516" s="79"/>
      <c r="Z516" s="79"/>
    </row>
    <row r="517" spans="1:26" ht="12.75" customHeight="1">
      <c r="A517" s="73"/>
      <c r="B517" s="73"/>
      <c r="C517" s="80"/>
      <c r="D517" s="79"/>
      <c r="E517" s="79"/>
      <c r="F517" s="81"/>
      <c r="G517" s="81"/>
      <c r="H517" s="79"/>
      <c r="I517" s="79"/>
      <c r="J517" s="79"/>
      <c r="K517" s="79"/>
      <c r="L517" s="79"/>
      <c r="M517" s="79"/>
      <c r="N517" s="79"/>
      <c r="O517" s="79"/>
      <c r="P517" s="79"/>
      <c r="Q517" s="79"/>
      <c r="R517" s="79"/>
      <c r="S517" s="79"/>
      <c r="T517" s="79"/>
      <c r="U517" s="79"/>
      <c r="V517" s="79"/>
      <c r="W517" s="79"/>
      <c r="X517" s="79"/>
      <c r="Y517" s="79"/>
      <c r="Z517" s="79"/>
    </row>
    <row r="518" spans="1:26" ht="12.75" customHeight="1">
      <c r="A518" s="73"/>
      <c r="B518" s="73"/>
      <c r="C518" s="80"/>
      <c r="D518" s="79"/>
      <c r="E518" s="79"/>
      <c r="F518" s="81"/>
      <c r="G518" s="81"/>
      <c r="H518" s="79"/>
      <c r="I518" s="79"/>
      <c r="J518" s="79"/>
      <c r="K518" s="79"/>
      <c r="L518" s="79"/>
      <c r="M518" s="79"/>
      <c r="N518" s="79"/>
      <c r="O518" s="79"/>
      <c r="P518" s="79"/>
      <c r="Q518" s="79"/>
      <c r="R518" s="79"/>
      <c r="S518" s="79"/>
      <c r="T518" s="79"/>
      <c r="U518" s="79"/>
      <c r="V518" s="79"/>
      <c r="W518" s="79"/>
      <c r="X518" s="79"/>
      <c r="Y518" s="79"/>
      <c r="Z518" s="79"/>
    </row>
    <row r="519" spans="1:26" ht="12.75" customHeight="1">
      <c r="A519" s="73"/>
      <c r="B519" s="73"/>
      <c r="C519" s="80"/>
      <c r="D519" s="79"/>
      <c r="E519" s="79"/>
      <c r="F519" s="81"/>
      <c r="G519" s="81"/>
      <c r="H519" s="79"/>
      <c r="I519" s="79"/>
      <c r="J519" s="79"/>
      <c r="K519" s="79"/>
      <c r="L519" s="79"/>
      <c r="M519" s="79"/>
      <c r="N519" s="79"/>
      <c r="O519" s="79"/>
      <c r="P519" s="79"/>
      <c r="Q519" s="79"/>
      <c r="R519" s="79"/>
      <c r="S519" s="79"/>
      <c r="T519" s="79"/>
      <c r="U519" s="79"/>
      <c r="V519" s="79"/>
      <c r="W519" s="79"/>
      <c r="X519" s="79"/>
      <c r="Y519" s="79"/>
      <c r="Z519" s="79"/>
    </row>
    <row r="520" spans="1:26" ht="12.75" customHeight="1">
      <c r="A520" s="73"/>
      <c r="B520" s="73"/>
      <c r="C520" s="80"/>
      <c r="D520" s="79"/>
      <c r="E520" s="79"/>
      <c r="F520" s="81"/>
      <c r="G520" s="81"/>
      <c r="H520" s="79"/>
      <c r="I520" s="79"/>
      <c r="J520" s="79"/>
      <c r="K520" s="79"/>
      <c r="L520" s="79"/>
      <c r="M520" s="79"/>
      <c r="N520" s="79"/>
      <c r="O520" s="79"/>
      <c r="P520" s="79"/>
      <c r="Q520" s="79"/>
      <c r="R520" s="79"/>
      <c r="S520" s="79"/>
      <c r="T520" s="79"/>
      <c r="U520" s="79"/>
      <c r="V520" s="79"/>
      <c r="W520" s="79"/>
      <c r="X520" s="79"/>
      <c r="Y520" s="79"/>
      <c r="Z520" s="79"/>
    </row>
    <row r="521" spans="1:26" ht="12.75" customHeight="1">
      <c r="A521" s="73"/>
      <c r="B521" s="73"/>
      <c r="C521" s="80"/>
      <c r="D521" s="79"/>
      <c r="E521" s="79"/>
      <c r="F521" s="81"/>
      <c r="G521" s="81"/>
      <c r="H521" s="79"/>
      <c r="I521" s="79"/>
      <c r="J521" s="79"/>
      <c r="K521" s="79"/>
      <c r="L521" s="79"/>
      <c r="M521" s="79"/>
      <c r="N521" s="79"/>
      <c r="O521" s="79"/>
      <c r="P521" s="79"/>
      <c r="Q521" s="79"/>
      <c r="R521" s="79"/>
      <c r="S521" s="79"/>
      <c r="T521" s="79"/>
      <c r="U521" s="79"/>
      <c r="V521" s="79"/>
      <c r="W521" s="79"/>
      <c r="X521" s="79"/>
      <c r="Y521" s="79"/>
      <c r="Z521" s="79"/>
    </row>
    <row r="522" spans="1:26" ht="12.75" customHeight="1">
      <c r="A522" s="73"/>
      <c r="B522" s="73"/>
      <c r="C522" s="80"/>
      <c r="D522" s="79"/>
      <c r="E522" s="79"/>
      <c r="F522" s="81"/>
      <c r="G522" s="81"/>
      <c r="H522" s="79"/>
      <c r="I522" s="79"/>
      <c r="J522" s="79"/>
      <c r="K522" s="79"/>
      <c r="L522" s="79"/>
      <c r="M522" s="79"/>
      <c r="N522" s="79"/>
      <c r="O522" s="79"/>
      <c r="P522" s="79"/>
      <c r="Q522" s="79"/>
      <c r="R522" s="79"/>
      <c r="S522" s="79"/>
      <c r="T522" s="79"/>
      <c r="U522" s="79"/>
      <c r="V522" s="79"/>
      <c r="W522" s="79"/>
      <c r="X522" s="79"/>
      <c r="Y522" s="79"/>
      <c r="Z522" s="79"/>
    </row>
    <row r="523" spans="1:26" ht="12.75" customHeight="1">
      <c r="A523" s="73"/>
      <c r="B523" s="73"/>
      <c r="C523" s="80"/>
      <c r="D523" s="79"/>
      <c r="E523" s="79"/>
      <c r="F523" s="81"/>
      <c r="G523" s="81"/>
      <c r="H523" s="79"/>
      <c r="I523" s="79"/>
      <c r="J523" s="79"/>
      <c r="K523" s="79"/>
      <c r="L523" s="79"/>
      <c r="M523" s="79"/>
      <c r="N523" s="79"/>
      <c r="O523" s="79"/>
      <c r="P523" s="79"/>
      <c r="Q523" s="79"/>
      <c r="R523" s="79"/>
      <c r="S523" s="79"/>
      <c r="T523" s="79"/>
      <c r="U523" s="79"/>
      <c r="V523" s="79"/>
      <c r="W523" s="79"/>
      <c r="X523" s="79"/>
      <c r="Y523" s="79"/>
      <c r="Z523" s="79"/>
    </row>
    <row r="524" spans="1:26" ht="12.75" customHeight="1">
      <c r="A524" s="73"/>
      <c r="B524" s="73"/>
      <c r="C524" s="80"/>
      <c r="D524" s="79"/>
      <c r="E524" s="79"/>
      <c r="F524" s="81"/>
      <c r="G524" s="81"/>
      <c r="H524" s="79"/>
      <c r="I524" s="79"/>
      <c r="J524" s="79"/>
      <c r="K524" s="79"/>
      <c r="L524" s="79"/>
      <c r="M524" s="79"/>
      <c r="N524" s="79"/>
      <c r="O524" s="79"/>
      <c r="P524" s="79"/>
      <c r="Q524" s="79"/>
      <c r="R524" s="79"/>
      <c r="S524" s="79"/>
      <c r="T524" s="79"/>
      <c r="U524" s="79"/>
      <c r="V524" s="79"/>
      <c r="W524" s="79"/>
      <c r="X524" s="79"/>
      <c r="Y524" s="79"/>
      <c r="Z524" s="79"/>
    </row>
    <row r="525" spans="1:26" ht="12.75" customHeight="1">
      <c r="A525" s="73"/>
      <c r="B525" s="73"/>
      <c r="C525" s="80"/>
      <c r="D525" s="79"/>
      <c r="E525" s="79"/>
      <c r="F525" s="81"/>
      <c r="G525" s="81"/>
      <c r="H525" s="79"/>
      <c r="I525" s="79"/>
      <c r="J525" s="79"/>
      <c r="K525" s="79"/>
      <c r="L525" s="79"/>
      <c r="M525" s="79"/>
      <c r="N525" s="79"/>
      <c r="O525" s="79"/>
      <c r="P525" s="79"/>
      <c r="Q525" s="79"/>
      <c r="R525" s="79"/>
      <c r="S525" s="79"/>
      <c r="T525" s="79"/>
      <c r="U525" s="79"/>
      <c r="V525" s="79"/>
      <c r="W525" s="79"/>
      <c r="X525" s="79"/>
      <c r="Y525" s="79"/>
      <c r="Z525" s="79"/>
    </row>
    <row r="526" spans="1:26" ht="12.75" customHeight="1">
      <c r="A526" s="73"/>
      <c r="B526" s="73"/>
      <c r="C526" s="80"/>
      <c r="D526" s="79"/>
      <c r="E526" s="79"/>
      <c r="F526" s="81"/>
      <c r="G526" s="81"/>
      <c r="H526" s="79"/>
      <c r="I526" s="79"/>
      <c r="J526" s="79"/>
      <c r="K526" s="79"/>
      <c r="L526" s="79"/>
      <c r="M526" s="79"/>
      <c r="N526" s="79"/>
      <c r="O526" s="79"/>
      <c r="P526" s="79"/>
      <c r="Q526" s="79"/>
      <c r="R526" s="79"/>
      <c r="S526" s="79"/>
      <c r="T526" s="79"/>
      <c r="U526" s="79"/>
      <c r="V526" s="79"/>
      <c r="W526" s="79"/>
      <c r="X526" s="79"/>
      <c r="Y526" s="79"/>
      <c r="Z526" s="79"/>
    </row>
    <row r="527" spans="1:26" ht="12.75" customHeight="1">
      <c r="A527" s="73"/>
      <c r="B527" s="73"/>
      <c r="C527" s="80"/>
      <c r="D527" s="79"/>
      <c r="E527" s="79"/>
      <c r="F527" s="81"/>
      <c r="G527" s="81"/>
      <c r="H527" s="79"/>
      <c r="I527" s="79"/>
      <c r="J527" s="79"/>
      <c r="K527" s="79"/>
      <c r="L527" s="79"/>
      <c r="M527" s="79"/>
      <c r="N527" s="79"/>
      <c r="O527" s="79"/>
      <c r="P527" s="79"/>
      <c r="Q527" s="79"/>
      <c r="R527" s="79"/>
      <c r="S527" s="79"/>
      <c r="T527" s="79"/>
      <c r="U527" s="79"/>
      <c r="V527" s="79"/>
      <c r="W527" s="79"/>
      <c r="X527" s="79"/>
      <c r="Y527" s="79"/>
      <c r="Z527" s="79"/>
    </row>
    <row r="528" spans="1:26" ht="12.75" customHeight="1">
      <c r="A528" s="73"/>
      <c r="B528" s="73"/>
      <c r="C528" s="80"/>
      <c r="D528" s="79"/>
      <c r="E528" s="79"/>
      <c r="F528" s="81"/>
      <c r="G528" s="81"/>
      <c r="H528" s="79"/>
      <c r="I528" s="79"/>
      <c r="J528" s="79"/>
      <c r="K528" s="79"/>
      <c r="L528" s="79"/>
      <c r="M528" s="79"/>
      <c r="N528" s="79"/>
      <c r="O528" s="79"/>
      <c r="P528" s="79"/>
      <c r="Q528" s="79"/>
      <c r="R528" s="79"/>
      <c r="S528" s="79"/>
      <c r="T528" s="79"/>
      <c r="U528" s="79"/>
      <c r="V528" s="79"/>
      <c r="W528" s="79"/>
      <c r="X528" s="79"/>
      <c r="Y528" s="79"/>
      <c r="Z528" s="79"/>
    </row>
    <row r="529" spans="1:26" ht="12.75" customHeight="1">
      <c r="A529" s="73"/>
      <c r="B529" s="73"/>
      <c r="C529" s="80"/>
      <c r="D529" s="79"/>
      <c r="E529" s="79"/>
      <c r="F529" s="81"/>
      <c r="G529" s="81"/>
      <c r="H529" s="79"/>
      <c r="I529" s="79"/>
      <c r="J529" s="79"/>
      <c r="K529" s="79"/>
      <c r="L529" s="79"/>
      <c r="M529" s="79"/>
      <c r="N529" s="79"/>
      <c r="O529" s="79"/>
      <c r="P529" s="79"/>
      <c r="Q529" s="79"/>
      <c r="R529" s="79"/>
      <c r="S529" s="79"/>
      <c r="T529" s="79"/>
      <c r="U529" s="79"/>
      <c r="V529" s="79"/>
      <c r="W529" s="79"/>
      <c r="X529" s="79"/>
      <c r="Y529" s="79"/>
      <c r="Z529" s="79"/>
    </row>
    <row r="530" spans="1:26" ht="12.75" customHeight="1">
      <c r="A530" s="73"/>
      <c r="B530" s="73"/>
      <c r="C530" s="80"/>
      <c r="D530" s="79"/>
      <c r="E530" s="79"/>
      <c r="F530" s="81"/>
      <c r="G530" s="81"/>
      <c r="H530" s="79"/>
      <c r="I530" s="79"/>
      <c r="J530" s="79"/>
      <c r="K530" s="79"/>
      <c r="L530" s="79"/>
      <c r="M530" s="79"/>
      <c r="N530" s="79"/>
      <c r="O530" s="79"/>
      <c r="P530" s="79"/>
      <c r="Q530" s="79"/>
      <c r="R530" s="79"/>
      <c r="S530" s="79"/>
      <c r="T530" s="79"/>
      <c r="U530" s="79"/>
      <c r="V530" s="79"/>
      <c r="W530" s="79"/>
      <c r="X530" s="79"/>
      <c r="Y530" s="79"/>
      <c r="Z530" s="79"/>
    </row>
    <row r="531" spans="1:26" ht="12.75" customHeight="1">
      <c r="A531" s="73"/>
      <c r="B531" s="73"/>
      <c r="C531" s="80"/>
      <c r="D531" s="79"/>
      <c r="E531" s="79"/>
      <c r="F531" s="81"/>
      <c r="G531" s="81"/>
      <c r="H531" s="79"/>
      <c r="I531" s="79"/>
      <c r="J531" s="79"/>
      <c r="K531" s="79"/>
      <c r="L531" s="79"/>
      <c r="M531" s="79"/>
      <c r="N531" s="79"/>
      <c r="O531" s="79"/>
      <c r="P531" s="79"/>
      <c r="Q531" s="79"/>
      <c r="R531" s="79"/>
      <c r="S531" s="79"/>
      <c r="T531" s="79"/>
      <c r="U531" s="79"/>
      <c r="V531" s="79"/>
      <c r="W531" s="79"/>
      <c r="X531" s="79"/>
      <c r="Y531" s="79"/>
      <c r="Z531" s="79"/>
    </row>
    <row r="532" spans="1:26" ht="12.75" customHeight="1">
      <c r="A532" s="73"/>
      <c r="B532" s="73"/>
      <c r="C532" s="80"/>
      <c r="D532" s="79"/>
      <c r="E532" s="79"/>
      <c r="F532" s="81"/>
      <c r="G532" s="81"/>
      <c r="H532" s="79"/>
      <c r="I532" s="79"/>
      <c r="J532" s="79"/>
      <c r="K532" s="79"/>
      <c r="L532" s="79"/>
      <c r="M532" s="79"/>
      <c r="N532" s="79"/>
      <c r="O532" s="79"/>
      <c r="P532" s="79"/>
      <c r="Q532" s="79"/>
      <c r="R532" s="79"/>
      <c r="S532" s="79"/>
      <c r="T532" s="79"/>
      <c r="U532" s="79"/>
      <c r="V532" s="79"/>
      <c r="W532" s="79"/>
      <c r="X532" s="79"/>
      <c r="Y532" s="79"/>
      <c r="Z532" s="79"/>
    </row>
    <row r="533" spans="1:26" ht="12.75" customHeight="1">
      <c r="A533" s="73"/>
      <c r="B533" s="73"/>
      <c r="C533" s="80"/>
      <c r="D533" s="79"/>
      <c r="E533" s="79"/>
      <c r="F533" s="81"/>
      <c r="G533" s="81"/>
      <c r="H533" s="79"/>
      <c r="I533" s="79"/>
      <c r="J533" s="79"/>
      <c r="K533" s="79"/>
      <c r="L533" s="79"/>
      <c r="M533" s="79"/>
      <c r="N533" s="79"/>
      <c r="O533" s="79"/>
      <c r="P533" s="79"/>
      <c r="Q533" s="79"/>
      <c r="R533" s="79"/>
      <c r="S533" s="79"/>
      <c r="T533" s="79"/>
      <c r="U533" s="79"/>
      <c r="V533" s="79"/>
      <c r="W533" s="79"/>
      <c r="X533" s="79"/>
      <c r="Y533" s="79"/>
      <c r="Z533" s="79"/>
    </row>
    <row r="534" spans="1:26" ht="12.75" customHeight="1">
      <c r="A534" s="73"/>
      <c r="B534" s="73"/>
      <c r="C534" s="80"/>
      <c r="D534" s="79"/>
      <c r="E534" s="79"/>
      <c r="F534" s="81"/>
      <c r="G534" s="81"/>
      <c r="H534" s="79"/>
      <c r="I534" s="79"/>
      <c r="J534" s="79"/>
      <c r="K534" s="79"/>
      <c r="L534" s="79"/>
      <c r="M534" s="79"/>
      <c r="N534" s="79"/>
      <c r="O534" s="79"/>
      <c r="P534" s="79"/>
      <c r="Q534" s="79"/>
      <c r="R534" s="79"/>
      <c r="S534" s="79"/>
      <c r="T534" s="79"/>
      <c r="U534" s="79"/>
      <c r="V534" s="79"/>
      <c r="W534" s="79"/>
      <c r="X534" s="79"/>
      <c r="Y534" s="79"/>
      <c r="Z534" s="79"/>
    </row>
    <row r="535" spans="1:26" ht="12.75" customHeight="1">
      <c r="A535" s="73"/>
      <c r="B535" s="73"/>
      <c r="C535" s="80"/>
      <c r="D535" s="79"/>
      <c r="E535" s="79"/>
      <c r="F535" s="81"/>
      <c r="G535" s="81"/>
      <c r="H535" s="79"/>
      <c r="I535" s="79"/>
      <c r="J535" s="79"/>
      <c r="K535" s="79"/>
      <c r="L535" s="79"/>
      <c r="M535" s="79"/>
      <c r="N535" s="79"/>
      <c r="O535" s="79"/>
      <c r="P535" s="79"/>
      <c r="Q535" s="79"/>
      <c r="R535" s="79"/>
      <c r="S535" s="79"/>
      <c r="T535" s="79"/>
      <c r="U535" s="79"/>
      <c r="V535" s="79"/>
      <c r="W535" s="79"/>
      <c r="X535" s="79"/>
      <c r="Y535" s="79"/>
      <c r="Z535" s="79"/>
    </row>
    <row r="536" spans="1:26" ht="12.75" customHeight="1">
      <c r="A536" s="73"/>
      <c r="B536" s="73"/>
      <c r="C536" s="80"/>
      <c r="D536" s="79"/>
      <c r="E536" s="79"/>
      <c r="F536" s="81"/>
      <c r="G536" s="81"/>
      <c r="H536" s="79"/>
      <c r="I536" s="79"/>
      <c r="J536" s="79"/>
      <c r="K536" s="79"/>
      <c r="L536" s="79"/>
      <c r="M536" s="79"/>
      <c r="N536" s="79"/>
      <c r="O536" s="79"/>
      <c r="P536" s="79"/>
      <c r="Q536" s="79"/>
      <c r="R536" s="79"/>
      <c r="S536" s="79"/>
      <c r="T536" s="79"/>
      <c r="U536" s="79"/>
      <c r="V536" s="79"/>
      <c r="W536" s="79"/>
      <c r="X536" s="79"/>
      <c r="Y536" s="79"/>
      <c r="Z536" s="79"/>
    </row>
    <row r="537" spans="1:26" ht="12.75" customHeight="1">
      <c r="A537" s="73"/>
      <c r="B537" s="73"/>
      <c r="C537" s="80"/>
      <c r="D537" s="79"/>
      <c r="E537" s="79"/>
      <c r="F537" s="81"/>
      <c r="G537" s="81"/>
      <c r="H537" s="79"/>
      <c r="I537" s="79"/>
      <c r="J537" s="79"/>
      <c r="K537" s="79"/>
      <c r="L537" s="79"/>
      <c r="M537" s="79"/>
      <c r="N537" s="79"/>
      <c r="O537" s="79"/>
      <c r="P537" s="79"/>
      <c r="Q537" s="79"/>
      <c r="R537" s="79"/>
      <c r="S537" s="79"/>
      <c r="T537" s="79"/>
      <c r="U537" s="79"/>
      <c r="V537" s="79"/>
      <c r="W537" s="79"/>
      <c r="X537" s="79"/>
      <c r="Y537" s="79"/>
      <c r="Z537" s="79"/>
    </row>
    <row r="538" spans="1:26" ht="12.75" customHeight="1">
      <c r="A538" s="73"/>
      <c r="B538" s="73"/>
      <c r="C538" s="80"/>
      <c r="D538" s="79"/>
      <c r="E538" s="79"/>
      <c r="F538" s="81"/>
      <c r="G538" s="81"/>
      <c r="H538" s="79"/>
      <c r="I538" s="79"/>
      <c r="J538" s="79"/>
      <c r="K538" s="79"/>
      <c r="L538" s="79"/>
      <c r="M538" s="79"/>
      <c r="N538" s="79"/>
      <c r="O538" s="79"/>
      <c r="P538" s="79"/>
      <c r="Q538" s="79"/>
      <c r="R538" s="79"/>
      <c r="S538" s="79"/>
      <c r="T538" s="79"/>
      <c r="U538" s="79"/>
      <c r="V538" s="79"/>
      <c r="W538" s="79"/>
      <c r="X538" s="79"/>
      <c r="Y538" s="79"/>
      <c r="Z538" s="79"/>
    </row>
    <row r="539" spans="1:26" ht="12.75" customHeight="1">
      <c r="A539" s="73"/>
      <c r="B539" s="73"/>
      <c r="C539" s="80"/>
      <c r="D539" s="79"/>
      <c r="E539" s="79"/>
      <c r="F539" s="81"/>
      <c r="G539" s="81"/>
      <c r="H539" s="79"/>
      <c r="I539" s="79"/>
      <c r="J539" s="79"/>
      <c r="K539" s="79"/>
      <c r="L539" s="79"/>
      <c r="M539" s="79"/>
      <c r="N539" s="79"/>
      <c r="O539" s="79"/>
      <c r="P539" s="79"/>
      <c r="Q539" s="79"/>
      <c r="R539" s="79"/>
      <c r="S539" s="79"/>
      <c r="T539" s="79"/>
      <c r="U539" s="79"/>
      <c r="V539" s="79"/>
      <c r="W539" s="79"/>
      <c r="X539" s="79"/>
      <c r="Y539" s="79"/>
      <c r="Z539" s="79"/>
    </row>
    <row r="540" spans="1:26" ht="12.75" customHeight="1">
      <c r="A540" s="73"/>
      <c r="B540" s="73"/>
      <c r="C540" s="80"/>
      <c r="D540" s="79"/>
      <c r="E540" s="79"/>
      <c r="F540" s="81"/>
      <c r="G540" s="81"/>
      <c r="H540" s="79"/>
      <c r="I540" s="79"/>
      <c r="J540" s="79"/>
      <c r="K540" s="79"/>
      <c r="L540" s="79"/>
      <c r="M540" s="79"/>
      <c r="N540" s="79"/>
      <c r="O540" s="79"/>
      <c r="P540" s="79"/>
      <c r="Q540" s="79"/>
      <c r="R540" s="79"/>
      <c r="S540" s="79"/>
      <c r="T540" s="79"/>
      <c r="U540" s="79"/>
      <c r="V540" s="79"/>
      <c r="W540" s="79"/>
      <c r="X540" s="79"/>
      <c r="Y540" s="79"/>
      <c r="Z540" s="79"/>
    </row>
    <row r="541" spans="1:26" ht="12.75" customHeight="1">
      <c r="A541" s="73"/>
      <c r="B541" s="73"/>
      <c r="C541" s="80"/>
      <c r="D541" s="79"/>
      <c r="E541" s="79"/>
      <c r="F541" s="81"/>
      <c r="G541" s="81"/>
      <c r="H541" s="79"/>
      <c r="I541" s="79"/>
      <c r="J541" s="79"/>
      <c r="K541" s="79"/>
      <c r="L541" s="79"/>
      <c r="M541" s="79"/>
      <c r="N541" s="79"/>
      <c r="O541" s="79"/>
      <c r="P541" s="79"/>
      <c r="Q541" s="79"/>
      <c r="R541" s="79"/>
      <c r="S541" s="79"/>
      <c r="T541" s="79"/>
      <c r="U541" s="79"/>
      <c r="V541" s="79"/>
      <c r="W541" s="79"/>
      <c r="X541" s="79"/>
      <c r="Y541" s="79"/>
      <c r="Z541" s="79"/>
    </row>
    <row r="542" spans="1:26" ht="12.75" customHeight="1">
      <c r="A542" s="73"/>
      <c r="B542" s="73"/>
      <c r="C542" s="80"/>
      <c r="D542" s="79"/>
      <c r="E542" s="79"/>
      <c r="F542" s="81"/>
      <c r="G542" s="81"/>
      <c r="H542" s="79"/>
      <c r="I542" s="79"/>
      <c r="J542" s="79"/>
      <c r="K542" s="79"/>
      <c r="L542" s="79"/>
      <c r="M542" s="79"/>
      <c r="N542" s="79"/>
      <c r="O542" s="79"/>
      <c r="P542" s="79"/>
      <c r="Q542" s="79"/>
      <c r="R542" s="79"/>
      <c r="S542" s="79"/>
      <c r="T542" s="79"/>
      <c r="U542" s="79"/>
      <c r="V542" s="79"/>
      <c r="W542" s="79"/>
      <c r="X542" s="79"/>
      <c r="Y542" s="79"/>
      <c r="Z542" s="79"/>
    </row>
    <row r="543" spans="1:26" ht="12.75" customHeight="1">
      <c r="A543" s="73"/>
      <c r="B543" s="73"/>
      <c r="C543" s="80"/>
      <c r="D543" s="79"/>
      <c r="E543" s="79"/>
      <c r="F543" s="81"/>
      <c r="G543" s="81"/>
      <c r="H543" s="79"/>
      <c r="I543" s="79"/>
      <c r="J543" s="79"/>
      <c r="K543" s="79"/>
      <c r="L543" s="79"/>
      <c r="M543" s="79"/>
      <c r="N543" s="79"/>
      <c r="O543" s="79"/>
      <c r="P543" s="79"/>
      <c r="Q543" s="79"/>
      <c r="R543" s="79"/>
      <c r="S543" s="79"/>
      <c r="T543" s="79"/>
      <c r="U543" s="79"/>
      <c r="V543" s="79"/>
      <c r="W543" s="79"/>
      <c r="X543" s="79"/>
      <c r="Y543" s="79"/>
      <c r="Z543" s="79"/>
    </row>
    <row r="544" spans="1:26" ht="12.75" customHeight="1">
      <c r="A544" s="73"/>
      <c r="B544" s="73"/>
      <c r="C544" s="80"/>
      <c r="D544" s="79"/>
      <c r="E544" s="79"/>
      <c r="F544" s="81"/>
      <c r="G544" s="81"/>
      <c r="H544" s="79"/>
      <c r="I544" s="79"/>
      <c r="J544" s="79"/>
      <c r="K544" s="79"/>
      <c r="L544" s="79"/>
      <c r="M544" s="79"/>
      <c r="N544" s="79"/>
      <c r="O544" s="79"/>
      <c r="P544" s="79"/>
      <c r="Q544" s="79"/>
      <c r="R544" s="79"/>
      <c r="S544" s="79"/>
      <c r="T544" s="79"/>
      <c r="U544" s="79"/>
      <c r="V544" s="79"/>
      <c r="W544" s="79"/>
      <c r="X544" s="79"/>
      <c r="Y544" s="79"/>
      <c r="Z544" s="79"/>
    </row>
    <row r="545" spans="1:26" ht="12.75" customHeight="1">
      <c r="A545" s="73"/>
      <c r="B545" s="73"/>
      <c r="C545" s="80"/>
      <c r="D545" s="79"/>
      <c r="E545" s="79"/>
      <c r="F545" s="81"/>
      <c r="G545" s="81"/>
      <c r="H545" s="79"/>
      <c r="I545" s="79"/>
      <c r="J545" s="79"/>
      <c r="K545" s="79"/>
      <c r="L545" s="79"/>
      <c r="M545" s="79"/>
      <c r="N545" s="79"/>
      <c r="O545" s="79"/>
      <c r="P545" s="79"/>
      <c r="Q545" s="79"/>
      <c r="R545" s="79"/>
      <c r="S545" s="79"/>
      <c r="T545" s="79"/>
      <c r="U545" s="79"/>
      <c r="V545" s="79"/>
      <c r="W545" s="79"/>
      <c r="X545" s="79"/>
      <c r="Y545" s="79"/>
      <c r="Z545" s="79"/>
    </row>
    <row r="546" spans="1:26" ht="12.75" customHeight="1">
      <c r="A546" s="73"/>
      <c r="B546" s="73"/>
      <c r="C546" s="80"/>
      <c r="D546" s="79"/>
      <c r="E546" s="79"/>
      <c r="F546" s="81"/>
      <c r="G546" s="81"/>
      <c r="H546" s="79"/>
      <c r="I546" s="79"/>
      <c r="J546" s="79"/>
      <c r="K546" s="79"/>
      <c r="L546" s="79"/>
      <c r="M546" s="79"/>
      <c r="N546" s="79"/>
      <c r="O546" s="79"/>
      <c r="P546" s="79"/>
      <c r="Q546" s="79"/>
      <c r="R546" s="79"/>
      <c r="S546" s="79"/>
      <c r="T546" s="79"/>
      <c r="U546" s="79"/>
      <c r="V546" s="79"/>
      <c r="W546" s="79"/>
      <c r="X546" s="79"/>
      <c r="Y546" s="79"/>
      <c r="Z546" s="79"/>
    </row>
    <row r="547" spans="1:26" ht="12.75" customHeight="1">
      <c r="A547" s="73"/>
      <c r="B547" s="73"/>
      <c r="C547" s="80"/>
      <c r="D547" s="79"/>
      <c r="E547" s="79"/>
      <c r="F547" s="81"/>
      <c r="G547" s="81"/>
      <c r="H547" s="79"/>
      <c r="I547" s="79"/>
      <c r="J547" s="79"/>
      <c r="K547" s="79"/>
      <c r="L547" s="79"/>
      <c r="M547" s="79"/>
      <c r="N547" s="79"/>
      <c r="O547" s="79"/>
      <c r="P547" s="79"/>
      <c r="Q547" s="79"/>
      <c r="R547" s="79"/>
      <c r="S547" s="79"/>
      <c r="T547" s="79"/>
      <c r="U547" s="79"/>
      <c r="V547" s="79"/>
      <c r="W547" s="79"/>
      <c r="X547" s="79"/>
      <c r="Y547" s="79"/>
      <c r="Z547" s="79"/>
    </row>
    <row r="548" spans="1:26" ht="12.75" customHeight="1">
      <c r="A548" s="73"/>
      <c r="B548" s="73"/>
      <c r="C548" s="80"/>
      <c r="D548" s="79"/>
      <c r="E548" s="79"/>
      <c r="F548" s="81"/>
      <c r="G548" s="81"/>
      <c r="H548" s="79"/>
      <c r="I548" s="79"/>
      <c r="J548" s="79"/>
      <c r="K548" s="79"/>
      <c r="L548" s="79"/>
      <c r="M548" s="79"/>
      <c r="N548" s="79"/>
      <c r="O548" s="79"/>
      <c r="P548" s="79"/>
      <c r="Q548" s="79"/>
      <c r="R548" s="79"/>
      <c r="S548" s="79"/>
      <c r="T548" s="79"/>
      <c r="U548" s="79"/>
      <c r="V548" s="79"/>
      <c r="W548" s="79"/>
      <c r="X548" s="79"/>
      <c r="Y548" s="79"/>
      <c r="Z548" s="79"/>
    </row>
    <row r="549" spans="1:26" ht="12.75" customHeight="1">
      <c r="A549" s="73"/>
      <c r="B549" s="73"/>
      <c r="C549" s="80"/>
      <c r="D549" s="79"/>
      <c r="E549" s="79"/>
      <c r="F549" s="81"/>
      <c r="G549" s="81"/>
      <c r="H549" s="79"/>
      <c r="I549" s="79"/>
      <c r="J549" s="79"/>
      <c r="K549" s="79"/>
      <c r="L549" s="79"/>
      <c r="M549" s="79"/>
      <c r="N549" s="79"/>
      <c r="O549" s="79"/>
      <c r="P549" s="79"/>
      <c r="Q549" s="79"/>
      <c r="R549" s="79"/>
      <c r="S549" s="79"/>
      <c r="T549" s="79"/>
      <c r="U549" s="79"/>
      <c r="V549" s="79"/>
      <c r="W549" s="79"/>
      <c r="X549" s="79"/>
      <c r="Y549" s="79"/>
      <c r="Z549" s="79"/>
    </row>
    <row r="550" spans="1:26" ht="12.75" customHeight="1">
      <c r="A550" s="73"/>
      <c r="B550" s="73"/>
      <c r="C550" s="80"/>
      <c r="D550" s="79"/>
      <c r="E550" s="79"/>
      <c r="F550" s="81"/>
      <c r="G550" s="81"/>
      <c r="H550" s="79"/>
      <c r="I550" s="79"/>
      <c r="J550" s="79"/>
      <c r="K550" s="79"/>
      <c r="L550" s="79"/>
      <c r="M550" s="79"/>
      <c r="N550" s="79"/>
      <c r="O550" s="79"/>
      <c r="P550" s="79"/>
      <c r="Q550" s="79"/>
      <c r="R550" s="79"/>
      <c r="S550" s="79"/>
      <c r="T550" s="79"/>
      <c r="U550" s="79"/>
      <c r="V550" s="79"/>
      <c r="W550" s="79"/>
      <c r="X550" s="79"/>
      <c r="Y550" s="79"/>
      <c r="Z550" s="79"/>
    </row>
    <row r="551" spans="1:26" ht="12.75" customHeight="1">
      <c r="A551" s="73"/>
      <c r="B551" s="73"/>
      <c r="C551" s="80"/>
      <c r="D551" s="79"/>
      <c r="E551" s="79"/>
      <c r="F551" s="81"/>
      <c r="G551" s="81"/>
      <c r="H551" s="79"/>
      <c r="I551" s="79"/>
      <c r="J551" s="79"/>
      <c r="K551" s="79"/>
      <c r="L551" s="79"/>
      <c r="M551" s="79"/>
      <c r="N551" s="79"/>
      <c r="O551" s="79"/>
      <c r="P551" s="79"/>
      <c r="Q551" s="79"/>
      <c r="R551" s="79"/>
      <c r="S551" s="79"/>
      <c r="T551" s="79"/>
      <c r="U551" s="79"/>
      <c r="V551" s="79"/>
      <c r="W551" s="79"/>
      <c r="X551" s="79"/>
      <c r="Y551" s="79"/>
      <c r="Z551" s="79"/>
    </row>
    <row r="552" spans="1:26" ht="12.75" customHeight="1">
      <c r="A552" s="73"/>
      <c r="B552" s="73"/>
      <c r="C552" s="80"/>
      <c r="D552" s="79"/>
      <c r="E552" s="79"/>
      <c r="F552" s="81"/>
      <c r="G552" s="81"/>
      <c r="H552" s="79"/>
      <c r="I552" s="79"/>
      <c r="J552" s="79"/>
      <c r="K552" s="79"/>
      <c r="L552" s="79"/>
      <c r="M552" s="79"/>
      <c r="N552" s="79"/>
      <c r="O552" s="79"/>
      <c r="P552" s="79"/>
      <c r="Q552" s="79"/>
      <c r="R552" s="79"/>
      <c r="S552" s="79"/>
      <c r="T552" s="79"/>
      <c r="U552" s="79"/>
      <c r="V552" s="79"/>
      <c r="W552" s="79"/>
      <c r="X552" s="79"/>
      <c r="Y552" s="79"/>
      <c r="Z552" s="79"/>
    </row>
    <row r="553" spans="1:26" ht="12.75" customHeight="1">
      <c r="A553" s="73"/>
      <c r="B553" s="73"/>
      <c r="C553" s="80"/>
      <c r="D553" s="79"/>
      <c r="E553" s="79"/>
      <c r="F553" s="81"/>
      <c r="G553" s="81"/>
      <c r="H553" s="79"/>
      <c r="I553" s="79"/>
      <c r="J553" s="79"/>
      <c r="K553" s="79"/>
      <c r="L553" s="79"/>
      <c r="M553" s="79"/>
      <c r="N553" s="79"/>
      <c r="O553" s="79"/>
      <c r="P553" s="79"/>
      <c r="Q553" s="79"/>
      <c r="R553" s="79"/>
      <c r="S553" s="79"/>
      <c r="T553" s="79"/>
      <c r="U553" s="79"/>
      <c r="V553" s="79"/>
      <c r="W553" s="79"/>
      <c r="X553" s="79"/>
      <c r="Y553" s="79"/>
      <c r="Z553" s="79"/>
    </row>
    <row r="554" spans="1:26" ht="12.75" customHeight="1">
      <c r="A554" s="73"/>
      <c r="B554" s="73"/>
      <c r="C554" s="80"/>
      <c r="D554" s="79"/>
      <c r="E554" s="79"/>
      <c r="F554" s="81"/>
      <c r="G554" s="81"/>
      <c r="H554" s="79"/>
      <c r="I554" s="79"/>
      <c r="J554" s="79"/>
      <c r="K554" s="79"/>
      <c r="L554" s="79"/>
      <c r="M554" s="79"/>
      <c r="N554" s="79"/>
      <c r="O554" s="79"/>
      <c r="P554" s="79"/>
      <c r="Q554" s="79"/>
      <c r="R554" s="79"/>
      <c r="S554" s="79"/>
      <c r="T554" s="79"/>
      <c r="U554" s="79"/>
      <c r="V554" s="79"/>
      <c r="W554" s="79"/>
      <c r="X554" s="79"/>
      <c r="Y554" s="79"/>
      <c r="Z554" s="79"/>
    </row>
    <row r="555" spans="1:26" ht="12.75" customHeight="1">
      <c r="A555" s="73"/>
      <c r="B555" s="73"/>
      <c r="C555" s="80"/>
      <c r="D555" s="79"/>
      <c r="E555" s="79"/>
      <c r="F555" s="81"/>
      <c r="G555" s="81"/>
      <c r="H555" s="79"/>
      <c r="I555" s="79"/>
      <c r="J555" s="79"/>
      <c r="K555" s="79"/>
      <c r="L555" s="79"/>
      <c r="M555" s="79"/>
      <c r="N555" s="79"/>
      <c r="O555" s="79"/>
      <c r="P555" s="79"/>
      <c r="Q555" s="79"/>
      <c r="R555" s="79"/>
      <c r="S555" s="79"/>
      <c r="T555" s="79"/>
      <c r="U555" s="79"/>
      <c r="V555" s="79"/>
      <c r="W555" s="79"/>
      <c r="X555" s="79"/>
      <c r="Y555" s="79"/>
      <c r="Z555" s="79"/>
    </row>
    <row r="556" spans="1:26" ht="12.75" customHeight="1">
      <c r="A556" s="73"/>
      <c r="B556" s="73"/>
      <c r="C556" s="80"/>
      <c r="D556" s="79"/>
      <c r="E556" s="79"/>
      <c r="F556" s="81"/>
      <c r="G556" s="81"/>
      <c r="H556" s="79"/>
      <c r="I556" s="79"/>
      <c r="J556" s="79"/>
      <c r="K556" s="79"/>
      <c r="L556" s="79"/>
      <c r="M556" s="79"/>
      <c r="N556" s="79"/>
      <c r="O556" s="79"/>
      <c r="P556" s="79"/>
      <c r="Q556" s="79"/>
      <c r="R556" s="79"/>
      <c r="S556" s="79"/>
      <c r="T556" s="79"/>
      <c r="U556" s="79"/>
      <c r="V556" s="79"/>
      <c r="W556" s="79"/>
      <c r="X556" s="79"/>
      <c r="Y556" s="79"/>
      <c r="Z556" s="79"/>
    </row>
    <row r="557" spans="1:26" ht="12.75" customHeight="1">
      <c r="A557" s="73"/>
      <c r="B557" s="73"/>
      <c r="C557" s="80"/>
      <c r="D557" s="79"/>
      <c r="E557" s="79"/>
      <c r="F557" s="81"/>
      <c r="G557" s="81"/>
      <c r="H557" s="79"/>
      <c r="I557" s="79"/>
      <c r="J557" s="79"/>
      <c r="K557" s="79"/>
      <c r="L557" s="79"/>
      <c r="M557" s="79"/>
      <c r="N557" s="79"/>
      <c r="O557" s="79"/>
      <c r="P557" s="79"/>
      <c r="Q557" s="79"/>
      <c r="R557" s="79"/>
      <c r="S557" s="79"/>
      <c r="T557" s="79"/>
      <c r="U557" s="79"/>
      <c r="V557" s="79"/>
      <c r="W557" s="79"/>
      <c r="X557" s="79"/>
      <c r="Y557" s="79"/>
      <c r="Z557" s="79"/>
    </row>
    <row r="558" spans="1:26" ht="12.75" customHeight="1">
      <c r="A558" s="73"/>
      <c r="B558" s="73"/>
      <c r="C558" s="80"/>
      <c r="D558" s="79"/>
      <c r="E558" s="79"/>
      <c r="F558" s="81"/>
      <c r="G558" s="81"/>
      <c r="H558" s="79"/>
      <c r="I558" s="79"/>
      <c r="J558" s="79"/>
      <c r="K558" s="79"/>
      <c r="L558" s="79"/>
      <c r="M558" s="79"/>
      <c r="N558" s="79"/>
      <c r="O558" s="79"/>
      <c r="P558" s="79"/>
      <c r="Q558" s="79"/>
      <c r="R558" s="79"/>
      <c r="S558" s="79"/>
      <c r="T558" s="79"/>
      <c r="U558" s="79"/>
      <c r="V558" s="79"/>
      <c r="W558" s="79"/>
      <c r="X558" s="79"/>
      <c r="Y558" s="79"/>
      <c r="Z558" s="79"/>
    </row>
    <row r="559" spans="1:26" ht="12.75" customHeight="1">
      <c r="A559" s="73"/>
      <c r="B559" s="73"/>
      <c r="C559" s="80"/>
      <c r="D559" s="79"/>
      <c r="E559" s="79"/>
      <c r="F559" s="81"/>
      <c r="G559" s="81"/>
      <c r="H559" s="79"/>
      <c r="I559" s="79"/>
      <c r="J559" s="79"/>
      <c r="K559" s="79"/>
      <c r="L559" s="79"/>
      <c r="M559" s="79"/>
      <c r="N559" s="79"/>
      <c r="O559" s="79"/>
      <c r="P559" s="79"/>
      <c r="Q559" s="79"/>
      <c r="R559" s="79"/>
      <c r="S559" s="79"/>
      <c r="T559" s="79"/>
      <c r="U559" s="79"/>
      <c r="V559" s="79"/>
      <c r="W559" s="79"/>
      <c r="X559" s="79"/>
      <c r="Y559" s="79"/>
      <c r="Z559" s="79"/>
    </row>
    <row r="560" spans="1:26" ht="12.75" customHeight="1">
      <c r="A560" s="73"/>
      <c r="B560" s="73"/>
      <c r="C560" s="80"/>
      <c r="D560" s="79"/>
      <c r="E560" s="79"/>
      <c r="F560" s="81"/>
      <c r="G560" s="81"/>
      <c r="H560" s="79"/>
      <c r="I560" s="79"/>
      <c r="J560" s="79"/>
      <c r="K560" s="79"/>
      <c r="L560" s="79"/>
      <c r="M560" s="79"/>
      <c r="N560" s="79"/>
      <c r="O560" s="79"/>
      <c r="P560" s="79"/>
      <c r="Q560" s="79"/>
      <c r="R560" s="79"/>
      <c r="S560" s="79"/>
      <c r="T560" s="79"/>
      <c r="U560" s="79"/>
      <c r="V560" s="79"/>
      <c r="W560" s="79"/>
      <c r="X560" s="79"/>
      <c r="Y560" s="79"/>
      <c r="Z560" s="79"/>
    </row>
    <row r="561" spans="1:26" ht="12.75" customHeight="1">
      <c r="A561" s="73"/>
      <c r="B561" s="73"/>
      <c r="C561" s="80"/>
      <c r="D561" s="79"/>
      <c r="E561" s="79"/>
      <c r="F561" s="81"/>
      <c r="G561" s="81"/>
      <c r="H561" s="79"/>
      <c r="I561" s="79"/>
      <c r="J561" s="79"/>
      <c r="K561" s="79"/>
      <c r="L561" s="79"/>
      <c r="M561" s="79"/>
      <c r="N561" s="79"/>
      <c r="O561" s="79"/>
      <c r="P561" s="79"/>
      <c r="Q561" s="79"/>
      <c r="R561" s="79"/>
      <c r="S561" s="79"/>
      <c r="T561" s="79"/>
      <c r="U561" s="79"/>
      <c r="V561" s="79"/>
      <c r="W561" s="79"/>
      <c r="X561" s="79"/>
      <c r="Y561" s="79"/>
      <c r="Z561" s="79"/>
    </row>
    <row r="562" spans="1:26" ht="12.75" customHeight="1">
      <c r="A562" s="73"/>
      <c r="B562" s="73"/>
      <c r="C562" s="80"/>
      <c r="D562" s="79"/>
      <c r="E562" s="79"/>
      <c r="F562" s="81"/>
      <c r="G562" s="81"/>
      <c r="H562" s="79"/>
      <c r="I562" s="79"/>
      <c r="J562" s="79"/>
      <c r="K562" s="79"/>
      <c r="L562" s="79"/>
      <c r="M562" s="79"/>
      <c r="N562" s="79"/>
      <c r="O562" s="79"/>
      <c r="P562" s="79"/>
      <c r="Q562" s="79"/>
      <c r="R562" s="79"/>
      <c r="S562" s="79"/>
      <c r="T562" s="79"/>
      <c r="U562" s="79"/>
      <c r="V562" s="79"/>
      <c r="W562" s="79"/>
      <c r="X562" s="79"/>
      <c r="Y562" s="79"/>
      <c r="Z562" s="79"/>
    </row>
    <row r="563" spans="1:26" ht="12.75" customHeight="1">
      <c r="A563" s="73"/>
      <c r="B563" s="73"/>
      <c r="C563" s="80"/>
      <c r="D563" s="79"/>
      <c r="E563" s="79"/>
      <c r="F563" s="81"/>
      <c r="G563" s="81"/>
      <c r="H563" s="79"/>
      <c r="I563" s="79"/>
      <c r="J563" s="79"/>
      <c r="K563" s="79"/>
      <c r="L563" s="79"/>
      <c r="M563" s="79"/>
      <c r="N563" s="79"/>
      <c r="O563" s="79"/>
      <c r="P563" s="79"/>
      <c r="Q563" s="79"/>
      <c r="R563" s="79"/>
      <c r="S563" s="79"/>
      <c r="T563" s="79"/>
      <c r="U563" s="79"/>
      <c r="V563" s="79"/>
      <c r="W563" s="79"/>
      <c r="X563" s="79"/>
      <c r="Y563" s="79"/>
      <c r="Z563" s="79"/>
    </row>
    <row r="564" spans="1:26" ht="12.75" customHeight="1">
      <c r="A564" s="73"/>
      <c r="B564" s="73"/>
      <c r="C564" s="80"/>
      <c r="D564" s="79"/>
      <c r="E564" s="79"/>
      <c r="F564" s="81"/>
      <c r="G564" s="81"/>
      <c r="H564" s="79"/>
      <c r="I564" s="79"/>
      <c r="J564" s="79"/>
      <c r="K564" s="79"/>
      <c r="L564" s="79"/>
      <c r="M564" s="79"/>
      <c r="N564" s="79"/>
      <c r="O564" s="79"/>
      <c r="P564" s="79"/>
      <c r="Q564" s="79"/>
      <c r="R564" s="79"/>
      <c r="S564" s="79"/>
      <c r="T564" s="79"/>
      <c r="U564" s="79"/>
      <c r="V564" s="79"/>
      <c r="W564" s="79"/>
      <c r="X564" s="79"/>
      <c r="Y564" s="79"/>
      <c r="Z564" s="79"/>
    </row>
    <row r="565" spans="1:26" ht="12.75" customHeight="1">
      <c r="A565" s="73"/>
      <c r="B565" s="73"/>
      <c r="C565" s="80"/>
      <c r="D565" s="79"/>
      <c r="E565" s="79"/>
      <c r="F565" s="81"/>
      <c r="G565" s="81"/>
      <c r="H565" s="79"/>
      <c r="I565" s="79"/>
      <c r="J565" s="79"/>
      <c r="K565" s="79"/>
      <c r="L565" s="79"/>
      <c r="M565" s="79"/>
      <c r="N565" s="79"/>
      <c r="O565" s="79"/>
      <c r="P565" s="79"/>
      <c r="Q565" s="79"/>
      <c r="R565" s="79"/>
      <c r="S565" s="79"/>
      <c r="T565" s="79"/>
      <c r="U565" s="79"/>
      <c r="V565" s="79"/>
      <c r="W565" s="79"/>
      <c r="X565" s="79"/>
      <c r="Y565" s="79"/>
      <c r="Z565" s="79"/>
    </row>
    <row r="566" spans="1:26" ht="12.75" customHeight="1">
      <c r="A566" s="73"/>
      <c r="B566" s="73"/>
      <c r="C566" s="80"/>
      <c r="D566" s="79"/>
      <c r="E566" s="79"/>
      <c r="F566" s="81"/>
      <c r="G566" s="81"/>
      <c r="H566" s="79"/>
      <c r="I566" s="79"/>
      <c r="J566" s="79"/>
      <c r="K566" s="79"/>
      <c r="L566" s="79"/>
      <c r="M566" s="79"/>
      <c r="N566" s="79"/>
      <c r="O566" s="79"/>
      <c r="P566" s="79"/>
      <c r="Q566" s="79"/>
      <c r="R566" s="79"/>
      <c r="S566" s="79"/>
      <c r="T566" s="79"/>
      <c r="U566" s="79"/>
      <c r="V566" s="79"/>
      <c r="W566" s="79"/>
      <c r="X566" s="79"/>
      <c r="Y566" s="79"/>
      <c r="Z566" s="79"/>
    </row>
    <row r="567" spans="1:26" ht="12.75" customHeight="1">
      <c r="A567" s="73"/>
      <c r="B567" s="73"/>
      <c r="C567" s="80"/>
      <c r="D567" s="79"/>
      <c r="E567" s="79"/>
      <c r="F567" s="81"/>
      <c r="G567" s="81"/>
      <c r="H567" s="79"/>
      <c r="I567" s="79"/>
      <c r="J567" s="79"/>
      <c r="K567" s="79"/>
      <c r="L567" s="79"/>
      <c r="M567" s="79"/>
      <c r="N567" s="79"/>
      <c r="O567" s="79"/>
      <c r="P567" s="79"/>
      <c r="Q567" s="79"/>
      <c r="R567" s="79"/>
      <c r="S567" s="79"/>
      <c r="T567" s="79"/>
      <c r="U567" s="79"/>
      <c r="V567" s="79"/>
      <c r="W567" s="79"/>
      <c r="X567" s="79"/>
      <c r="Y567" s="79"/>
      <c r="Z567" s="79"/>
    </row>
    <row r="568" spans="1:26" ht="12.75" customHeight="1">
      <c r="A568" s="73"/>
      <c r="B568" s="73"/>
      <c r="C568" s="80"/>
      <c r="D568" s="79"/>
      <c r="E568" s="79"/>
      <c r="F568" s="81"/>
      <c r="G568" s="81"/>
      <c r="H568" s="79"/>
      <c r="I568" s="79"/>
      <c r="J568" s="79"/>
      <c r="K568" s="79"/>
      <c r="L568" s="79"/>
      <c r="M568" s="79"/>
      <c r="N568" s="79"/>
      <c r="O568" s="79"/>
      <c r="P568" s="79"/>
      <c r="Q568" s="79"/>
      <c r="R568" s="79"/>
      <c r="S568" s="79"/>
      <c r="T568" s="79"/>
      <c r="U568" s="79"/>
      <c r="V568" s="79"/>
      <c r="W568" s="79"/>
      <c r="X568" s="79"/>
      <c r="Y568" s="79"/>
      <c r="Z568" s="79"/>
    </row>
    <row r="569" spans="1:26" ht="12.75" customHeight="1">
      <c r="A569" s="73"/>
      <c r="B569" s="73"/>
      <c r="C569" s="80"/>
      <c r="D569" s="79"/>
      <c r="E569" s="79"/>
      <c r="F569" s="81"/>
      <c r="G569" s="81"/>
      <c r="H569" s="79"/>
      <c r="I569" s="79"/>
      <c r="J569" s="79"/>
      <c r="K569" s="79"/>
      <c r="L569" s="79"/>
      <c r="M569" s="79"/>
      <c r="N569" s="79"/>
      <c r="O569" s="79"/>
      <c r="P569" s="79"/>
      <c r="Q569" s="79"/>
      <c r="R569" s="79"/>
      <c r="S569" s="79"/>
      <c r="T569" s="79"/>
      <c r="U569" s="79"/>
      <c r="V569" s="79"/>
      <c r="W569" s="79"/>
      <c r="X569" s="79"/>
      <c r="Y569" s="79"/>
      <c r="Z569" s="79"/>
    </row>
    <row r="570" spans="1:26" ht="12.75" customHeight="1">
      <c r="A570" s="73"/>
      <c r="B570" s="73"/>
      <c r="C570" s="80"/>
      <c r="D570" s="79"/>
      <c r="E570" s="79"/>
      <c r="F570" s="81"/>
      <c r="G570" s="81"/>
      <c r="H570" s="79"/>
      <c r="I570" s="79"/>
      <c r="J570" s="79"/>
      <c r="K570" s="79"/>
      <c r="L570" s="79"/>
      <c r="M570" s="79"/>
      <c r="N570" s="79"/>
      <c r="O570" s="79"/>
      <c r="P570" s="79"/>
      <c r="Q570" s="79"/>
      <c r="R570" s="79"/>
      <c r="S570" s="79"/>
      <c r="T570" s="79"/>
      <c r="U570" s="79"/>
      <c r="V570" s="79"/>
      <c r="W570" s="79"/>
      <c r="X570" s="79"/>
      <c r="Y570" s="79"/>
      <c r="Z570" s="79"/>
    </row>
    <row r="571" spans="1:26" ht="12.75" customHeight="1">
      <c r="A571" s="73"/>
      <c r="B571" s="73"/>
      <c r="C571" s="80"/>
      <c r="D571" s="79"/>
      <c r="E571" s="79"/>
      <c r="F571" s="81"/>
      <c r="G571" s="81"/>
      <c r="H571" s="79"/>
      <c r="I571" s="79"/>
      <c r="J571" s="79"/>
      <c r="K571" s="79"/>
      <c r="L571" s="79"/>
      <c r="M571" s="79"/>
      <c r="N571" s="79"/>
      <c r="O571" s="79"/>
      <c r="P571" s="79"/>
      <c r="Q571" s="79"/>
      <c r="R571" s="79"/>
      <c r="S571" s="79"/>
      <c r="T571" s="79"/>
      <c r="U571" s="79"/>
      <c r="V571" s="79"/>
      <c r="W571" s="79"/>
      <c r="X571" s="79"/>
      <c r="Y571" s="79"/>
      <c r="Z571" s="79"/>
    </row>
    <row r="572" spans="1:26" ht="12.75" customHeight="1">
      <c r="A572" s="73"/>
      <c r="B572" s="73"/>
      <c r="C572" s="80"/>
      <c r="D572" s="79"/>
      <c r="E572" s="79"/>
      <c r="F572" s="81"/>
      <c r="G572" s="81"/>
      <c r="H572" s="79"/>
      <c r="I572" s="79"/>
      <c r="J572" s="79"/>
      <c r="K572" s="79"/>
      <c r="L572" s="79"/>
      <c r="M572" s="79"/>
      <c r="N572" s="79"/>
      <c r="O572" s="79"/>
      <c r="P572" s="79"/>
      <c r="Q572" s="79"/>
      <c r="R572" s="79"/>
      <c r="S572" s="79"/>
      <c r="T572" s="79"/>
      <c r="U572" s="79"/>
      <c r="V572" s="79"/>
      <c r="W572" s="79"/>
      <c r="X572" s="79"/>
      <c r="Y572" s="79"/>
      <c r="Z572" s="79"/>
    </row>
    <row r="573" spans="1:26" ht="12.75" customHeight="1">
      <c r="A573" s="73"/>
      <c r="B573" s="73"/>
      <c r="C573" s="80"/>
      <c r="D573" s="79"/>
      <c r="E573" s="79"/>
      <c r="F573" s="81"/>
      <c r="G573" s="81"/>
      <c r="H573" s="79"/>
      <c r="I573" s="79"/>
      <c r="J573" s="79"/>
      <c r="K573" s="79"/>
      <c r="L573" s="79"/>
      <c r="M573" s="79"/>
      <c r="N573" s="79"/>
      <c r="O573" s="79"/>
      <c r="P573" s="79"/>
      <c r="Q573" s="79"/>
      <c r="R573" s="79"/>
      <c r="S573" s="79"/>
      <c r="T573" s="79"/>
      <c r="U573" s="79"/>
      <c r="V573" s="79"/>
      <c r="W573" s="79"/>
      <c r="X573" s="79"/>
      <c r="Y573" s="79"/>
      <c r="Z573" s="79"/>
    </row>
    <row r="574" spans="1:26" ht="12.75" customHeight="1">
      <c r="A574" s="73"/>
      <c r="B574" s="73"/>
      <c r="C574" s="80"/>
      <c r="D574" s="79"/>
      <c r="E574" s="79"/>
      <c r="F574" s="81"/>
      <c r="G574" s="81"/>
      <c r="H574" s="79"/>
      <c r="I574" s="79"/>
      <c r="J574" s="79"/>
      <c r="K574" s="79"/>
      <c r="L574" s="79"/>
      <c r="M574" s="79"/>
      <c r="N574" s="79"/>
      <c r="O574" s="79"/>
      <c r="P574" s="79"/>
      <c r="Q574" s="79"/>
      <c r="R574" s="79"/>
      <c r="S574" s="79"/>
      <c r="T574" s="79"/>
      <c r="U574" s="79"/>
      <c r="V574" s="79"/>
      <c r="W574" s="79"/>
      <c r="X574" s="79"/>
      <c r="Y574" s="79"/>
      <c r="Z574" s="79"/>
    </row>
    <row r="575" spans="1:26" ht="12.75" customHeight="1">
      <c r="A575" s="73"/>
      <c r="B575" s="73"/>
      <c r="C575" s="80"/>
      <c r="D575" s="79"/>
      <c r="E575" s="79"/>
      <c r="F575" s="81"/>
      <c r="G575" s="81"/>
      <c r="H575" s="79"/>
      <c r="I575" s="79"/>
      <c r="J575" s="79"/>
      <c r="K575" s="79"/>
      <c r="L575" s="79"/>
      <c r="M575" s="79"/>
      <c r="N575" s="79"/>
      <c r="O575" s="79"/>
      <c r="P575" s="79"/>
      <c r="Q575" s="79"/>
      <c r="R575" s="79"/>
      <c r="S575" s="79"/>
      <c r="T575" s="79"/>
      <c r="U575" s="79"/>
      <c r="V575" s="79"/>
      <c r="W575" s="79"/>
      <c r="X575" s="79"/>
      <c r="Y575" s="79"/>
      <c r="Z575" s="79"/>
    </row>
    <row r="576" spans="1:26" ht="12.75" customHeight="1">
      <c r="A576" s="73"/>
      <c r="B576" s="73"/>
      <c r="C576" s="80"/>
      <c r="D576" s="79"/>
      <c r="E576" s="79"/>
      <c r="F576" s="81"/>
      <c r="G576" s="81"/>
      <c r="H576" s="79"/>
      <c r="I576" s="79"/>
      <c r="J576" s="79"/>
      <c r="K576" s="79"/>
      <c r="L576" s="79"/>
      <c r="M576" s="79"/>
      <c r="N576" s="79"/>
      <c r="O576" s="79"/>
      <c r="P576" s="79"/>
      <c r="Q576" s="79"/>
      <c r="R576" s="79"/>
      <c r="S576" s="79"/>
      <c r="T576" s="79"/>
      <c r="U576" s="79"/>
      <c r="V576" s="79"/>
      <c r="W576" s="79"/>
      <c r="X576" s="79"/>
      <c r="Y576" s="79"/>
      <c r="Z576" s="79"/>
    </row>
    <row r="577" spans="1:26" ht="12.75" customHeight="1">
      <c r="A577" s="73"/>
      <c r="B577" s="73"/>
      <c r="C577" s="80"/>
      <c r="D577" s="79"/>
      <c r="E577" s="79"/>
      <c r="F577" s="81"/>
      <c r="G577" s="81"/>
      <c r="H577" s="79"/>
      <c r="I577" s="79"/>
      <c r="J577" s="79"/>
      <c r="K577" s="79"/>
      <c r="L577" s="79"/>
      <c r="M577" s="79"/>
      <c r="N577" s="79"/>
      <c r="O577" s="79"/>
      <c r="P577" s="79"/>
      <c r="Q577" s="79"/>
      <c r="R577" s="79"/>
      <c r="S577" s="79"/>
      <c r="T577" s="79"/>
      <c r="U577" s="79"/>
      <c r="V577" s="79"/>
      <c r="W577" s="79"/>
      <c r="X577" s="79"/>
      <c r="Y577" s="79"/>
      <c r="Z577" s="79"/>
    </row>
    <row r="578" spans="1:26" ht="12.75" customHeight="1">
      <c r="A578" s="73"/>
      <c r="B578" s="73"/>
      <c r="C578" s="80"/>
      <c r="D578" s="79"/>
      <c r="E578" s="79"/>
      <c r="F578" s="81"/>
      <c r="G578" s="81"/>
      <c r="H578" s="79"/>
      <c r="I578" s="79"/>
      <c r="J578" s="79"/>
      <c r="K578" s="79"/>
      <c r="L578" s="79"/>
      <c r="M578" s="79"/>
      <c r="N578" s="79"/>
      <c r="O578" s="79"/>
      <c r="P578" s="79"/>
      <c r="Q578" s="79"/>
      <c r="R578" s="79"/>
      <c r="S578" s="79"/>
      <c r="T578" s="79"/>
      <c r="U578" s="79"/>
      <c r="V578" s="79"/>
      <c r="W578" s="79"/>
      <c r="X578" s="79"/>
      <c r="Y578" s="79"/>
      <c r="Z578" s="79"/>
    </row>
    <row r="579" spans="1:26" ht="12.75" customHeight="1">
      <c r="A579" s="73"/>
      <c r="B579" s="73"/>
      <c r="C579" s="80"/>
      <c r="D579" s="79"/>
      <c r="E579" s="79"/>
      <c r="F579" s="81"/>
      <c r="G579" s="81"/>
      <c r="H579" s="79"/>
      <c r="I579" s="79"/>
      <c r="J579" s="79"/>
      <c r="K579" s="79"/>
      <c r="L579" s="79"/>
      <c r="M579" s="79"/>
      <c r="N579" s="79"/>
      <c r="O579" s="79"/>
      <c r="P579" s="79"/>
      <c r="Q579" s="79"/>
      <c r="R579" s="79"/>
      <c r="S579" s="79"/>
      <c r="T579" s="79"/>
      <c r="U579" s="79"/>
      <c r="V579" s="79"/>
      <c r="W579" s="79"/>
      <c r="X579" s="79"/>
      <c r="Y579" s="79"/>
      <c r="Z579" s="79"/>
    </row>
    <row r="580" spans="1:26" ht="12.75" customHeight="1">
      <c r="A580" s="73"/>
      <c r="B580" s="73"/>
      <c r="C580" s="80"/>
      <c r="D580" s="79"/>
      <c r="E580" s="79"/>
      <c r="F580" s="81"/>
      <c r="G580" s="81"/>
      <c r="H580" s="79"/>
      <c r="I580" s="79"/>
      <c r="J580" s="79"/>
      <c r="K580" s="79"/>
      <c r="L580" s="79"/>
      <c r="M580" s="79"/>
      <c r="N580" s="79"/>
      <c r="O580" s="79"/>
      <c r="P580" s="79"/>
      <c r="Q580" s="79"/>
      <c r="R580" s="79"/>
      <c r="S580" s="79"/>
      <c r="T580" s="79"/>
      <c r="U580" s="79"/>
      <c r="V580" s="79"/>
      <c r="W580" s="79"/>
      <c r="X580" s="79"/>
      <c r="Y580" s="79"/>
      <c r="Z580" s="79"/>
    </row>
    <row r="581" spans="1:26" ht="12.75" customHeight="1">
      <c r="A581" s="73"/>
      <c r="B581" s="73"/>
      <c r="C581" s="80"/>
      <c r="D581" s="79"/>
      <c r="E581" s="79"/>
      <c r="F581" s="81"/>
      <c r="G581" s="81"/>
      <c r="H581" s="79"/>
      <c r="I581" s="79"/>
      <c r="J581" s="79"/>
      <c r="K581" s="79"/>
      <c r="L581" s="79"/>
      <c r="M581" s="79"/>
      <c r="N581" s="79"/>
      <c r="O581" s="79"/>
      <c r="P581" s="79"/>
      <c r="Q581" s="79"/>
      <c r="R581" s="79"/>
      <c r="S581" s="79"/>
      <c r="T581" s="79"/>
      <c r="U581" s="79"/>
      <c r="V581" s="79"/>
      <c r="W581" s="79"/>
      <c r="X581" s="79"/>
      <c r="Y581" s="79"/>
      <c r="Z581" s="79"/>
    </row>
    <row r="582" spans="1:26" ht="12.75" customHeight="1">
      <c r="A582" s="73"/>
      <c r="B582" s="73"/>
      <c r="C582" s="80"/>
      <c r="D582" s="79"/>
      <c r="E582" s="79"/>
      <c r="F582" s="81"/>
      <c r="G582" s="81"/>
      <c r="H582" s="79"/>
      <c r="I582" s="79"/>
      <c r="J582" s="79"/>
      <c r="K582" s="79"/>
      <c r="L582" s="79"/>
      <c r="M582" s="79"/>
      <c r="N582" s="79"/>
      <c r="O582" s="79"/>
      <c r="P582" s="79"/>
      <c r="Q582" s="79"/>
      <c r="R582" s="79"/>
      <c r="S582" s="79"/>
      <c r="T582" s="79"/>
      <c r="U582" s="79"/>
      <c r="V582" s="79"/>
      <c r="W582" s="79"/>
      <c r="X582" s="79"/>
      <c r="Y582" s="79"/>
      <c r="Z582" s="79"/>
    </row>
    <row r="583" spans="1:26" ht="12.75" customHeight="1">
      <c r="A583" s="73"/>
      <c r="B583" s="73"/>
      <c r="C583" s="80"/>
      <c r="D583" s="79"/>
      <c r="E583" s="79"/>
      <c r="F583" s="81"/>
      <c r="G583" s="81"/>
      <c r="H583" s="79"/>
      <c r="I583" s="79"/>
      <c r="J583" s="79"/>
      <c r="K583" s="79"/>
      <c r="L583" s="79"/>
      <c r="M583" s="79"/>
      <c r="N583" s="79"/>
      <c r="O583" s="79"/>
      <c r="P583" s="79"/>
      <c r="Q583" s="79"/>
      <c r="R583" s="79"/>
      <c r="S583" s="79"/>
      <c r="T583" s="79"/>
      <c r="U583" s="79"/>
      <c r="V583" s="79"/>
      <c r="W583" s="79"/>
      <c r="X583" s="79"/>
      <c r="Y583" s="79"/>
      <c r="Z583" s="79"/>
    </row>
    <row r="584" spans="1:26" ht="12.75" customHeight="1">
      <c r="A584" s="73"/>
      <c r="B584" s="73"/>
      <c r="C584" s="80"/>
      <c r="D584" s="79"/>
      <c r="E584" s="79"/>
      <c r="F584" s="81"/>
      <c r="G584" s="81"/>
      <c r="H584" s="79"/>
      <c r="I584" s="79"/>
      <c r="J584" s="79"/>
      <c r="K584" s="79"/>
      <c r="L584" s="79"/>
      <c r="M584" s="79"/>
      <c r="N584" s="79"/>
      <c r="O584" s="79"/>
      <c r="P584" s="79"/>
      <c r="Q584" s="79"/>
      <c r="R584" s="79"/>
      <c r="S584" s="79"/>
      <c r="T584" s="79"/>
      <c r="U584" s="79"/>
      <c r="V584" s="79"/>
      <c r="W584" s="79"/>
      <c r="X584" s="79"/>
      <c r="Y584" s="79"/>
      <c r="Z584" s="79"/>
    </row>
    <row r="585" spans="1:26" ht="12.75" customHeight="1">
      <c r="A585" s="73"/>
      <c r="B585" s="73"/>
      <c r="C585" s="80"/>
      <c r="D585" s="79"/>
      <c r="E585" s="79"/>
      <c r="F585" s="81"/>
      <c r="G585" s="81"/>
      <c r="H585" s="79"/>
      <c r="I585" s="79"/>
      <c r="J585" s="79"/>
      <c r="K585" s="79"/>
      <c r="L585" s="79"/>
      <c r="M585" s="79"/>
      <c r="N585" s="79"/>
      <c r="O585" s="79"/>
      <c r="P585" s="79"/>
      <c r="Q585" s="79"/>
      <c r="R585" s="79"/>
      <c r="S585" s="79"/>
      <c r="T585" s="79"/>
      <c r="U585" s="79"/>
      <c r="V585" s="79"/>
      <c r="W585" s="79"/>
      <c r="X585" s="79"/>
      <c r="Y585" s="79"/>
      <c r="Z585" s="79"/>
    </row>
    <row r="586" spans="1:26" ht="12.75" customHeight="1">
      <c r="A586" s="73"/>
      <c r="B586" s="73"/>
      <c r="C586" s="80"/>
      <c r="D586" s="79"/>
      <c r="E586" s="79"/>
      <c r="F586" s="81"/>
      <c r="G586" s="81"/>
      <c r="H586" s="79"/>
      <c r="I586" s="79"/>
      <c r="J586" s="79"/>
      <c r="K586" s="79"/>
      <c r="L586" s="79"/>
      <c r="M586" s="79"/>
      <c r="N586" s="79"/>
      <c r="O586" s="79"/>
      <c r="P586" s="79"/>
      <c r="Q586" s="79"/>
      <c r="R586" s="79"/>
      <c r="S586" s="79"/>
      <c r="T586" s="79"/>
      <c r="U586" s="79"/>
      <c r="V586" s="79"/>
      <c r="W586" s="79"/>
      <c r="X586" s="79"/>
      <c r="Y586" s="79"/>
      <c r="Z586" s="79"/>
    </row>
    <row r="587" spans="1:26" ht="12.75" customHeight="1">
      <c r="A587" s="73"/>
      <c r="B587" s="73"/>
      <c r="C587" s="80"/>
      <c r="D587" s="79"/>
      <c r="E587" s="79"/>
      <c r="F587" s="81"/>
      <c r="G587" s="81"/>
      <c r="H587" s="79"/>
      <c r="I587" s="79"/>
      <c r="J587" s="79"/>
      <c r="K587" s="79"/>
      <c r="L587" s="79"/>
      <c r="M587" s="79"/>
      <c r="N587" s="79"/>
      <c r="O587" s="79"/>
      <c r="P587" s="79"/>
      <c r="Q587" s="79"/>
      <c r="R587" s="79"/>
      <c r="S587" s="79"/>
      <c r="T587" s="79"/>
      <c r="U587" s="79"/>
      <c r="V587" s="79"/>
      <c r="W587" s="79"/>
      <c r="X587" s="79"/>
      <c r="Y587" s="79"/>
      <c r="Z587" s="79"/>
    </row>
    <row r="588" spans="1:26" ht="12.75" customHeight="1">
      <c r="A588" s="73"/>
      <c r="B588" s="73"/>
      <c r="C588" s="80"/>
      <c r="D588" s="79"/>
      <c r="E588" s="79"/>
      <c r="F588" s="81"/>
      <c r="G588" s="81"/>
      <c r="H588" s="79"/>
      <c r="I588" s="79"/>
      <c r="J588" s="79"/>
      <c r="K588" s="79"/>
      <c r="L588" s="79"/>
      <c r="M588" s="79"/>
      <c r="N588" s="79"/>
      <c r="O588" s="79"/>
      <c r="P588" s="79"/>
      <c r="Q588" s="79"/>
      <c r="R588" s="79"/>
      <c r="S588" s="79"/>
      <c r="T588" s="79"/>
      <c r="U588" s="79"/>
      <c r="V588" s="79"/>
      <c r="W588" s="79"/>
      <c r="X588" s="79"/>
      <c r="Y588" s="79"/>
      <c r="Z588" s="79"/>
    </row>
    <row r="589" spans="1:26" ht="12.75" customHeight="1">
      <c r="A589" s="73"/>
      <c r="B589" s="73"/>
      <c r="C589" s="80"/>
      <c r="D589" s="79"/>
      <c r="E589" s="79"/>
      <c r="F589" s="81"/>
      <c r="G589" s="81"/>
      <c r="H589" s="79"/>
      <c r="I589" s="79"/>
      <c r="J589" s="79"/>
      <c r="K589" s="79"/>
      <c r="L589" s="79"/>
      <c r="M589" s="79"/>
      <c r="N589" s="79"/>
      <c r="O589" s="79"/>
      <c r="P589" s="79"/>
      <c r="Q589" s="79"/>
      <c r="R589" s="79"/>
      <c r="S589" s="79"/>
      <c r="T589" s="79"/>
      <c r="U589" s="79"/>
      <c r="V589" s="79"/>
      <c r="W589" s="79"/>
      <c r="X589" s="79"/>
      <c r="Y589" s="79"/>
      <c r="Z589" s="79"/>
    </row>
    <row r="590" spans="1:26" ht="12.75" customHeight="1">
      <c r="A590" s="73"/>
      <c r="B590" s="73"/>
      <c r="C590" s="80"/>
      <c r="D590" s="79"/>
      <c r="E590" s="79"/>
      <c r="F590" s="81"/>
      <c r="G590" s="81"/>
      <c r="H590" s="79"/>
      <c r="I590" s="79"/>
      <c r="J590" s="79"/>
      <c r="K590" s="79"/>
      <c r="L590" s="79"/>
      <c r="M590" s="79"/>
      <c r="N590" s="79"/>
      <c r="O590" s="79"/>
      <c r="P590" s="79"/>
      <c r="Q590" s="79"/>
      <c r="R590" s="79"/>
      <c r="S590" s="79"/>
      <c r="T590" s="79"/>
      <c r="U590" s="79"/>
      <c r="V590" s="79"/>
      <c r="W590" s="79"/>
      <c r="X590" s="79"/>
      <c r="Y590" s="79"/>
      <c r="Z590" s="79"/>
    </row>
    <row r="591" spans="1:26" ht="12.75" customHeight="1">
      <c r="A591" s="73"/>
      <c r="B591" s="73"/>
      <c r="C591" s="80"/>
      <c r="D591" s="79"/>
      <c r="E591" s="79"/>
      <c r="F591" s="81"/>
      <c r="G591" s="81"/>
      <c r="H591" s="79"/>
      <c r="I591" s="79"/>
      <c r="J591" s="79"/>
      <c r="K591" s="79"/>
      <c r="L591" s="79"/>
      <c r="M591" s="79"/>
      <c r="N591" s="79"/>
      <c r="O591" s="79"/>
      <c r="P591" s="79"/>
      <c r="Q591" s="79"/>
      <c r="R591" s="79"/>
      <c r="S591" s="79"/>
      <c r="T591" s="79"/>
      <c r="U591" s="79"/>
      <c r="V591" s="79"/>
      <c r="W591" s="79"/>
      <c r="X591" s="79"/>
      <c r="Y591" s="79"/>
      <c r="Z591" s="79"/>
    </row>
    <row r="592" spans="1:26" ht="12.75" customHeight="1">
      <c r="A592" s="73"/>
      <c r="B592" s="73"/>
      <c r="C592" s="80"/>
      <c r="D592" s="79"/>
      <c r="E592" s="79"/>
      <c r="F592" s="81"/>
      <c r="G592" s="81"/>
      <c r="H592" s="79"/>
      <c r="I592" s="79"/>
      <c r="J592" s="79"/>
      <c r="K592" s="79"/>
      <c r="L592" s="79"/>
      <c r="M592" s="79"/>
      <c r="N592" s="79"/>
      <c r="O592" s="79"/>
      <c r="P592" s="79"/>
      <c r="Q592" s="79"/>
      <c r="R592" s="79"/>
      <c r="S592" s="79"/>
      <c r="T592" s="79"/>
      <c r="U592" s="79"/>
      <c r="V592" s="79"/>
      <c r="W592" s="79"/>
      <c r="X592" s="79"/>
      <c r="Y592" s="79"/>
      <c r="Z592" s="79"/>
    </row>
    <row r="593" spans="1:26" ht="12.75" customHeight="1">
      <c r="A593" s="73"/>
      <c r="B593" s="73"/>
      <c r="C593" s="80"/>
      <c r="D593" s="79"/>
      <c r="E593" s="79"/>
      <c r="F593" s="81"/>
      <c r="G593" s="81"/>
      <c r="H593" s="79"/>
      <c r="I593" s="79"/>
      <c r="J593" s="79"/>
      <c r="K593" s="79"/>
      <c r="L593" s="79"/>
      <c r="M593" s="79"/>
      <c r="N593" s="79"/>
      <c r="O593" s="79"/>
      <c r="P593" s="79"/>
      <c r="Q593" s="79"/>
      <c r="R593" s="79"/>
      <c r="S593" s="79"/>
      <c r="T593" s="79"/>
      <c r="U593" s="79"/>
      <c r="V593" s="79"/>
      <c r="W593" s="79"/>
      <c r="X593" s="79"/>
      <c r="Y593" s="79"/>
      <c r="Z593" s="79"/>
    </row>
    <row r="594" spans="1:26" ht="12.75" customHeight="1">
      <c r="A594" s="73"/>
      <c r="B594" s="73"/>
      <c r="C594" s="80"/>
      <c r="D594" s="79"/>
      <c r="E594" s="79"/>
      <c r="F594" s="81"/>
      <c r="G594" s="81"/>
      <c r="H594" s="79"/>
      <c r="I594" s="79"/>
      <c r="J594" s="79"/>
      <c r="K594" s="79"/>
      <c r="L594" s="79"/>
      <c r="M594" s="79"/>
      <c r="N594" s="79"/>
      <c r="O594" s="79"/>
      <c r="P594" s="79"/>
      <c r="Q594" s="79"/>
      <c r="R594" s="79"/>
      <c r="S594" s="79"/>
      <c r="T594" s="79"/>
      <c r="U594" s="79"/>
      <c r="V594" s="79"/>
      <c r="W594" s="79"/>
      <c r="X594" s="79"/>
      <c r="Y594" s="79"/>
      <c r="Z594" s="79"/>
    </row>
    <row r="595" spans="1:26" ht="12.75" customHeight="1">
      <c r="A595" s="73"/>
      <c r="B595" s="73"/>
      <c r="C595" s="80"/>
      <c r="D595" s="79"/>
      <c r="E595" s="79"/>
      <c r="F595" s="81"/>
      <c r="G595" s="81"/>
      <c r="H595" s="79"/>
      <c r="I595" s="79"/>
      <c r="J595" s="79"/>
      <c r="K595" s="79"/>
      <c r="L595" s="79"/>
      <c r="M595" s="79"/>
      <c r="N595" s="79"/>
      <c r="O595" s="79"/>
      <c r="P595" s="79"/>
      <c r="Q595" s="79"/>
      <c r="R595" s="79"/>
      <c r="S595" s="79"/>
      <c r="T595" s="79"/>
      <c r="U595" s="79"/>
      <c r="V595" s="79"/>
      <c r="W595" s="79"/>
      <c r="X595" s="79"/>
      <c r="Y595" s="79"/>
      <c r="Z595" s="79"/>
    </row>
    <row r="596" spans="1:26" ht="12.75" customHeight="1">
      <c r="A596" s="73"/>
      <c r="B596" s="73"/>
      <c r="C596" s="80"/>
      <c r="D596" s="79"/>
      <c r="E596" s="79"/>
      <c r="F596" s="81"/>
      <c r="G596" s="81"/>
      <c r="H596" s="79"/>
      <c r="I596" s="79"/>
      <c r="J596" s="79"/>
      <c r="K596" s="79"/>
      <c r="L596" s="79"/>
      <c r="M596" s="79"/>
      <c r="N596" s="79"/>
      <c r="O596" s="79"/>
      <c r="P596" s="79"/>
      <c r="Q596" s="79"/>
      <c r="R596" s="79"/>
      <c r="S596" s="79"/>
      <c r="T596" s="79"/>
      <c r="U596" s="79"/>
      <c r="V596" s="79"/>
      <c r="W596" s="79"/>
      <c r="X596" s="79"/>
      <c r="Y596" s="79"/>
      <c r="Z596" s="79"/>
    </row>
    <row r="597" spans="1:26" ht="12.75" customHeight="1">
      <c r="A597" s="73"/>
      <c r="B597" s="73"/>
      <c r="C597" s="80"/>
      <c r="D597" s="79"/>
      <c r="E597" s="79"/>
      <c r="F597" s="81"/>
      <c r="G597" s="81"/>
      <c r="H597" s="79"/>
      <c r="I597" s="79"/>
      <c r="J597" s="79"/>
      <c r="K597" s="79"/>
      <c r="L597" s="79"/>
      <c r="M597" s="79"/>
      <c r="N597" s="79"/>
      <c r="O597" s="79"/>
      <c r="P597" s="79"/>
      <c r="Q597" s="79"/>
      <c r="R597" s="79"/>
      <c r="S597" s="79"/>
      <c r="T597" s="79"/>
      <c r="U597" s="79"/>
      <c r="V597" s="79"/>
      <c r="W597" s="79"/>
      <c r="X597" s="79"/>
      <c r="Y597" s="79"/>
      <c r="Z597" s="79"/>
    </row>
    <row r="598" spans="1:26" ht="12.75" customHeight="1">
      <c r="A598" s="73"/>
      <c r="B598" s="73"/>
      <c r="C598" s="80"/>
      <c r="D598" s="79"/>
      <c r="E598" s="79"/>
      <c r="F598" s="81"/>
      <c r="G598" s="81"/>
      <c r="H598" s="79"/>
      <c r="I598" s="79"/>
      <c r="J598" s="79"/>
      <c r="K598" s="79"/>
      <c r="L598" s="79"/>
      <c r="M598" s="79"/>
      <c r="N598" s="79"/>
      <c r="O598" s="79"/>
      <c r="P598" s="79"/>
      <c r="Q598" s="79"/>
      <c r="R598" s="79"/>
      <c r="S598" s="79"/>
      <c r="T598" s="79"/>
      <c r="U598" s="79"/>
      <c r="V598" s="79"/>
      <c r="W598" s="79"/>
      <c r="X598" s="79"/>
      <c r="Y598" s="79"/>
      <c r="Z598" s="79"/>
    </row>
    <row r="599" spans="1:26" ht="12.75" customHeight="1">
      <c r="A599" s="73"/>
      <c r="B599" s="73"/>
      <c r="C599" s="80"/>
      <c r="D599" s="79"/>
      <c r="E599" s="79"/>
      <c r="F599" s="81"/>
      <c r="G599" s="81"/>
      <c r="H599" s="79"/>
      <c r="I599" s="79"/>
      <c r="J599" s="79"/>
      <c r="K599" s="79"/>
      <c r="L599" s="79"/>
      <c r="M599" s="79"/>
      <c r="N599" s="79"/>
      <c r="O599" s="79"/>
      <c r="P599" s="79"/>
      <c r="Q599" s="79"/>
      <c r="R599" s="79"/>
      <c r="S599" s="79"/>
      <c r="T599" s="79"/>
      <c r="U599" s="79"/>
      <c r="V599" s="79"/>
      <c r="W599" s="79"/>
      <c r="X599" s="79"/>
      <c r="Y599" s="79"/>
      <c r="Z599" s="79"/>
    </row>
    <row r="600" spans="1:26" ht="12.75" customHeight="1">
      <c r="A600" s="73"/>
      <c r="B600" s="73"/>
      <c r="C600" s="80"/>
      <c r="D600" s="79"/>
      <c r="E600" s="79"/>
      <c r="F600" s="81"/>
      <c r="G600" s="81"/>
      <c r="H600" s="79"/>
      <c r="I600" s="79"/>
      <c r="J600" s="79"/>
      <c r="K600" s="79"/>
      <c r="L600" s="79"/>
      <c r="M600" s="79"/>
      <c r="N600" s="79"/>
      <c r="O600" s="79"/>
      <c r="P600" s="79"/>
      <c r="Q600" s="79"/>
      <c r="R600" s="79"/>
      <c r="S600" s="79"/>
      <c r="T600" s="79"/>
      <c r="U600" s="79"/>
      <c r="V600" s="79"/>
      <c r="W600" s="79"/>
      <c r="X600" s="79"/>
      <c r="Y600" s="79"/>
      <c r="Z600" s="79"/>
    </row>
    <row r="601" spans="1:26" ht="12.75" customHeight="1">
      <c r="A601" s="73"/>
      <c r="B601" s="73"/>
      <c r="C601" s="80"/>
      <c r="D601" s="79"/>
      <c r="E601" s="79"/>
      <c r="F601" s="81"/>
      <c r="G601" s="81"/>
      <c r="H601" s="79"/>
      <c r="I601" s="79"/>
      <c r="J601" s="79"/>
      <c r="K601" s="79"/>
      <c r="L601" s="79"/>
      <c r="M601" s="79"/>
      <c r="N601" s="79"/>
      <c r="O601" s="79"/>
      <c r="P601" s="79"/>
      <c r="Q601" s="79"/>
      <c r="R601" s="79"/>
      <c r="S601" s="79"/>
      <c r="T601" s="79"/>
      <c r="U601" s="79"/>
      <c r="V601" s="79"/>
      <c r="W601" s="79"/>
      <c r="X601" s="79"/>
      <c r="Y601" s="79"/>
      <c r="Z601" s="79"/>
    </row>
    <row r="602" spans="1:26" ht="12.75" customHeight="1">
      <c r="A602" s="73"/>
      <c r="B602" s="73"/>
      <c r="C602" s="80"/>
      <c r="D602" s="79"/>
      <c r="E602" s="79"/>
      <c r="F602" s="81"/>
      <c r="G602" s="81"/>
      <c r="H602" s="79"/>
      <c r="I602" s="79"/>
      <c r="J602" s="79"/>
      <c r="K602" s="79"/>
      <c r="L602" s="79"/>
      <c r="M602" s="79"/>
      <c r="N602" s="79"/>
      <c r="O602" s="79"/>
      <c r="P602" s="79"/>
      <c r="Q602" s="79"/>
      <c r="R602" s="79"/>
      <c r="S602" s="79"/>
      <c r="T602" s="79"/>
      <c r="U602" s="79"/>
      <c r="V602" s="79"/>
      <c r="W602" s="79"/>
      <c r="X602" s="79"/>
      <c r="Y602" s="79"/>
      <c r="Z602" s="79"/>
    </row>
    <row r="603" spans="1:26" ht="12.75" customHeight="1">
      <c r="A603" s="73"/>
      <c r="B603" s="73"/>
      <c r="C603" s="80"/>
      <c r="D603" s="79"/>
      <c r="E603" s="79"/>
      <c r="F603" s="81"/>
      <c r="G603" s="81"/>
      <c r="H603" s="79"/>
      <c r="I603" s="79"/>
      <c r="J603" s="79"/>
      <c r="K603" s="79"/>
      <c r="L603" s="79"/>
      <c r="M603" s="79"/>
      <c r="N603" s="79"/>
      <c r="O603" s="79"/>
      <c r="P603" s="79"/>
      <c r="Q603" s="79"/>
      <c r="R603" s="79"/>
      <c r="S603" s="79"/>
      <c r="T603" s="79"/>
      <c r="U603" s="79"/>
      <c r="V603" s="79"/>
      <c r="W603" s="79"/>
      <c r="X603" s="79"/>
      <c r="Y603" s="79"/>
      <c r="Z603" s="79"/>
    </row>
    <row r="604" spans="1:26" ht="12.75" customHeight="1">
      <c r="A604" s="73"/>
      <c r="B604" s="73"/>
      <c r="C604" s="80"/>
      <c r="D604" s="79"/>
      <c r="E604" s="79"/>
      <c r="F604" s="81"/>
      <c r="G604" s="81"/>
      <c r="H604" s="79"/>
      <c r="I604" s="79"/>
      <c r="J604" s="79"/>
      <c r="K604" s="79"/>
      <c r="L604" s="79"/>
      <c r="M604" s="79"/>
      <c r="N604" s="79"/>
      <c r="O604" s="79"/>
      <c r="P604" s="79"/>
      <c r="Q604" s="79"/>
      <c r="R604" s="79"/>
      <c r="S604" s="79"/>
      <c r="T604" s="79"/>
      <c r="U604" s="79"/>
      <c r="V604" s="79"/>
      <c r="W604" s="79"/>
      <c r="X604" s="79"/>
      <c r="Y604" s="79"/>
      <c r="Z604" s="79"/>
    </row>
    <row r="605" spans="1:26" ht="12.75" customHeight="1">
      <c r="A605" s="73"/>
      <c r="B605" s="73"/>
      <c r="C605" s="80"/>
      <c r="D605" s="79"/>
      <c r="E605" s="79"/>
      <c r="F605" s="81"/>
      <c r="G605" s="81"/>
      <c r="H605" s="79"/>
      <c r="I605" s="79"/>
      <c r="J605" s="79"/>
      <c r="K605" s="79"/>
      <c r="L605" s="79"/>
      <c r="M605" s="79"/>
      <c r="N605" s="79"/>
      <c r="O605" s="79"/>
      <c r="P605" s="79"/>
      <c r="Q605" s="79"/>
      <c r="R605" s="79"/>
      <c r="S605" s="79"/>
      <c r="T605" s="79"/>
      <c r="U605" s="79"/>
      <c r="V605" s="79"/>
      <c r="W605" s="79"/>
      <c r="X605" s="79"/>
      <c r="Y605" s="79"/>
      <c r="Z605" s="79"/>
    </row>
    <row r="606" spans="1:26" ht="12.75" customHeight="1">
      <c r="A606" s="73"/>
      <c r="B606" s="73"/>
      <c r="C606" s="80"/>
      <c r="D606" s="79"/>
      <c r="E606" s="79"/>
      <c r="F606" s="81"/>
      <c r="G606" s="81"/>
      <c r="H606" s="79"/>
      <c r="I606" s="79"/>
      <c r="J606" s="79"/>
      <c r="K606" s="79"/>
      <c r="L606" s="79"/>
      <c r="M606" s="79"/>
      <c r="N606" s="79"/>
      <c r="O606" s="79"/>
      <c r="P606" s="79"/>
      <c r="Q606" s="79"/>
      <c r="R606" s="79"/>
      <c r="S606" s="79"/>
      <c r="T606" s="79"/>
      <c r="U606" s="79"/>
      <c r="V606" s="79"/>
      <c r="W606" s="79"/>
      <c r="X606" s="79"/>
      <c r="Y606" s="79"/>
      <c r="Z606" s="79"/>
    </row>
    <row r="607" spans="1:26" ht="12.75" customHeight="1">
      <c r="A607" s="73"/>
      <c r="B607" s="73"/>
      <c r="C607" s="80"/>
      <c r="D607" s="79"/>
      <c r="E607" s="79"/>
      <c r="F607" s="81"/>
      <c r="G607" s="81"/>
      <c r="H607" s="79"/>
      <c r="I607" s="79"/>
      <c r="J607" s="79"/>
      <c r="K607" s="79"/>
      <c r="L607" s="79"/>
      <c r="M607" s="79"/>
      <c r="N607" s="79"/>
      <c r="O607" s="79"/>
      <c r="P607" s="79"/>
      <c r="Q607" s="79"/>
      <c r="R607" s="79"/>
      <c r="S607" s="79"/>
      <c r="T607" s="79"/>
      <c r="U607" s="79"/>
      <c r="V607" s="79"/>
      <c r="W607" s="79"/>
      <c r="X607" s="79"/>
      <c r="Y607" s="79"/>
      <c r="Z607" s="79"/>
    </row>
    <row r="608" spans="1:26" ht="12.75" customHeight="1">
      <c r="A608" s="73"/>
      <c r="B608" s="73"/>
      <c r="C608" s="80"/>
      <c r="D608" s="79"/>
      <c r="E608" s="79"/>
      <c r="F608" s="81"/>
      <c r="G608" s="81"/>
      <c r="H608" s="79"/>
      <c r="I608" s="79"/>
      <c r="J608" s="79"/>
      <c r="K608" s="79"/>
      <c r="L608" s="79"/>
      <c r="M608" s="79"/>
      <c r="N608" s="79"/>
      <c r="O608" s="79"/>
      <c r="P608" s="79"/>
      <c r="Q608" s="79"/>
      <c r="R608" s="79"/>
      <c r="S608" s="79"/>
      <c r="T608" s="79"/>
      <c r="U608" s="79"/>
      <c r="V608" s="79"/>
      <c r="W608" s="79"/>
      <c r="X608" s="79"/>
      <c r="Y608" s="79"/>
      <c r="Z608" s="79"/>
    </row>
    <row r="609" spans="1:26" ht="12.75" customHeight="1">
      <c r="A609" s="73"/>
      <c r="B609" s="73"/>
      <c r="C609" s="80"/>
      <c r="D609" s="79"/>
      <c r="E609" s="79"/>
      <c r="F609" s="81"/>
      <c r="G609" s="81"/>
      <c r="H609" s="79"/>
      <c r="I609" s="79"/>
      <c r="J609" s="79"/>
      <c r="K609" s="79"/>
      <c r="L609" s="79"/>
      <c r="M609" s="79"/>
      <c r="N609" s="79"/>
      <c r="O609" s="79"/>
      <c r="P609" s="79"/>
      <c r="Q609" s="79"/>
      <c r="R609" s="79"/>
      <c r="S609" s="79"/>
      <c r="T609" s="79"/>
      <c r="U609" s="79"/>
      <c r="V609" s="79"/>
      <c r="W609" s="79"/>
      <c r="X609" s="79"/>
      <c r="Y609" s="79"/>
      <c r="Z609" s="79"/>
    </row>
    <row r="610" spans="1:26" ht="12.75" customHeight="1">
      <c r="A610" s="73"/>
      <c r="B610" s="73"/>
      <c r="C610" s="80"/>
      <c r="D610" s="79"/>
      <c r="E610" s="79"/>
      <c r="F610" s="81"/>
      <c r="G610" s="81"/>
      <c r="H610" s="79"/>
      <c r="I610" s="79"/>
      <c r="J610" s="79"/>
      <c r="K610" s="79"/>
      <c r="L610" s="79"/>
      <c r="M610" s="79"/>
      <c r="N610" s="79"/>
      <c r="O610" s="79"/>
      <c r="P610" s="79"/>
      <c r="Q610" s="79"/>
      <c r="R610" s="79"/>
      <c r="S610" s="79"/>
      <c r="T610" s="79"/>
      <c r="U610" s="79"/>
      <c r="V610" s="79"/>
      <c r="W610" s="79"/>
      <c r="X610" s="79"/>
      <c r="Y610" s="79"/>
      <c r="Z610" s="79"/>
    </row>
    <row r="611" spans="1:26" ht="12.75" customHeight="1">
      <c r="A611" s="73"/>
      <c r="B611" s="73"/>
      <c r="C611" s="80"/>
      <c r="D611" s="79"/>
      <c r="E611" s="79"/>
      <c r="F611" s="81"/>
      <c r="G611" s="81"/>
      <c r="H611" s="79"/>
      <c r="I611" s="79"/>
      <c r="J611" s="79"/>
      <c r="K611" s="79"/>
      <c r="L611" s="79"/>
      <c r="M611" s="79"/>
      <c r="N611" s="79"/>
      <c r="O611" s="79"/>
      <c r="P611" s="79"/>
      <c r="Q611" s="79"/>
      <c r="R611" s="79"/>
      <c r="S611" s="79"/>
      <c r="T611" s="79"/>
      <c r="U611" s="79"/>
      <c r="V611" s="79"/>
      <c r="W611" s="79"/>
      <c r="X611" s="79"/>
      <c r="Y611" s="79"/>
      <c r="Z611" s="79"/>
    </row>
    <row r="612" spans="1:26" ht="12.75" customHeight="1">
      <c r="A612" s="73"/>
      <c r="B612" s="73"/>
      <c r="C612" s="80"/>
      <c r="D612" s="79"/>
      <c r="E612" s="79"/>
      <c r="F612" s="81"/>
      <c r="G612" s="81"/>
      <c r="H612" s="79"/>
      <c r="I612" s="79"/>
      <c r="J612" s="79"/>
      <c r="K612" s="79"/>
      <c r="L612" s="79"/>
      <c r="M612" s="79"/>
      <c r="N612" s="79"/>
      <c r="O612" s="79"/>
      <c r="P612" s="79"/>
      <c r="Q612" s="79"/>
      <c r="R612" s="79"/>
      <c r="S612" s="79"/>
      <c r="T612" s="79"/>
      <c r="U612" s="79"/>
      <c r="V612" s="79"/>
      <c r="W612" s="79"/>
      <c r="X612" s="79"/>
      <c r="Y612" s="79"/>
      <c r="Z612" s="79"/>
    </row>
    <row r="613" spans="1:26" ht="12.75" customHeight="1">
      <c r="A613" s="73"/>
      <c r="B613" s="73"/>
      <c r="C613" s="80"/>
      <c r="D613" s="79"/>
      <c r="E613" s="79"/>
      <c r="F613" s="81"/>
      <c r="G613" s="81"/>
      <c r="H613" s="79"/>
      <c r="I613" s="79"/>
      <c r="J613" s="79"/>
      <c r="K613" s="79"/>
      <c r="L613" s="79"/>
      <c r="M613" s="79"/>
      <c r="N613" s="79"/>
      <c r="O613" s="79"/>
      <c r="P613" s="79"/>
      <c r="Q613" s="79"/>
      <c r="R613" s="79"/>
      <c r="S613" s="79"/>
      <c r="T613" s="79"/>
      <c r="U613" s="79"/>
      <c r="V613" s="79"/>
      <c r="W613" s="79"/>
      <c r="X613" s="79"/>
      <c r="Y613" s="79"/>
      <c r="Z613" s="79"/>
    </row>
    <row r="614" spans="1:26" ht="12.75" customHeight="1">
      <c r="A614" s="73"/>
      <c r="B614" s="73"/>
      <c r="C614" s="80"/>
      <c r="D614" s="79"/>
      <c r="E614" s="79"/>
      <c r="F614" s="81"/>
      <c r="G614" s="81"/>
      <c r="H614" s="79"/>
      <c r="I614" s="79"/>
      <c r="J614" s="79"/>
      <c r="K614" s="79"/>
      <c r="L614" s="79"/>
      <c r="M614" s="79"/>
      <c r="N614" s="79"/>
      <c r="O614" s="79"/>
      <c r="P614" s="79"/>
      <c r="Q614" s="79"/>
      <c r="R614" s="79"/>
      <c r="S614" s="79"/>
      <c r="T614" s="79"/>
      <c r="U614" s="79"/>
      <c r="V614" s="79"/>
      <c r="W614" s="79"/>
      <c r="X614" s="79"/>
      <c r="Y614" s="79"/>
      <c r="Z614" s="79"/>
    </row>
    <row r="615" spans="1:26" ht="12.75" customHeight="1">
      <c r="A615" s="73"/>
      <c r="B615" s="73"/>
      <c r="C615" s="80"/>
      <c r="D615" s="79"/>
      <c r="E615" s="79"/>
      <c r="F615" s="81"/>
      <c r="G615" s="81"/>
      <c r="H615" s="79"/>
      <c r="I615" s="79"/>
      <c r="J615" s="79"/>
      <c r="K615" s="79"/>
      <c r="L615" s="79"/>
      <c r="M615" s="79"/>
      <c r="N615" s="79"/>
      <c r="O615" s="79"/>
      <c r="P615" s="79"/>
      <c r="Q615" s="79"/>
      <c r="R615" s="79"/>
      <c r="S615" s="79"/>
      <c r="T615" s="79"/>
      <c r="U615" s="79"/>
      <c r="V615" s="79"/>
      <c r="W615" s="79"/>
      <c r="X615" s="79"/>
      <c r="Y615" s="79"/>
      <c r="Z615" s="79"/>
    </row>
    <row r="616" spans="1:26" ht="12.75" customHeight="1">
      <c r="A616" s="73"/>
      <c r="B616" s="73"/>
      <c r="C616" s="80"/>
      <c r="D616" s="79"/>
      <c r="E616" s="79"/>
      <c r="F616" s="81"/>
      <c r="G616" s="81"/>
      <c r="H616" s="79"/>
      <c r="I616" s="79"/>
      <c r="J616" s="79"/>
      <c r="K616" s="79"/>
      <c r="L616" s="79"/>
      <c r="M616" s="79"/>
      <c r="N616" s="79"/>
      <c r="O616" s="79"/>
      <c r="P616" s="79"/>
      <c r="Q616" s="79"/>
      <c r="R616" s="79"/>
      <c r="S616" s="79"/>
      <c r="T616" s="79"/>
      <c r="U616" s="79"/>
      <c r="V616" s="79"/>
      <c r="W616" s="79"/>
      <c r="X616" s="79"/>
      <c r="Y616" s="79"/>
      <c r="Z616" s="79"/>
    </row>
    <row r="617" spans="1:26" ht="12.75" customHeight="1">
      <c r="A617" s="73"/>
      <c r="B617" s="73"/>
      <c r="C617" s="80"/>
      <c r="D617" s="79"/>
      <c r="E617" s="79"/>
      <c r="F617" s="81"/>
      <c r="G617" s="81"/>
      <c r="H617" s="79"/>
      <c r="I617" s="79"/>
      <c r="J617" s="79"/>
      <c r="K617" s="79"/>
      <c r="L617" s="79"/>
      <c r="M617" s="79"/>
      <c r="N617" s="79"/>
      <c r="O617" s="79"/>
      <c r="P617" s="79"/>
      <c r="Q617" s="79"/>
      <c r="R617" s="79"/>
      <c r="S617" s="79"/>
      <c r="T617" s="79"/>
      <c r="U617" s="79"/>
      <c r="V617" s="79"/>
      <c r="W617" s="79"/>
      <c r="X617" s="79"/>
      <c r="Y617" s="79"/>
      <c r="Z617" s="79"/>
    </row>
    <row r="618" spans="1:26" ht="12.75" customHeight="1">
      <c r="A618" s="73"/>
      <c r="B618" s="73"/>
      <c r="C618" s="80"/>
      <c r="D618" s="79"/>
      <c r="E618" s="79"/>
      <c r="F618" s="81"/>
      <c r="G618" s="81"/>
      <c r="H618" s="79"/>
      <c r="I618" s="79"/>
      <c r="J618" s="79"/>
      <c r="K618" s="79"/>
      <c r="L618" s="79"/>
      <c r="M618" s="79"/>
      <c r="N618" s="79"/>
      <c r="O618" s="79"/>
      <c r="P618" s="79"/>
      <c r="Q618" s="79"/>
      <c r="R618" s="79"/>
      <c r="S618" s="79"/>
      <c r="T618" s="79"/>
      <c r="U618" s="79"/>
      <c r="V618" s="79"/>
      <c r="W618" s="79"/>
      <c r="X618" s="79"/>
      <c r="Y618" s="79"/>
      <c r="Z618" s="79"/>
    </row>
    <row r="619" spans="1:26" ht="12.75" customHeight="1">
      <c r="A619" s="73"/>
      <c r="B619" s="73"/>
      <c r="C619" s="80"/>
      <c r="D619" s="79"/>
      <c r="E619" s="79"/>
      <c r="F619" s="81"/>
      <c r="G619" s="81"/>
      <c r="H619" s="79"/>
      <c r="I619" s="79"/>
      <c r="J619" s="79"/>
      <c r="K619" s="79"/>
      <c r="L619" s="79"/>
      <c r="M619" s="79"/>
      <c r="N619" s="79"/>
      <c r="O619" s="79"/>
      <c r="P619" s="79"/>
      <c r="Q619" s="79"/>
      <c r="R619" s="79"/>
      <c r="S619" s="79"/>
      <c r="T619" s="79"/>
      <c r="U619" s="79"/>
      <c r="V619" s="79"/>
      <c r="W619" s="79"/>
      <c r="X619" s="79"/>
      <c r="Y619" s="79"/>
      <c r="Z619" s="79"/>
    </row>
    <row r="620" spans="1:26" ht="12.75" customHeight="1">
      <c r="A620" s="73"/>
      <c r="B620" s="73"/>
      <c r="C620" s="80"/>
      <c r="D620" s="79"/>
      <c r="E620" s="79"/>
      <c r="F620" s="81"/>
      <c r="G620" s="81"/>
      <c r="H620" s="79"/>
      <c r="I620" s="79"/>
      <c r="J620" s="79"/>
      <c r="K620" s="79"/>
      <c r="L620" s="79"/>
      <c r="M620" s="79"/>
      <c r="N620" s="79"/>
      <c r="O620" s="79"/>
      <c r="P620" s="79"/>
      <c r="Q620" s="79"/>
      <c r="R620" s="79"/>
      <c r="S620" s="79"/>
      <c r="T620" s="79"/>
      <c r="U620" s="79"/>
      <c r="V620" s="79"/>
      <c r="W620" s="79"/>
      <c r="X620" s="79"/>
      <c r="Y620" s="79"/>
      <c r="Z620" s="79"/>
    </row>
    <row r="621" spans="1:26" ht="12.75" customHeight="1">
      <c r="A621" s="73"/>
      <c r="B621" s="73"/>
      <c r="C621" s="80"/>
      <c r="D621" s="79"/>
      <c r="E621" s="79"/>
      <c r="F621" s="81"/>
      <c r="G621" s="81"/>
      <c r="H621" s="79"/>
      <c r="I621" s="79"/>
      <c r="J621" s="79"/>
      <c r="K621" s="79"/>
      <c r="L621" s="79"/>
      <c r="M621" s="79"/>
      <c r="N621" s="79"/>
      <c r="O621" s="79"/>
      <c r="P621" s="79"/>
      <c r="Q621" s="79"/>
      <c r="R621" s="79"/>
      <c r="S621" s="79"/>
      <c r="T621" s="79"/>
      <c r="U621" s="79"/>
      <c r="V621" s="79"/>
      <c r="W621" s="79"/>
      <c r="X621" s="79"/>
      <c r="Y621" s="79"/>
      <c r="Z621" s="79"/>
    </row>
    <row r="622" spans="1:26" ht="12.75" customHeight="1">
      <c r="A622" s="73"/>
      <c r="B622" s="73"/>
      <c r="C622" s="80"/>
      <c r="D622" s="79"/>
      <c r="E622" s="79"/>
      <c r="F622" s="81"/>
      <c r="G622" s="81"/>
      <c r="H622" s="79"/>
      <c r="I622" s="79"/>
      <c r="J622" s="79"/>
      <c r="K622" s="79"/>
      <c r="L622" s="79"/>
      <c r="M622" s="79"/>
      <c r="N622" s="79"/>
      <c r="O622" s="79"/>
      <c r="P622" s="79"/>
      <c r="Q622" s="79"/>
      <c r="R622" s="79"/>
      <c r="S622" s="79"/>
      <c r="T622" s="79"/>
      <c r="U622" s="79"/>
      <c r="V622" s="79"/>
      <c r="W622" s="79"/>
      <c r="X622" s="79"/>
      <c r="Y622" s="79"/>
      <c r="Z622" s="79"/>
    </row>
    <row r="623" spans="1:26" ht="12.75" customHeight="1">
      <c r="A623" s="73"/>
      <c r="B623" s="73"/>
      <c r="C623" s="80"/>
      <c r="D623" s="79"/>
      <c r="E623" s="79"/>
      <c r="F623" s="81"/>
      <c r="G623" s="81"/>
      <c r="H623" s="79"/>
      <c r="I623" s="79"/>
      <c r="J623" s="79"/>
      <c r="K623" s="79"/>
      <c r="L623" s="79"/>
      <c r="M623" s="79"/>
      <c r="N623" s="79"/>
      <c r="O623" s="79"/>
      <c r="P623" s="79"/>
      <c r="Q623" s="79"/>
      <c r="R623" s="79"/>
      <c r="S623" s="79"/>
      <c r="T623" s="79"/>
      <c r="U623" s="79"/>
      <c r="V623" s="79"/>
      <c r="W623" s="79"/>
      <c r="X623" s="79"/>
      <c r="Y623" s="79"/>
      <c r="Z623" s="79"/>
    </row>
    <row r="624" spans="1:26" ht="12.75" customHeight="1">
      <c r="A624" s="73"/>
      <c r="B624" s="73"/>
      <c r="C624" s="80"/>
      <c r="D624" s="79"/>
      <c r="E624" s="79"/>
      <c r="F624" s="81"/>
      <c r="G624" s="81"/>
      <c r="H624" s="79"/>
      <c r="I624" s="79"/>
      <c r="J624" s="79"/>
      <c r="K624" s="79"/>
      <c r="L624" s="79"/>
      <c r="M624" s="79"/>
      <c r="N624" s="79"/>
      <c r="O624" s="79"/>
      <c r="P624" s="79"/>
      <c r="Q624" s="79"/>
      <c r="R624" s="79"/>
      <c r="S624" s="79"/>
      <c r="T624" s="79"/>
      <c r="U624" s="79"/>
      <c r="V624" s="79"/>
      <c r="W624" s="79"/>
      <c r="X624" s="79"/>
      <c r="Y624" s="79"/>
      <c r="Z624" s="79"/>
    </row>
    <row r="625" spans="1:26" ht="12.75" customHeight="1">
      <c r="A625" s="73"/>
      <c r="B625" s="73"/>
      <c r="C625" s="80"/>
      <c r="D625" s="79"/>
      <c r="E625" s="79"/>
      <c r="F625" s="81"/>
      <c r="G625" s="81"/>
      <c r="H625" s="79"/>
      <c r="I625" s="79"/>
      <c r="J625" s="79"/>
      <c r="K625" s="79"/>
      <c r="L625" s="79"/>
      <c r="M625" s="79"/>
      <c r="N625" s="79"/>
      <c r="O625" s="79"/>
      <c r="P625" s="79"/>
      <c r="Q625" s="79"/>
      <c r="R625" s="79"/>
      <c r="S625" s="79"/>
      <c r="T625" s="79"/>
      <c r="U625" s="79"/>
      <c r="V625" s="79"/>
      <c r="W625" s="79"/>
      <c r="X625" s="79"/>
      <c r="Y625" s="79"/>
      <c r="Z625" s="79"/>
    </row>
    <row r="626" spans="1:26" ht="12.75" customHeight="1">
      <c r="A626" s="73"/>
      <c r="B626" s="73"/>
      <c r="C626" s="80"/>
      <c r="D626" s="79"/>
      <c r="E626" s="79"/>
      <c r="F626" s="81"/>
      <c r="G626" s="81"/>
      <c r="H626" s="79"/>
      <c r="I626" s="79"/>
      <c r="J626" s="79"/>
      <c r="K626" s="79"/>
      <c r="L626" s="79"/>
      <c r="M626" s="79"/>
      <c r="N626" s="79"/>
      <c r="O626" s="79"/>
      <c r="P626" s="79"/>
      <c r="Q626" s="79"/>
      <c r="R626" s="79"/>
      <c r="S626" s="79"/>
      <c r="T626" s="79"/>
      <c r="U626" s="79"/>
      <c r="V626" s="79"/>
      <c r="W626" s="79"/>
      <c r="X626" s="79"/>
      <c r="Y626" s="79"/>
      <c r="Z626" s="79"/>
    </row>
    <row r="627" spans="1:26" ht="12.75" customHeight="1">
      <c r="A627" s="73"/>
      <c r="B627" s="73"/>
      <c r="C627" s="80"/>
      <c r="D627" s="79"/>
      <c r="E627" s="79"/>
      <c r="F627" s="81"/>
      <c r="G627" s="81"/>
      <c r="H627" s="79"/>
      <c r="I627" s="79"/>
      <c r="J627" s="79"/>
      <c r="K627" s="79"/>
      <c r="L627" s="79"/>
      <c r="M627" s="79"/>
      <c r="N627" s="79"/>
      <c r="O627" s="79"/>
      <c r="P627" s="79"/>
      <c r="Q627" s="79"/>
      <c r="R627" s="79"/>
      <c r="S627" s="79"/>
      <c r="T627" s="79"/>
      <c r="U627" s="79"/>
      <c r="V627" s="79"/>
      <c r="W627" s="79"/>
      <c r="X627" s="79"/>
      <c r="Y627" s="79"/>
      <c r="Z627" s="79"/>
    </row>
    <row r="628" spans="1:26" ht="12.75" customHeight="1">
      <c r="A628" s="73"/>
      <c r="B628" s="73"/>
      <c r="C628" s="80"/>
      <c r="D628" s="79"/>
      <c r="E628" s="79"/>
      <c r="F628" s="81"/>
      <c r="G628" s="81"/>
      <c r="H628" s="79"/>
      <c r="I628" s="79"/>
      <c r="J628" s="79"/>
      <c r="K628" s="79"/>
      <c r="L628" s="79"/>
      <c r="M628" s="79"/>
      <c r="N628" s="79"/>
      <c r="O628" s="79"/>
      <c r="P628" s="79"/>
      <c r="Q628" s="79"/>
      <c r="R628" s="79"/>
      <c r="S628" s="79"/>
      <c r="T628" s="79"/>
      <c r="U628" s="79"/>
      <c r="V628" s="79"/>
      <c r="W628" s="79"/>
      <c r="X628" s="79"/>
      <c r="Y628" s="79"/>
      <c r="Z628" s="79"/>
    </row>
    <row r="629" spans="1:26" ht="12.75" customHeight="1">
      <c r="A629" s="73"/>
      <c r="B629" s="73"/>
      <c r="C629" s="80"/>
      <c r="D629" s="79"/>
      <c r="E629" s="79"/>
      <c r="F629" s="81"/>
      <c r="G629" s="81"/>
      <c r="H629" s="79"/>
      <c r="I629" s="79"/>
      <c r="J629" s="79"/>
      <c r="K629" s="79"/>
      <c r="L629" s="79"/>
      <c r="M629" s="79"/>
      <c r="N629" s="79"/>
      <c r="O629" s="79"/>
      <c r="P629" s="79"/>
      <c r="Q629" s="79"/>
      <c r="R629" s="79"/>
      <c r="S629" s="79"/>
      <c r="T629" s="79"/>
      <c r="U629" s="79"/>
      <c r="V629" s="79"/>
      <c r="W629" s="79"/>
      <c r="X629" s="79"/>
      <c r="Y629" s="79"/>
      <c r="Z629" s="79"/>
    </row>
    <row r="630" spans="1:26" ht="12.75" customHeight="1">
      <c r="A630" s="73"/>
      <c r="B630" s="73"/>
      <c r="C630" s="80"/>
      <c r="D630" s="79"/>
      <c r="E630" s="79"/>
      <c r="F630" s="81"/>
      <c r="G630" s="81"/>
      <c r="H630" s="79"/>
      <c r="I630" s="79"/>
      <c r="J630" s="79"/>
      <c r="K630" s="79"/>
      <c r="L630" s="79"/>
      <c r="M630" s="79"/>
      <c r="N630" s="79"/>
      <c r="O630" s="79"/>
      <c r="P630" s="79"/>
      <c r="Q630" s="79"/>
      <c r="R630" s="79"/>
      <c r="S630" s="79"/>
      <c r="T630" s="79"/>
      <c r="U630" s="79"/>
      <c r="V630" s="79"/>
      <c r="W630" s="79"/>
      <c r="X630" s="79"/>
      <c r="Y630" s="79"/>
      <c r="Z630" s="79"/>
    </row>
    <row r="631" spans="1:26" ht="12.75" customHeight="1">
      <c r="A631" s="73"/>
      <c r="B631" s="73"/>
      <c r="C631" s="80"/>
      <c r="D631" s="79"/>
      <c r="E631" s="79"/>
      <c r="F631" s="81"/>
      <c r="G631" s="81"/>
      <c r="H631" s="79"/>
      <c r="I631" s="79"/>
      <c r="J631" s="79"/>
      <c r="K631" s="79"/>
      <c r="L631" s="79"/>
      <c r="M631" s="79"/>
      <c r="N631" s="79"/>
      <c r="O631" s="79"/>
      <c r="P631" s="79"/>
      <c r="Q631" s="79"/>
      <c r="R631" s="79"/>
      <c r="S631" s="79"/>
      <c r="T631" s="79"/>
      <c r="U631" s="79"/>
      <c r="V631" s="79"/>
      <c r="W631" s="79"/>
      <c r="X631" s="79"/>
      <c r="Y631" s="79"/>
      <c r="Z631" s="79"/>
    </row>
    <row r="632" spans="1:26" ht="12.75" customHeight="1">
      <c r="A632" s="73"/>
      <c r="B632" s="73"/>
      <c r="C632" s="80"/>
      <c r="D632" s="79"/>
      <c r="E632" s="79"/>
      <c r="F632" s="81"/>
      <c r="G632" s="81"/>
      <c r="H632" s="79"/>
      <c r="I632" s="79"/>
      <c r="J632" s="79"/>
      <c r="K632" s="79"/>
      <c r="L632" s="79"/>
      <c r="M632" s="79"/>
      <c r="N632" s="79"/>
      <c r="O632" s="79"/>
      <c r="P632" s="79"/>
      <c r="Q632" s="79"/>
      <c r="R632" s="79"/>
      <c r="S632" s="79"/>
      <c r="T632" s="79"/>
      <c r="U632" s="79"/>
      <c r="V632" s="79"/>
      <c r="W632" s="79"/>
      <c r="X632" s="79"/>
      <c r="Y632" s="79"/>
      <c r="Z632" s="79"/>
    </row>
    <row r="633" spans="1:26" ht="12.75" customHeight="1">
      <c r="A633" s="73"/>
      <c r="B633" s="73"/>
      <c r="C633" s="80"/>
      <c r="D633" s="79"/>
      <c r="E633" s="79"/>
      <c r="F633" s="81"/>
      <c r="G633" s="81"/>
      <c r="H633" s="79"/>
      <c r="I633" s="79"/>
      <c r="J633" s="79"/>
      <c r="K633" s="79"/>
      <c r="L633" s="79"/>
      <c r="M633" s="79"/>
      <c r="N633" s="79"/>
      <c r="O633" s="79"/>
      <c r="P633" s="79"/>
      <c r="Q633" s="79"/>
      <c r="R633" s="79"/>
      <c r="S633" s="79"/>
      <c r="T633" s="79"/>
      <c r="U633" s="79"/>
      <c r="V633" s="79"/>
      <c r="W633" s="79"/>
      <c r="X633" s="79"/>
      <c r="Y633" s="79"/>
      <c r="Z633" s="79"/>
    </row>
    <row r="634" spans="1:26" ht="12.75" customHeight="1">
      <c r="A634" s="73"/>
      <c r="B634" s="73"/>
      <c r="C634" s="80"/>
      <c r="D634" s="79"/>
      <c r="E634" s="79"/>
      <c r="F634" s="81"/>
      <c r="G634" s="81"/>
      <c r="H634" s="79"/>
      <c r="I634" s="79"/>
      <c r="J634" s="79"/>
      <c r="K634" s="79"/>
      <c r="L634" s="79"/>
      <c r="M634" s="79"/>
      <c r="N634" s="79"/>
      <c r="O634" s="79"/>
      <c r="P634" s="79"/>
      <c r="Q634" s="79"/>
      <c r="R634" s="79"/>
      <c r="S634" s="79"/>
      <c r="T634" s="79"/>
      <c r="U634" s="79"/>
      <c r="V634" s="79"/>
      <c r="W634" s="79"/>
      <c r="X634" s="79"/>
      <c r="Y634" s="79"/>
      <c r="Z634" s="79"/>
    </row>
    <row r="635" spans="1:26" ht="12.75" customHeight="1">
      <c r="A635" s="73"/>
      <c r="B635" s="73"/>
      <c r="C635" s="80"/>
      <c r="D635" s="79"/>
      <c r="E635" s="79"/>
      <c r="F635" s="81"/>
      <c r="G635" s="81"/>
      <c r="H635" s="79"/>
      <c r="I635" s="79"/>
      <c r="J635" s="79"/>
      <c r="K635" s="79"/>
      <c r="L635" s="79"/>
      <c r="M635" s="79"/>
      <c r="N635" s="79"/>
      <c r="O635" s="79"/>
      <c r="P635" s="79"/>
      <c r="Q635" s="79"/>
      <c r="R635" s="79"/>
      <c r="S635" s="79"/>
      <c r="T635" s="79"/>
      <c r="U635" s="79"/>
      <c r="V635" s="79"/>
      <c r="W635" s="79"/>
      <c r="X635" s="79"/>
      <c r="Y635" s="79"/>
      <c r="Z635" s="79"/>
    </row>
    <row r="636" spans="1:26" ht="12.75" customHeight="1">
      <c r="A636" s="73"/>
      <c r="B636" s="73"/>
      <c r="C636" s="80"/>
      <c r="D636" s="79"/>
      <c r="E636" s="79"/>
      <c r="F636" s="81"/>
      <c r="G636" s="81"/>
      <c r="H636" s="79"/>
      <c r="I636" s="79"/>
      <c r="J636" s="79"/>
      <c r="K636" s="79"/>
      <c r="L636" s="79"/>
      <c r="M636" s="79"/>
      <c r="N636" s="79"/>
      <c r="O636" s="79"/>
      <c r="P636" s="79"/>
      <c r="Q636" s="79"/>
      <c r="R636" s="79"/>
      <c r="S636" s="79"/>
      <c r="T636" s="79"/>
      <c r="U636" s="79"/>
      <c r="V636" s="79"/>
      <c r="W636" s="79"/>
      <c r="X636" s="79"/>
      <c r="Y636" s="79"/>
      <c r="Z636" s="79"/>
    </row>
    <row r="637" spans="1:26" ht="12.75" customHeight="1">
      <c r="A637" s="73"/>
      <c r="B637" s="73"/>
      <c r="C637" s="80"/>
      <c r="D637" s="79"/>
      <c r="E637" s="79"/>
      <c r="F637" s="81"/>
      <c r="G637" s="81"/>
      <c r="H637" s="79"/>
      <c r="I637" s="79"/>
      <c r="J637" s="79"/>
      <c r="K637" s="79"/>
      <c r="L637" s="79"/>
      <c r="M637" s="79"/>
      <c r="N637" s="79"/>
      <c r="O637" s="79"/>
      <c r="P637" s="79"/>
      <c r="Q637" s="79"/>
      <c r="R637" s="79"/>
      <c r="S637" s="79"/>
      <c r="T637" s="79"/>
      <c r="U637" s="79"/>
      <c r="V637" s="79"/>
      <c r="W637" s="79"/>
      <c r="X637" s="79"/>
      <c r="Y637" s="79"/>
      <c r="Z637" s="79"/>
    </row>
    <row r="638" spans="1:26" ht="12.75" customHeight="1">
      <c r="A638" s="73"/>
      <c r="B638" s="73"/>
      <c r="C638" s="80"/>
      <c r="D638" s="79"/>
      <c r="E638" s="79"/>
      <c r="F638" s="81"/>
      <c r="G638" s="81"/>
      <c r="H638" s="79"/>
      <c r="I638" s="79"/>
      <c r="J638" s="79"/>
      <c r="K638" s="79"/>
      <c r="L638" s="79"/>
      <c r="M638" s="79"/>
      <c r="N638" s="79"/>
      <c r="O638" s="79"/>
      <c r="P638" s="79"/>
      <c r="Q638" s="79"/>
      <c r="R638" s="79"/>
      <c r="S638" s="79"/>
      <c r="T638" s="79"/>
      <c r="U638" s="79"/>
      <c r="V638" s="79"/>
      <c r="W638" s="79"/>
      <c r="X638" s="79"/>
      <c r="Y638" s="79"/>
      <c r="Z638" s="79"/>
    </row>
    <row r="639" spans="1:26" ht="12.75" customHeight="1">
      <c r="A639" s="73"/>
      <c r="B639" s="73"/>
      <c r="C639" s="80"/>
      <c r="D639" s="79"/>
      <c r="E639" s="79"/>
      <c r="F639" s="81"/>
      <c r="G639" s="81"/>
      <c r="H639" s="79"/>
      <c r="I639" s="79"/>
      <c r="J639" s="79"/>
      <c r="K639" s="79"/>
      <c r="L639" s="79"/>
      <c r="M639" s="79"/>
      <c r="N639" s="79"/>
      <c r="O639" s="79"/>
      <c r="P639" s="79"/>
      <c r="Q639" s="79"/>
      <c r="R639" s="79"/>
      <c r="S639" s="79"/>
      <c r="T639" s="79"/>
      <c r="U639" s="79"/>
      <c r="V639" s="79"/>
      <c r="W639" s="79"/>
      <c r="X639" s="79"/>
      <c r="Y639" s="79"/>
      <c r="Z639" s="79"/>
    </row>
    <row r="640" spans="1:26" ht="12.75" customHeight="1">
      <c r="A640" s="73"/>
      <c r="B640" s="73"/>
      <c r="C640" s="80"/>
      <c r="D640" s="79"/>
      <c r="E640" s="79"/>
      <c r="F640" s="81"/>
      <c r="G640" s="81"/>
      <c r="H640" s="79"/>
      <c r="I640" s="79"/>
      <c r="J640" s="79"/>
      <c r="K640" s="79"/>
      <c r="L640" s="79"/>
      <c r="M640" s="79"/>
      <c r="N640" s="79"/>
      <c r="O640" s="79"/>
      <c r="P640" s="79"/>
      <c r="Q640" s="79"/>
      <c r="R640" s="79"/>
      <c r="S640" s="79"/>
      <c r="T640" s="79"/>
      <c r="U640" s="79"/>
      <c r="V640" s="79"/>
      <c r="W640" s="79"/>
      <c r="X640" s="79"/>
      <c r="Y640" s="79"/>
      <c r="Z640" s="79"/>
    </row>
    <row r="641" spans="1:26" ht="12.75" customHeight="1">
      <c r="A641" s="73"/>
      <c r="B641" s="73"/>
      <c r="C641" s="80"/>
      <c r="D641" s="79"/>
      <c r="E641" s="79"/>
      <c r="F641" s="81"/>
      <c r="G641" s="81"/>
      <c r="H641" s="79"/>
      <c r="I641" s="79"/>
      <c r="J641" s="79"/>
      <c r="K641" s="79"/>
      <c r="L641" s="79"/>
      <c r="M641" s="79"/>
      <c r="N641" s="79"/>
      <c r="O641" s="79"/>
      <c r="P641" s="79"/>
      <c r="Q641" s="79"/>
      <c r="R641" s="79"/>
      <c r="S641" s="79"/>
      <c r="T641" s="79"/>
      <c r="U641" s="79"/>
      <c r="V641" s="79"/>
      <c r="W641" s="79"/>
      <c r="X641" s="79"/>
      <c r="Y641" s="79"/>
      <c r="Z641" s="79"/>
    </row>
    <row r="642" spans="1:26" ht="12.75" customHeight="1">
      <c r="A642" s="73"/>
      <c r="B642" s="73"/>
      <c r="C642" s="80"/>
      <c r="D642" s="79"/>
      <c r="E642" s="79"/>
      <c r="F642" s="81"/>
      <c r="G642" s="81"/>
      <c r="H642" s="79"/>
      <c r="I642" s="79"/>
      <c r="J642" s="79"/>
      <c r="K642" s="79"/>
      <c r="L642" s="79"/>
      <c r="M642" s="79"/>
      <c r="N642" s="79"/>
      <c r="O642" s="79"/>
      <c r="P642" s="79"/>
      <c r="Q642" s="79"/>
      <c r="R642" s="79"/>
      <c r="S642" s="79"/>
      <c r="T642" s="79"/>
      <c r="U642" s="79"/>
      <c r="V642" s="79"/>
      <c r="W642" s="79"/>
      <c r="X642" s="79"/>
      <c r="Y642" s="79"/>
      <c r="Z642" s="79"/>
    </row>
    <row r="643" spans="1:26" ht="12.75" customHeight="1">
      <c r="A643" s="73"/>
      <c r="B643" s="73"/>
      <c r="C643" s="80"/>
      <c r="D643" s="79"/>
      <c r="E643" s="79"/>
      <c r="F643" s="81"/>
      <c r="G643" s="81"/>
      <c r="H643" s="79"/>
      <c r="I643" s="79"/>
      <c r="J643" s="79"/>
      <c r="K643" s="79"/>
      <c r="L643" s="79"/>
      <c r="M643" s="79"/>
      <c r="N643" s="79"/>
      <c r="O643" s="79"/>
      <c r="P643" s="79"/>
      <c r="Q643" s="79"/>
      <c r="R643" s="79"/>
      <c r="S643" s="79"/>
      <c r="T643" s="79"/>
      <c r="U643" s="79"/>
      <c r="V643" s="79"/>
      <c r="W643" s="79"/>
      <c r="X643" s="79"/>
      <c r="Y643" s="79"/>
      <c r="Z643" s="79"/>
    </row>
    <row r="644" spans="1:26" ht="12.75" customHeight="1">
      <c r="A644" s="73"/>
      <c r="B644" s="73"/>
      <c r="C644" s="80"/>
      <c r="D644" s="79"/>
      <c r="E644" s="79"/>
      <c r="F644" s="81"/>
      <c r="G644" s="81"/>
      <c r="H644" s="79"/>
      <c r="I644" s="79"/>
      <c r="J644" s="79"/>
      <c r="K644" s="79"/>
      <c r="L644" s="79"/>
      <c r="M644" s="79"/>
      <c r="N644" s="79"/>
      <c r="O644" s="79"/>
      <c r="P644" s="79"/>
      <c r="Q644" s="79"/>
      <c r="R644" s="79"/>
      <c r="S644" s="79"/>
      <c r="T644" s="79"/>
      <c r="U644" s="79"/>
      <c r="V644" s="79"/>
      <c r="W644" s="79"/>
      <c r="X644" s="79"/>
      <c r="Y644" s="79"/>
      <c r="Z644" s="79"/>
    </row>
    <row r="645" spans="1:26" ht="12.75" customHeight="1">
      <c r="A645" s="73"/>
      <c r="B645" s="73"/>
      <c r="C645" s="80"/>
      <c r="D645" s="79"/>
      <c r="E645" s="79"/>
      <c r="F645" s="81"/>
      <c r="G645" s="81"/>
      <c r="H645" s="79"/>
      <c r="I645" s="79"/>
      <c r="J645" s="79"/>
      <c r="K645" s="79"/>
      <c r="L645" s="79"/>
      <c r="M645" s="79"/>
      <c r="N645" s="79"/>
      <c r="O645" s="79"/>
      <c r="P645" s="79"/>
      <c r="Q645" s="79"/>
      <c r="R645" s="79"/>
      <c r="S645" s="79"/>
      <c r="T645" s="79"/>
      <c r="U645" s="79"/>
      <c r="V645" s="79"/>
      <c r="W645" s="79"/>
      <c r="X645" s="79"/>
      <c r="Y645" s="79"/>
      <c r="Z645" s="79"/>
    </row>
    <row r="646" spans="1:26" ht="12.75" customHeight="1">
      <c r="A646" s="73"/>
      <c r="B646" s="73"/>
      <c r="C646" s="80"/>
      <c r="D646" s="79"/>
      <c r="E646" s="79"/>
      <c r="F646" s="81"/>
      <c r="G646" s="81"/>
      <c r="H646" s="79"/>
      <c r="I646" s="79"/>
      <c r="J646" s="79"/>
      <c r="K646" s="79"/>
      <c r="L646" s="79"/>
      <c r="M646" s="79"/>
      <c r="N646" s="79"/>
      <c r="O646" s="79"/>
      <c r="P646" s="79"/>
      <c r="Q646" s="79"/>
      <c r="R646" s="79"/>
      <c r="S646" s="79"/>
      <c r="T646" s="79"/>
      <c r="U646" s="79"/>
      <c r="V646" s="79"/>
      <c r="W646" s="79"/>
      <c r="X646" s="79"/>
      <c r="Y646" s="79"/>
      <c r="Z646" s="79"/>
    </row>
    <row r="647" spans="1:26" ht="12.75" customHeight="1">
      <c r="A647" s="73"/>
      <c r="B647" s="73"/>
      <c r="C647" s="80"/>
      <c r="D647" s="79"/>
      <c r="E647" s="79"/>
      <c r="F647" s="81"/>
      <c r="G647" s="81"/>
      <c r="H647" s="79"/>
      <c r="I647" s="79"/>
      <c r="J647" s="79"/>
      <c r="K647" s="79"/>
      <c r="L647" s="79"/>
      <c r="M647" s="79"/>
      <c r="N647" s="79"/>
      <c r="O647" s="79"/>
      <c r="P647" s="79"/>
      <c r="Q647" s="79"/>
      <c r="R647" s="79"/>
      <c r="S647" s="79"/>
      <c r="T647" s="79"/>
      <c r="U647" s="79"/>
      <c r="V647" s="79"/>
      <c r="W647" s="79"/>
      <c r="X647" s="79"/>
      <c r="Y647" s="79"/>
      <c r="Z647" s="79"/>
    </row>
    <row r="648" spans="1:26" ht="12.75" customHeight="1">
      <c r="A648" s="73"/>
      <c r="B648" s="73"/>
      <c r="C648" s="80"/>
      <c r="D648" s="79"/>
      <c r="E648" s="79"/>
      <c r="F648" s="81"/>
      <c r="G648" s="81"/>
      <c r="H648" s="79"/>
      <c r="I648" s="79"/>
      <c r="J648" s="79"/>
      <c r="K648" s="79"/>
      <c r="L648" s="79"/>
      <c r="M648" s="79"/>
      <c r="N648" s="79"/>
      <c r="O648" s="79"/>
      <c r="P648" s="79"/>
      <c r="Q648" s="79"/>
      <c r="R648" s="79"/>
      <c r="S648" s="79"/>
      <c r="T648" s="79"/>
      <c r="U648" s="79"/>
      <c r="V648" s="79"/>
      <c r="W648" s="79"/>
      <c r="X648" s="79"/>
      <c r="Y648" s="79"/>
      <c r="Z648" s="79"/>
    </row>
    <row r="649" spans="1:26" ht="12.75" customHeight="1">
      <c r="A649" s="73"/>
      <c r="B649" s="73"/>
      <c r="C649" s="80"/>
      <c r="D649" s="79"/>
      <c r="E649" s="79"/>
      <c r="F649" s="81"/>
      <c r="G649" s="81"/>
      <c r="H649" s="79"/>
      <c r="I649" s="79"/>
      <c r="J649" s="79"/>
      <c r="K649" s="79"/>
      <c r="L649" s="79"/>
      <c r="M649" s="79"/>
      <c r="N649" s="79"/>
      <c r="O649" s="79"/>
      <c r="P649" s="79"/>
      <c r="Q649" s="79"/>
      <c r="R649" s="79"/>
      <c r="S649" s="79"/>
      <c r="T649" s="79"/>
      <c r="U649" s="79"/>
      <c r="V649" s="79"/>
      <c r="W649" s="79"/>
      <c r="X649" s="79"/>
      <c r="Y649" s="79"/>
      <c r="Z649" s="79"/>
    </row>
    <row r="650" spans="1:26" ht="12.75" customHeight="1">
      <c r="A650" s="73"/>
      <c r="B650" s="73"/>
      <c r="C650" s="80"/>
      <c r="D650" s="79"/>
      <c r="E650" s="79"/>
      <c r="F650" s="81"/>
      <c r="G650" s="81"/>
      <c r="H650" s="79"/>
      <c r="I650" s="79"/>
      <c r="J650" s="79"/>
      <c r="K650" s="79"/>
      <c r="L650" s="79"/>
      <c r="M650" s="79"/>
      <c r="N650" s="79"/>
      <c r="O650" s="79"/>
      <c r="P650" s="79"/>
      <c r="Q650" s="79"/>
      <c r="R650" s="79"/>
      <c r="S650" s="79"/>
      <c r="T650" s="79"/>
      <c r="U650" s="79"/>
      <c r="V650" s="79"/>
      <c r="W650" s="79"/>
      <c r="X650" s="79"/>
      <c r="Y650" s="79"/>
      <c r="Z650" s="79"/>
    </row>
    <row r="651" spans="1:26" ht="12.75" customHeight="1">
      <c r="A651" s="73"/>
      <c r="B651" s="73"/>
      <c r="C651" s="80"/>
      <c r="D651" s="79"/>
      <c r="E651" s="79"/>
      <c r="F651" s="81"/>
      <c r="G651" s="81"/>
      <c r="H651" s="79"/>
      <c r="I651" s="79"/>
      <c r="J651" s="79"/>
      <c r="K651" s="79"/>
      <c r="L651" s="79"/>
      <c r="M651" s="79"/>
      <c r="N651" s="79"/>
      <c r="O651" s="79"/>
      <c r="P651" s="79"/>
      <c r="Q651" s="79"/>
      <c r="R651" s="79"/>
      <c r="S651" s="79"/>
      <c r="T651" s="79"/>
      <c r="U651" s="79"/>
      <c r="V651" s="79"/>
      <c r="W651" s="79"/>
      <c r="X651" s="79"/>
      <c r="Y651" s="79"/>
      <c r="Z651" s="79"/>
    </row>
    <row r="652" spans="1:26" ht="12.75" customHeight="1">
      <c r="A652" s="73"/>
      <c r="B652" s="73"/>
      <c r="C652" s="80"/>
      <c r="D652" s="79"/>
      <c r="E652" s="79"/>
      <c r="F652" s="81"/>
      <c r="G652" s="81"/>
      <c r="H652" s="79"/>
      <c r="I652" s="79"/>
      <c r="J652" s="79"/>
      <c r="K652" s="79"/>
      <c r="L652" s="79"/>
      <c r="M652" s="79"/>
      <c r="N652" s="79"/>
      <c r="O652" s="79"/>
      <c r="P652" s="79"/>
      <c r="Q652" s="79"/>
      <c r="R652" s="79"/>
      <c r="S652" s="79"/>
      <c r="T652" s="79"/>
      <c r="U652" s="79"/>
      <c r="V652" s="79"/>
      <c r="W652" s="79"/>
      <c r="X652" s="79"/>
      <c r="Y652" s="79"/>
      <c r="Z652" s="79"/>
    </row>
    <row r="653" spans="1:26" ht="12.75" customHeight="1">
      <c r="A653" s="73"/>
      <c r="B653" s="73"/>
      <c r="C653" s="80"/>
      <c r="D653" s="79"/>
      <c r="E653" s="79"/>
      <c r="F653" s="81"/>
      <c r="G653" s="81"/>
      <c r="H653" s="79"/>
      <c r="I653" s="79"/>
      <c r="J653" s="79"/>
      <c r="K653" s="79"/>
      <c r="L653" s="79"/>
      <c r="M653" s="79"/>
      <c r="N653" s="79"/>
      <c r="O653" s="79"/>
      <c r="P653" s="79"/>
      <c r="Q653" s="79"/>
      <c r="R653" s="79"/>
      <c r="S653" s="79"/>
      <c r="T653" s="79"/>
      <c r="U653" s="79"/>
      <c r="V653" s="79"/>
      <c r="W653" s="79"/>
      <c r="X653" s="79"/>
      <c r="Y653" s="79"/>
      <c r="Z653" s="79"/>
    </row>
    <row r="654" spans="1:26" ht="12.75" customHeight="1">
      <c r="A654" s="73"/>
      <c r="B654" s="73"/>
      <c r="C654" s="80"/>
      <c r="D654" s="79"/>
      <c r="E654" s="79"/>
      <c r="F654" s="81"/>
      <c r="G654" s="81"/>
      <c r="H654" s="79"/>
      <c r="I654" s="79"/>
      <c r="J654" s="79"/>
      <c r="K654" s="79"/>
      <c r="L654" s="79"/>
      <c r="M654" s="79"/>
      <c r="N654" s="79"/>
      <c r="O654" s="79"/>
      <c r="P654" s="79"/>
      <c r="Q654" s="79"/>
      <c r="R654" s="79"/>
      <c r="S654" s="79"/>
      <c r="T654" s="79"/>
      <c r="U654" s="79"/>
      <c r="V654" s="79"/>
      <c r="W654" s="79"/>
      <c r="X654" s="79"/>
      <c r="Y654" s="79"/>
      <c r="Z654" s="79"/>
    </row>
    <row r="655" spans="1:26" ht="12.75" customHeight="1">
      <c r="A655" s="73"/>
      <c r="B655" s="73"/>
      <c r="C655" s="80"/>
      <c r="D655" s="79"/>
      <c r="E655" s="79"/>
      <c r="F655" s="81"/>
      <c r="G655" s="81"/>
      <c r="H655" s="79"/>
      <c r="I655" s="79"/>
      <c r="J655" s="79"/>
      <c r="K655" s="79"/>
      <c r="L655" s="79"/>
      <c r="M655" s="79"/>
      <c r="N655" s="79"/>
      <c r="O655" s="79"/>
      <c r="P655" s="79"/>
      <c r="Q655" s="79"/>
      <c r="R655" s="79"/>
      <c r="S655" s="79"/>
      <c r="T655" s="79"/>
      <c r="U655" s="79"/>
      <c r="V655" s="79"/>
      <c r="W655" s="79"/>
      <c r="X655" s="79"/>
      <c r="Y655" s="79"/>
      <c r="Z655" s="79"/>
    </row>
    <row r="656" spans="1:26" ht="12.75" customHeight="1">
      <c r="A656" s="73"/>
      <c r="B656" s="73"/>
      <c r="C656" s="80"/>
      <c r="D656" s="79"/>
      <c r="E656" s="79"/>
      <c r="F656" s="81"/>
      <c r="G656" s="81"/>
      <c r="H656" s="79"/>
      <c r="I656" s="79"/>
      <c r="J656" s="79"/>
      <c r="K656" s="79"/>
      <c r="L656" s="79"/>
      <c r="M656" s="79"/>
      <c r="N656" s="79"/>
      <c r="O656" s="79"/>
      <c r="P656" s="79"/>
      <c r="Q656" s="79"/>
      <c r="R656" s="79"/>
      <c r="S656" s="79"/>
      <c r="T656" s="79"/>
      <c r="U656" s="79"/>
      <c r="V656" s="79"/>
      <c r="W656" s="79"/>
      <c r="X656" s="79"/>
      <c r="Y656" s="79"/>
      <c r="Z656" s="79"/>
    </row>
    <row r="657" spans="1:26" ht="12.75" customHeight="1">
      <c r="A657" s="73"/>
      <c r="B657" s="73"/>
      <c r="C657" s="80"/>
      <c r="D657" s="79"/>
      <c r="E657" s="79"/>
      <c r="F657" s="81"/>
      <c r="G657" s="81"/>
      <c r="H657" s="79"/>
      <c r="I657" s="79"/>
      <c r="J657" s="79"/>
      <c r="K657" s="79"/>
      <c r="L657" s="79"/>
      <c r="M657" s="79"/>
      <c r="N657" s="79"/>
      <c r="O657" s="79"/>
      <c r="P657" s="79"/>
      <c r="Q657" s="79"/>
      <c r="R657" s="79"/>
      <c r="S657" s="79"/>
      <c r="T657" s="79"/>
      <c r="U657" s="79"/>
      <c r="V657" s="79"/>
      <c r="W657" s="79"/>
      <c r="X657" s="79"/>
      <c r="Y657" s="79"/>
      <c r="Z657" s="79"/>
    </row>
    <row r="658" spans="1:26" ht="12.75" customHeight="1">
      <c r="A658" s="73"/>
      <c r="B658" s="73"/>
      <c r="C658" s="80"/>
      <c r="D658" s="79"/>
      <c r="E658" s="79"/>
      <c r="F658" s="81"/>
      <c r="G658" s="81"/>
      <c r="H658" s="79"/>
      <c r="I658" s="79"/>
      <c r="J658" s="79"/>
      <c r="K658" s="79"/>
      <c r="L658" s="79"/>
      <c r="M658" s="79"/>
      <c r="N658" s="79"/>
      <c r="O658" s="79"/>
      <c r="P658" s="79"/>
      <c r="Q658" s="79"/>
      <c r="R658" s="79"/>
      <c r="S658" s="79"/>
      <c r="T658" s="79"/>
      <c r="U658" s="79"/>
      <c r="V658" s="79"/>
      <c r="W658" s="79"/>
      <c r="X658" s="79"/>
      <c r="Y658" s="79"/>
      <c r="Z658" s="79"/>
    </row>
    <row r="659" spans="1:26" ht="12.75" customHeight="1">
      <c r="A659" s="73"/>
      <c r="B659" s="73"/>
      <c r="C659" s="80"/>
      <c r="D659" s="79"/>
      <c r="E659" s="79"/>
      <c r="F659" s="81"/>
      <c r="G659" s="81"/>
      <c r="H659" s="79"/>
      <c r="I659" s="79"/>
      <c r="J659" s="79"/>
      <c r="K659" s="79"/>
      <c r="L659" s="79"/>
      <c r="M659" s="79"/>
      <c r="N659" s="79"/>
      <c r="O659" s="79"/>
      <c r="P659" s="79"/>
      <c r="Q659" s="79"/>
      <c r="R659" s="79"/>
      <c r="S659" s="79"/>
      <c r="T659" s="79"/>
      <c r="U659" s="79"/>
      <c r="V659" s="79"/>
      <c r="W659" s="79"/>
      <c r="X659" s="79"/>
      <c r="Y659" s="79"/>
      <c r="Z659" s="79"/>
    </row>
    <row r="660" spans="1:26" ht="12.75" customHeight="1">
      <c r="A660" s="73"/>
      <c r="B660" s="73"/>
      <c r="C660" s="80"/>
      <c r="D660" s="79"/>
      <c r="E660" s="79"/>
      <c r="F660" s="81"/>
      <c r="G660" s="81"/>
      <c r="H660" s="79"/>
      <c r="I660" s="79"/>
      <c r="J660" s="79"/>
      <c r="K660" s="79"/>
      <c r="L660" s="79"/>
      <c r="M660" s="79"/>
      <c r="N660" s="79"/>
      <c r="O660" s="79"/>
      <c r="P660" s="79"/>
      <c r="Q660" s="79"/>
      <c r="R660" s="79"/>
      <c r="S660" s="79"/>
      <c r="T660" s="79"/>
      <c r="U660" s="79"/>
      <c r="V660" s="79"/>
      <c r="W660" s="79"/>
      <c r="X660" s="79"/>
      <c r="Y660" s="79"/>
      <c r="Z660" s="79"/>
    </row>
    <row r="661" spans="1:26" ht="12.75" customHeight="1">
      <c r="A661" s="73"/>
      <c r="B661" s="73"/>
      <c r="C661" s="80"/>
      <c r="D661" s="79"/>
      <c r="E661" s="79"/>
      <c r="F661" s="81"/>
      <c r="G661" s="81"/>
      <c r="H661" s="79"/>
      <c r="I661" s="79"/>
      <c r="J661" s="79"/>
      <c r="K661" s="79"/>
      <c r="L661" s="79"/>
      <c r="M661" s="79"/>
      <c r="N661" s="79"/>
      <c r="O661" s="79"/>
      <c r="P661" s="79"/>
      <c r="Q661" s="79"/>
      <c r="R661" s="79"/>
      <c r="S661" s="79"/>
      <c r="T661" s="79"/>
      <c r="U661" s="79"/>
      <c r="V661" s="79"/>
      <c r="W661" s="79"/>
      <c r="X661" s="79"/>
      <c r="Y661" s="79"/>
      <c r="Z661" s="79"/>
    </row>
    <row r="662" spans="1:26" ht="12.75" customHeight="1">
      <c r="A662" s="73"/>
      <c r="B662" s="73"/>
      <c r="C662" s="80"/>
      <c r="D662" s="79"/>
      <c r="E662" s="79"/>
      <c r="F662" s="81"/>
      <c r="G662" s="81"/>
      <c r="H662" s="79"/>
      <c r="I662" s="79"/>
      <c r="J662" s="79"/>
      <c r="K662" s="79"/>
      <c r="L662" s="79"/>
      <c r="M662" s="79"/>
      <c r="N662" s="79"/>
      <c r="O662" s="79"/>
      <c r="P662" s="79"/>
      <c r="Q662" s="79"/>
      <c r="R662" s="79"/>
      <c r="S662" s="79"/>
      <c r="T662" s="79"/>
      <c r="U662" s="79"/>
      <c r="V662" s="79"/>
      <c r="W662" s="79"/>
      <c r="X662" s="79"/>
      <c r="Y662" s="79"/>
      <c r="Z662" s="79"/>
    </row>
    <row r="663" spans="1:26" ht="12.75" customHeight="1">
      <c r="A663" s="73"/>
      <c r="B663" s="73"/>
      <c r="C663" s="80"/>
      <c r="D663" s="79"/>
      <c r="E663" s="79"/>
      <c r="F663" s="81"/>
      <c r="G663" s="81"/>
      <c r="H663" s="79"/>
      <c r="I663" s="79"/>
      <c r="J663" s="79"/>
      <c r="K663" s="79"/>
      <c r="L663" s="79"/>
      <c r="M663" s="79"/>
      <c r="N663" s="79"/>
      <c r="O663" s="79"/>
      <c r="P663" s="79"/>
      <c r="Q663" s="79"/>
      <c r="R663" s="79"/>
      <c r="S663" s="79"/>
      <c r="T663" s="79"/>
      <c r="U663" s="79"/>
      <c r="V663" s="79"/>
      <c r="W663" s="79"/>
      <c r="X663" s="79"/>
      <c r="Y663" s="79"/>
      <c r="Z663" s="79"/>
    </row>
    <row r="664" spans="1:26" ht="12.75" customHeight="1">
      <c r="A664" s="73"/>
      <c r="B664" s="73"/>
      <c r="C664" s="80"/>
      <c r="D664" s="79"/>
      <c r="E664" s="79"/>
      <c r="F664" s="81"/>
      <c r="G664" s="81"/>
      <c r="H664" s="79"/>
      <c r="I664" s="79"/>
      <c r="J664" s="79"/>
      <c r="K664" s="79"/>
      <c r="L664" s="79"/>
      <c r="M664" s="79"/>
      <c r="N664" s="79"/>
      <c r="O664" s="79"/>
      <c r="P664" s="79"/>
      <c r="Q664" s="79"/>
      <c r="R664" s="79"/>
      <c r="S664" s="79"/>
      <c r="T664" s="79"/>
      <c r="U664" s="79"/>
      <c r="V664" s="79"/>
      <c r="W664" s="79"/>
      <c r="X664" s="79"/>
      <c r="Y664" s="79"/>
      <c r="Z664" s="79"/>
    </row>
    <row r="665" spans="1:26" ht="12.75" customHeight="1">
      <c r="A665" s="73"/>
      <c r="B665" s="73"/>
      <c r="C665" s="80"/>
      <c r="D665" s="79"/>
      <c r="E665" s="79"/>
      <c r="F665" s="81"/>
      <c r="G665" s="81"/>
      <c r="H665" s="79"/>
      <c r="I665" s="79"/>
      <c r="J665" s="79"/>
      <c r="K665" s="79"/>
      <c r="L665" s="79"/>
      <c r="M665" s="79"/>
      <c r="N665" s="79"/>
      <c r="O665" s="79"/>
      <c r="P665" s="79"/>
      <c r="Q665" s="79"/>
      <c r="R665" s="79"/>
      <c r="S665" s="79"/>
      <c r="T665" s="79"/>
      <c r="U665" s="79"/>
      <c r="V665" s="79"/>
      <c r="W665" s="79"/>
      <c r="X665" s="79"/>
      <c r="Y665" s="79"/>
      <c r="Z665" s="79"/>
    </row>
    <row r="666" spans="1:26" ht="12.75" customHeight="1">
      <c r="A666" s="73"/>
      <c r="B666" s="73"/>
      <c r="C666" s="80"/>
      <c r="D666" s="79"/>
      <c r="E666" s="79"/>
      <c r="F666" s="81"/>
      <c r="G666" s="81"/>
      <c r="H666" s="79"/>
      <c r="I666" s="79"/>
      <c r="J666" s="79"/>
      <c r="K666" s="79"/>
      <c r="L666" s="79"/>
      <c r="M666" s="79"/>
      <c r="N666" s="79"/>
      <c r="O666" s="79"/>
      <c r="P666" s="79"/>
      <c r="Q666" s="79"/>
      <c r="R666" s="79"/>
      <c r="S666" s="79"/>
      <c r="T666" s="79"/>
      <c r="U666" s="79"/>
      <c r="V666" s="79"/>
      <c r="W666" s="79"/>
      <c r="X666" s="79"/>
      <c r="Y666" s="79"/>
      <c r="Z666" s="79"/>
    </row>
    <row r="667" spans="1:26" ht="12.75" customHeight="1">
      <c r="A667" s="73"/>
      <c r="B667" s="73"/>
      <c r="C667" s="80"/>
      <c r="D667" s="79"/>
      <c r="E667" s="79"/>
      <c r="F667" s="81"/>
      <c r="G667" s="81"/>
      <c r="H667" s="79"/>
      <c r="I667" s="79"/>
      <c r="J667" s="79"/>
      <c r="K667" s="79"/>
      <c r="L667" s="79"/>
      <c r="M667" s="79"/>
      <c r="N667" s="79"/>
      <c r="O667" s="79"/>
      <c r="P667" s="79"/>
      <c r="Q667" s="79"/>
      <c r="R667" s="79"/>
      <c r="S667" s="79"/>
      <c r="T667" s="79"/>
      <c r="U667" s="79"/>
      <c r="V667" s="79"/>
      <c r="W667" s="79"/>
      <c r="X667" s="79"/>
      <c r="Y667" s="79"/>
      <c r="Z667" s="79"/>
    </row>
    <row r="668" spans="1:26" ht="12.75" customHeight="1">
      <c r="A668" s="73"/>
      <c r="B668" s="73"/>
      <c r="C668" s="80"/>
      <c r="D668" s="79"/>
      <c r="E668" s="79"/>
      <c r="F668" s="81"/>
      <c r="G668" s="81"/>
      <c r="H668" s="79"/>
      <c r="I668" s="79"/>
      <c r="J668" s="79"/>
      <c r="K668" s="79"/>
      <c r="L668" s="79"/>
      <c r="M668" s="79"/>
      <c r="N668" s="79"/>
      <c r="O668" s="79"/>
      <c r="P668" s="79"/>
      <c r="Q668" s="79"/>
      <c r="R668" s="79"/>
      <c r="S668" s="79"/>
      <c r="T668" s="79"/>
      <c r="U668" s="79"/>
      <c r="V668" s="79"/>
      <c r="W668" s="79"/>
      <c r="X668" s="79"/>
      <c r="Y668" s="79"/>
      <c r="Z668" s="79"/>
    </row>
    <row r="669" spans="1:26" ht="12.75" customHeight="1">
      <c r="A669" s="73"/>
      <c r="B669" s="73"/>
      <c r="C669" s="80"/>
      <c r="D669" s="79"/>
      <c r="E669" s="79"/>
      <c r="F669" s="81"/>
      <c r="G669" s="81"/>
      <c r="H669" s="79"/>
      <c r="I669" s="79"/>
      <c r="J669" s="79"/>
      <c r="K669" s="79"/>
      <c r="L669" s="79"/>
      <c r="M669" s="79"/>
      <c r="N669" s="79"/>
      <c r="O669" s="79"/>
      <c r="P669" s="79"/>
      <c r="Q669" s="79"/>
      <c r="R669" s="79"/>
      <c r="S669" s="79"/>
      <c r="T669" s="79"/>
      <c r="U669" s="79"/>
      <c r="V669" s="79"/>
      <c r="W669" s="79"/>
      <c r="X669" s="79"/>
      <c r="Y669" s="79"/>
      <c r="Z669" s="79"/>
    </row>
    <row r="670" spans="1:26" ht="12.75" customHeight="1">
      <c r="A670" s="73"/>
      <c r="B670" s="73"/>
      <c r="C670" s="80"/>
      <c r="D670" s="79"/>
      <c r="E670" s="79"/>
      <c r="F670" s="81"/>
      <c r="G670" s="81"/>
      <c r="H670" s="79"/>
      <c r="I670" s="79"/>
      <c r="J670" s="79"/>
      <c r="K670" s="79"/>
      <c r="L670" s="79"/>
      <c r="M670" s="79"/>
      <c r="N670" s="79"/>
      <c r="O670" s="79"/>
      <c r="P670" s="79"/>
      <c r="Q670" s="79"/>
      <c r="R670" s="79"/>
      <c r="S670" s="79"/>
      <c r="T670" s="79"/>
      <c r="U670" s="79"/>
      <c r="V670" s="79"/>
      <c r="W670" s="79"/>
      <c r="X670" s="79"/>
      <c r="Y670" s="79"/>
      <c r="Z670" s="79"/>
    </row>
    <row r="671" spans="1:26" ht="12.75" customHeight="1">
      <c r="A671" s="73"/>
      <c r="B671" s="73"/>
      <c r="C671" s="80"/>
      <c r="D671" s="79"/>
      <c r="E671" s="79"/>
      <c r="F671" s="81"/>
      <c r="G671" s="81"/>
      <c r="H671" s="79"/>
      <c r="I671" s="79"/>
      <c r="J671" s="79"/>
      <c r="K671" s="79"/>
      <c r="L671" s="79"/>
      <c r="M671" s="79"/>
      <c r="N671" s="79"/>
      <c r="O671" s="79"/>
      <c r="P671" s="79"/>
      <c r="Q671" s="79"/>
      <c r="R671" s="79"/>
      <c r="S671" s="79"/>
      <c r="T671" s="79"/>
      <c r="U671" s="79"/>
      <c r="V671" s="79"/>
      <c r="W671" s="79"/>
      <c r="X671" s="79"/>
      <c r="Y671" s="79"/>
      <c r="Z671" s="79"/>
    </row>
    <row r="672" spans="1:26" ht="12.75" customHeight="1">
      <c r="A672" s="73"/>
      <c r="B672" s="73"/>
      <c r="C672" s="80"/>
      <c r="D672" s="79"/>
      <c r="E672" s="79"/>
      <c r="F672" s="81"/>
      <c r="G672" s="81"/>
      <c r="H672" s="79"/>
      <c r="I672" s="79"/>
      <c r="J672" s="79"/>
      <c r="K672" s="79"/>
      <c r="L672" s="79"/>
      <c r="M672" s="79"/>
      <c r="N672" s="79"/>
      <c r="O672" s="79"/>
      <c r="P672" s="79"/>
      <c r="Q672" s="79"/>
      <c r="R672" s="79"/>
      <c r="S672" s="79"/>
      <c r="T672" s="79"/>
      <c r="U672" s="79"/>
      <c r="V672" s="79"/>
      <c r="W672" s="79"/>
      <c r="X672" s="79"/>
      <c r="Y672" s="79"/>
      <c r="Z672" s="79"/>
    </row>
    <row r="673" spans="1:26" ht="12.75" customHeight="1">
      <c r="A673" s="73"/>
      <c r="B673" s="73"/>
      <c r="C673" s="80"/>
      <c r="D673" s="79"/>
      <c r="E673" s="79"/>
      <c r="F673" s="81"/>
      <c r="G673" s="81"/>
      <c r="H673" s="79"/>
      <c r="I673" s="79"/>
      <c r="J673" s="79"/>
      <c r="K673" s="79"/>
      <c r="L673" s="79"/>
      <c r="M673" s="79"/>
      <c r="N673" s="79"/>
      <c r="O673" s="79"/>
      <c r="P673" s="79"/>
      <c r="Q673" s="79"/>
      <c r="R673" s="79"/>
      <c r="S673" s="79"/>
      <c r="T673" s="79"/>
      <c r="U673" s="79"/>
      <c r="V673" s="79"/>
      <c r="W673" s="79"/>
      <c r="X673" s="79"/>
      <c r="Y673" s="79"/>
      <c r="Z673" s="79"/>
    </row>
    <row r="674" spans="1:26" ht="12.75" customHeight="1">
      <c r="A674" s="73"/>
      <c r="B674" s="73"/>
      <c r="C674" s="80"/>
      <c r="D674" s="79"/>
      <c r="E674" s="79"/>
      <c r="F674" s="81"/>
      <c r="G674" s="81"/>
      <c r="H674" s="79"/>
      <c r="I674" s="79"/>
      <c r="J674" s="79"/>
      <c r="K674" s="79"/>
      <c r="L674" s="79"/>
      <c r="M674" s="79"/>
      <c r="N674" s="79"/>
      <c r="O674" s="79"/>
      <c r="P674" s="79"/>
      <c r="Q674" s="79"/>
      <c r="R674" s="79"/>
      <c r="S674" s="79"/>
      <c r="T674" s="79"/>
      <c r="U674" s="79"/>
      <c r="V674" s="79"/>
      <c r="W674" s="79"/>
      <c r="X674" s="79"/>
      <c r="Y674" s="79"/>
      <c r="Z674" s="79"/>
    </row>
    <row r="675" spans="1:26" ht="12.75" customHeight="1">
      <c r="A675" s="73"/>
      <c r="B675" s="73"/>
      <c r="C675" s="80"/>
      <c r="D675" s="79"/>
      <c r="E675" s="79"/>
      <c r="F675" s="81"/>
      <c r="G675" s="81"/>
      <c r="H675" s="79"/>
      <c r="I675" s="79"/>
      <c r="J675" s="79"/>
      <c r="K675" s="79"/>
      <c r="L675" s="79"/>
      <c r="M675" s="79"/>
      <c r="N675" s="79"/>
      <c r="O675" s="79"/>
      <c r="P675" s="79"/>
      <c r="Q675" s="79"/>
      <c r="R675" s="79"/>
      <c r="S675" s="79"/>
      <c r="T675" s="79"/>
      <c r="U675" s="79"/>
      <c r="V675" s="79"/>
      <c r="W675" s="79"/>
      <c r="X675" s="79"/>
      <c r="Y675" s="79"/>
      <c r="Z675" s="79"/>
    </row>
    <row r="676" spans="1:26" ht="12.75" customHeight="1">
      <c r="A676" s="73"/>
      <c r="B676" s="73"/>
      <c r="C676" s="80"/>
      <c r="D676" s="79"/>
      <c r="E676" s="79"/>
      <c r="F676" s="81"/>
      <c r="G676" s="81"/>
      <c r="H676" s="79"/>
      <c r="I676" s="79"/>
      <c r="J676" s="79"/>
      <c r="K676" s="79"/>
      <c r="L676" s="79"/>
      <c r="M676" s="79"/>
      <c r="N676" s="79"/>
      <c r="O676" s="79"/>
      <c r="P676" s="79"/>
      <c r="Q676" s="79"/>
      <c r="R676" s="79"/>
      <c r="S676" s="79"/>
      <c r="T676" s="79"/>
      <c r="U676" s="79"/>
      <c r="V676" s="79"/>
      <c r="W676" s="79"/>
      <c r="X676" s="79"/>
      <c r="Y676" s="79"/>
      <c r="Z676" s="79"/>
    </row>
    <row r="677" spans="1:26" ht="12.75" customHeight="1">
      <c r="A677" s="73"/>
      <c r="B677" s="73"/>
      <c r="C677" s="80"/>
      <c r="D677" s="79"/>
      <c r="E677" s="79"/>
      <c r="F677" s="81"/>
      <c r="G677" s="81"/>
      <c r="H677" s="79"/>
      <c r="I677" s="79"/>
      <c r="J677" s="79"/>
      <c r="K677" s="79"/>
      <c r="L677" s="79"/>
      <c r="M677" s="79"/>
      <c r="N677" s="79"/>
      <c r="O677" s="79"/>
      <c r="P677" s="79"/>
      <c r="Q677" s="79"/>
      <c r="R677" s="79"/>
      <c r="S677" s="79"/>
      <c r="T677" s="79"/>
      <c r="U677" s="79"/>
      <c r="V677" s="79"/>
      <c r="W677" s="79"/>
      <c r="X677" s="79"/>
      <c r="Y677" s="79"/>
      <c r="Z677" s="79"/>
    </row>
    <row r="678" spans="1:26" ht="12.75" customHeight="1">
      <c r="A678" s="73"/>
      <c r="B678" s="73"/>
      <c r="C678" s="80"/>
      <c r="D678" s="79"/>
      <c r="E678" s="79"/>
      <c r="F678" s="81"/>
      <c r="G678" s="81"/>
      <c r="H678" s="79"/>
      <c r="I678" s="79"/>
      <c r="J678" s="79"/>
      <c r="K678" s="79"/>
      <c r="L678" s="79"/>
      <c r="M678" s="79"/>
      <c r="N678" s="79"/>
      <c r="O678" s="79"/>
      <c r="P678" s="79"/>
      <c r="Q678" s="79"/>
      <c r="R678" s="79"/>
      <c r="S678" s="79"/>
      <c r="T678" s="79"/>
      <c r="U678" s="79"/>
      <c r="V678" s="79"/>
      <c r="W678" s="79"/>
      <c r="X678" s="79"/>
      <c r="Y678" s="79"/>
      <c r="Z678" s="79"/>
    </row>
    <row r="679" spans="1:26" ht="12.75" customHeight="1">
      <c r="A679" s="73"/>
      <c r="B679" s="73"/>
      <c r="C679" s="80"/>
      <c r="D679" s="79"/>
      <c r="E679" s="79"/>
      <c r="F679" s="81"/>
      <c r="G679" s="81"/>
      <c r="H679" s="79"/>
      <c r="I679" s="79"/>
      <c r="J679" s="79"/>
      <c r="K679" s="79"/>
      <c r="L679" s="79"/>
      <c r="M679" s="79"/>
      <c r="N679" s="79"/>
      <c r="O679" s="79"/>
      <c r="P679" s="79"/>
      <c r="Q679" s="79"/>
      <c r="R679" s="79"/>
      <c r="S679" s="79"/>
      <c r="T679" s="79"/>
      <c r="U679" s="79"/>
      <c r="V679" s="79"/>
      <c r="W679" s="79"/>
      <c r="X679" s="79"/>
      <c r="Y679" s="79"/>
      <c r="Z679" s="79"/>
    </row>
    <row r="680" spans="1:26" ht="12.75" customHeight="1">
      <c r="A680" s="73"/>
      <c r="B680" s="73"/>
      <c r="C680" s="80"/>
      <c r="D680" s="79"/>
      <c r="E680" s="79"/>
      <c r="F680" s="81"/>
      <c r="G680" s="81"/>
      <c r="H680" s="79"/>
      <c r="I680" s="79"/>
      <c r="J680" s="79"/>
      <c r="K680" s="79"/>
      <c r="L680" s="79"/>
      <c r="M680" s="79"/>
      <c r="N680" s="79"/>
      <c r="O680" s="79"/>
      <c r="P680" s="79"/>
      <c r="Q680" s="79"/>
      <c r="R680" s="79"/>
      <c r="S680" s="79"/>
      <c r="T680" s="79"/>
      <c r="U680" s="79"/>
      <c r="V680" s="79"/>
      <c r="W680" s="79"/>
      <c r="X680" s="79"/>
      <c r="Y680" s="79"/>
      <c r="Z680" s="79"/>
    </row>
    <row r="681" spans="1:26" ht="12.75" customHeight="1">
      <c r="A681" s="73"/>
      <c r="B681" s="73"/>
      <c r="C681" s="80"/>
      <c r="D681" s="79"/>
      <c r="E681" s="79"/>
      <c r="F681" s="81"/>
      <c r="G681" s="81"/>
      <c r="H681" s="79"/>
      <c r="I681" s="79"/>
      <c r="J681" s="79"/>
      <c r="K681" s="79"/>
      <c r="L681" s="79"/>
      <c r="M681" s="79"/>
      <c r="N681" s="79"/>
      <c r="O681" s="79"/>
      <c r="P681" s="79"/>
      <c r="Q681" s="79"/>
      <c r="R681" s="79"/>
      <c r="S681" s="79"/>
      <c r="T681" s="79"/>
      <c r="U681" s="79"/>
      <c r="V681" s="79"/>
      <c r="W681" s="79"/>
      <c r="X681" s="79"/>
      <c r="Y681" s="79"/>
      <c r="Z681" s="79"/>
    </row>
    <row r="682" spans="1:26" ht="12.75" customHeight="1">
      <c r="A682" s="73"/>
      <c r="B682" s="73"/>
      <c r="C682" s="80"/>
      <c r="D682" s="79"/>
      <c r="E682" s="79"/>
      <c r="F682" s="81"/>
      <c r="G682" s="81"/>
      <c r="H682" s="79"/>
      <c r="I682" s="79"/>
      <c r="J682" s="79"/>
      <c r="K682" s="79"/>
      <c r="L682" s="79"/>
      <c r="M682" s="79"/>
      <c r="N682" s="79"/>
      <c r="O682" s="79"/>
      <c r="P682" s="79"/>
      <c r="Q682" s="79"/>
      <c r="R682" s="79"/>
      <c r="S682" s="79"/>
      <c r="T682" s="79"/>
      <c r="U682" s="79"/>
      <c r="V682" s="79"/>
      <c r="W682" s="79"/>
      <c r="X682" s="79"/>
      <c r="Y682" s="79"/>
      <c r="Z682" s="79"/>
    </row>
    <row r="683" spans="1:26" ht="12.75" customHeight="1">
      <c r="A683" s="73"/>
      <c r="B683" s="73"/>
      <c r="C683" s="80"/>
      <c r="D683" s="79"/>
      <c r="E683" s="79"/>
      <c r="F683" s="81"/>
      <c r="G683" s="81"/>
      <c r="H683" s="79"/>
      <c r="I683" s="79"/>
      <c r="J683" s="79"/>
      <c r="K683" s="79"/>
      <c r="L683" s="79"/>
      <c r="M683" s="79"/>
      <c r="N683" s="79"/>
      <c r="O683" s="79"/>
      <c r="P683" s="79"/>
      <c r="Q683" s="79"/>
      <c r="R683" s="79"/>
      <c r="S683" s="79"/>
      <c r="T683" s="79"/>
      <c r="U683" s="79"/>
      <c r="V683" s="79"/>
      <c r="W683" s="79"/>
      <c r="X683" s="79"/>
      <c r="Y683" s="79"/>
      <c r="Z683" s="79"/>
    </row>
    <row r="684" spans="1:26" ht="12.75" customHeight="1">
      <c r="A684" s="73"/>
      <c r="B684" s="73"/>
      <c r="C684" s="80"/>
      <c r="D684" s="79"/>
      <c r="E684" s="79"/>
      <c r="F684" s="81"/>
      <c r="G684" s="81"/>
      <c r="H684" s="79"/>
      <c r="I684" s="79"/>
      <c r="J684" s="79"/>
      <c r="K684" s="79"/>
      <c r="L684" s="79"/>
      <c r="M684" s="79"/>
      <c r="N684" s="79"/>
      <c r="O684" s="79"/>
      <c r="P684" s="79"/>
      <c r="Q684" s="79"/>
      <c r="R684" s="79"/>
      <c r="S684" s="79"/>
      <c r="T684" s="79"/>
      <c r="U684" s="79"/>
      <c r="V684" s="79"/>
      <c r="W684" s="79"/>
      <c r="X684" s="79"/>
      <c r="Y684" s="79"/>
      <c r="Z684" s="79"/>
    </row>
    <row r="685" spans="1:26" ht="12.75" customHeight="1">
      <c r="A685" s="73"/>
      <c r="B685" s="73"/>
      <c r="C685" s="80"/>
      <c r="D685" s="79"/>
      <c r="E685" s="79"/>
      <c r="F685" s="81"/>
      <c r="G685" s="81"/>
      <c r="H685" s="79"/>
      <c r="I685" s="79"/>
      <c r="J685" s="79"/>
      <c r="K685" s="79"/>
      <c r="L685" s="79"/>
      <c r="M685" s="79"/>
      <c r="N685" s="79"/>
      <c r="O685" s="79"/>
      <c r="P685" s="79"/>
      <c r="Q685" s="79"/>
      <c r="R685" s="79"/>
      <c r="S685" s="79"/>
      <c r="T685" s="79"/>
      <c r="U685" s="79"/>
      <c r="V685" s="79"/>
      <c r="W685" s="79"/>
      <c r="X685" s="79"/>
      <c r="Y685" s="79"/>
      <c r="Z685" s="79"/>
    </row>
    <row r="686" spans="1:26" ht="12.75" customHeight="1">
      <c r="A686" s="73"/>
      <c r="B686" s="73"/>
      <c r="C686" s="80"/>
      <c r="D686" s="79"/>
      <c r="E686" s="79"/>
      <c r="F686" s="81"/>
      <c r="G686" s="81"/>
      <c r="H686" s="79"/>
      <c r="I686" s="79"/>
      <c r="J686" s="79"/>
      <c r="K686" s="79"/>
      <c r="L686" s="79"/>
      <c r="M686" s="79"/>
      <c r="N686" s="79"/>
      <c r="O686" s="79"/>
      <c r="P686" s="79"/>
      <c r="Q686" s="79"/>
      <c r="R686" s="79"/>
      <c r="S686" s="79"/>
      <c r="T686" s="79"/>
      <c r="U686" s="79"/>
      <c r="V686" s="79"/>
      <c r="W686" s="79"/>
      <c r="X686" s="79"/>
      <c r="Y686" s="79"/>
      <c r="Z686" s="79"/>
    </row>
    <row r="687" spans="1:26" ht="12.75" customHeight="1">
      <c r="A687" s="73"/>
      <c r="B687" s="73"/>
      <c r="C687" s="80"/>
      <c r="D687" s="79"/>
      <c r="E687" s="79"/>
      <c r="F687" s="81"/>
      <c r="G687" s="81"/>
      <c r="H687" s="79"/>
      <c r="I687" s="79"/>
      <c r="J687" s="79"/>
      <c r="K687" s="79"/>
      <c r="L687" s="79"/>
      <c r="M687" s="79"/>
      <c r="N687" s="79"/>
      <c r="O687" s="79"/>
      <c r="P687" s="79"/>
      <c r="Q687" s="79"/>
      <c r="R687" s="79"/>
      <c r="S687" s="79"/>
      <c r="T687" s="79"/>
      <c r="U687" s="79"/>
      <c r="V687" s="79"/>
      <c r="W687" s="79"/>
      <c r="X687" s="79"/>
      <c r="Y687" s="79"/>
      <c r="Z687" s="79"/>
    </row>
    <row r="688" spans="1:26" ht="12.75" customHeight="1">
      <c r="A688" s="73"/>
      <c r="B688" s="73"/>
      <c r="C688" s="80"/>
      <c r="D688" s="79"/>
      <c r="E688" s="79"/>
      <c r="F688" s="81"/>
      <c r="G688" s="81"/>
      <c r="H688" s="79"/>
      <c r="I688" s="79"/>
      <c r="J688" s="79"/>
      <c r="K688" s="79"/>
      <c r="L688" s="79"/>
      <c r="M688" s="79"/>
      <c r="N688" s="79"/>
      <c r="O688" s="79"/>
      <c r="P688" s="79"/>
      <c r="Q688" s="79"/>
      <c r="R688" s="79"/>
      <c r="S688" s="79"/>
      <c r="T688" s="79"/>
      <c r="U688" s="79"/>
      <c r="V688" s="79"/>
      <c r="W688" s="79"/>
      <c r="X688" s="79"/>
      <c r="Y688" s="79"/>
      <c r="Z688" s="79"/>
    </row>
    <row r="689" spans="1:26" ht="12.75" customHeight="1">
      <c r="A689" s="73"/>
      <c r="B689" s="73"/>
      <c r="C689" s="80"/>
      <c r="D689" s="79"/>
      <c r="E689" s="79"/>
      <c r="F689" s="81"/>
      <c r="G689" s="81"/>
      <c r="H689" s="79"/>
      <c r="I689" s="79"/>
      <c r="J689" s="79"/>
      <c r="K689" s="79"/>
      <c r="L689" s="79"/>
      <c r="M689" s="79"/>
      <c r="N689" s="79"/>
      <c r="O689" s="79"/>
      <c r="P689" s="79"/>
      <c r="Q689" s="79"/>
      <c r="R689" s="79"/>
      <c r="S689" s="79"/>
      <c r="T689" s="79"/>
      <c r="U689" s="79"/>
      <c r="V689" s="79"/>
      <c r="W689" s="79"/>
      <c r="X689" s="79"/>
      <c r="Y689" s="79"/>
      <c r="Z689" s="79"/>
    </row>
    <row r="690" spans="1:26" ht="12.75" customHeight="1">
      <c r="A690" s="73"/>
      <c r="B690" s="73"/>
      <c r="C690" s="80"/>
      <c r="D690" s="79"/>
      <c r="E690" s="79"/>
      <c r="F690" s="81"/>
      <c r="G690" s="81"/>
      <c r="H690" s="79"/>
      <c r="I690" s="79"/>
      <c r="J690" s="79"/>
      <c r="K690" s="79"/>
      <c r="L690" s="79"/>
      <c r="M690" s="79"/>
      <c r="N690" s="79"/>
      <c r="O690" s="79"/>
      <c r="P690" s="79"/>
      <c r="Q690" s="79"/>
      <c r="R690" s="79"/>
      <c r="S690" s="79"/>
      <c r="T690" s="79"/>
      <c r="U690" s="79"/>
      <c r="V690" s="79"/>
      <c r="W690" s="79"/>
      <c r="X690" s="79"/>
      <c r="Y690" s="79"/>
      <c r="Z690" s="79"/>
    </row>
    <row r="691" spans="1:26" ht="12.75" customHeight="1">
      <c r="A691" s="73"/>
      <c r="B691" s="73"/>
      <c r="C691" s="80"/>
      <c r="D691" s="79"/>
      <c r="E691" s="79"/>
      <c r="F691" s="81"/>
      <c r="G691" s="81"/>
      <c r="H691" s="79"/>
      <c r="I691" s="79"/>
      <c r="J691" s="79"/>
      <c r="K691" s="79"/>
      <c r="L691" s="79"/>
      <c r="M691" s="79"/>
      <c r="N691" s="79"/>
      <c r="O691" s="79"/>
      <c r="P691" s="79"/>
      <c r="Q691" s="79"/>
      <c r="R691" s="79"/>
      <c r="S691" s="79"/>
      <c r="T691" s="79"/>
      <c r="U691" s="79"/>
      <c r="V691" s="79"/>
      <c r="W691" s="79"/>
      <c r="X691" s="79"/>
      <c r="Y691" s="79"/>
      <c r="Z691" s="79"/>
    </row>
    <row r="692" spans="1:26" ht="12.75" customHeight="1">
      <c r="A692" s="73"/>
      <c r="B692" s="73"/>
      <c r="C692" s="80"/>
      <c r="D692" s="79"/>
      <c r="E692" s="79"/>
      <c r="F692" s="81"/>
      <c r="G692" s="81"/>
      <c r="H692" s="79"/>
      <c r="I692" s="79"/>
      <c r="J692" s="79"/>
      <c r="K692" s="79"/>
      <c r="L692" s="79"/>
      <c r="M692" s="79"/>
      <c r="N692" s="79"/>
      <c r="O692" s="79"/>
      <c r="P692" s="79"/>
      <c r="Q692" s="79"/>
      <c r="R692" s="79"/>
      <c r="S692" s="79"/>
      <c r="T692" s="79"/>
      <c r="U692" s="79"/>
      <c r="V692" s="79"/>
      <c r="W692" s="79"/>
      <c r="X692" s="79"/>
      <c r="Y692" s="79"/>
      <c r="Z692" s="79"/>
    </row>
    <row r="693" spans="1:26" ht="12.75" customHeight="1">
      <c r="A693" s="73"/>
      <c r="B693" s="73"/>
      <c r="C693" s="80"/>
      <c r="D693" s="79"/>
      <c r="E693" s="79"/>
      <c r="F693" s="81"/>
      <c r="G693" s="81"/>
      <c r="H693" s="79"/>
      <c r="I693" s="79"/>
      <c r="J693" s="79"/>
      <c r="K693" s="79"/>
      <c r="L693" s="79"/>
      <c r="M693" s="79"/>
      <c r="N693" s="79"/>
      <c r="O693" s="79"/>
      <c r="P693" s="79"/>
      <c r="Q693" s="79"/>
      <c r="R693" s="79"/>
      <c r="S693" s="79"/>
      <c r="T693" s="79"/>
      <c r="U693" s="79"/>
      <c r="V693" s="79"/>
      <c r="W693" s="79"/>
      <c r="X693" s="79"/>
      <c r="Y693" s="79"/>
      <c r="Z693" s="79"/>
    </row>
    <row r="694" spans="1:26" ht="12.75" customHeight="1">
      <c r="A694" s="73"/>
      <c r="B694" s="73"/>
      <c r="C694" s="80"/>
      <c r="D694" s="79"/>
      <c r="E694" s="79"/>
      <c r="F694" s="81"/>
      <c r="G694" s="81"/>
      <c r="H694" s="79"/>
      <c r="I694" s="79"/>
      <c r="J694" s="79"/>
      <c r="K694" s="79"/>
      <c r="L694" s="79"/>
      <c r="M694" s="79"/>
      <c r="N694" s="79"/>
      <c r="O694" s="79"/>
      <c r="P694" s="79"/>
      <c r="Q694" s="79"/>
      <c r="R694" s="79"/>
      <c r="S694" s="79"/>
      <c r="T694" s="79"/>
      <c r="U694" s="79"/>
      <c r="V694" s="79"/>
      <c r="W694" s="79"/>
      <c r="X694" s="79"/>
      <c r="Y694" s="79"/>
      <c r="Z694" s="79"/>
    </row>
    <row r="695" spans="1:26" ht="12.75" customHeight="1">
      <c r="A695" s="73"/>
      <c r="B695" s="73"/>
      <c r="C695" s="80"/>
      <c r="D695" s="79"/>
      <c r="E695" s="79"/>
      <c r="F695" s="81"/>
      <c r="G695" s="81"/>
      <c r="H695" s="79"/>
      <c r="I695" s="79"/>
      <c r="J695" s="79"/>
      <c r="K695" s="79"/>
      <c r="L695" s="79"/>
      <c r="M695" s="79"/>
      <c r="N695" s="79"/>
      <c r="O695" s="79"/>
      <c r="P695" s="79"/>
      <c r="Q695" s="79"/>
      <c r="R695" s="79"/>
      <c r="S695" s="79"/>
      <c r="T695" s="79"/>
      <c r="U695" s="79"/>
      <c r="V695" s="79"/>
      <c r="W695" s="79"/>
      <c r="X695" s="79"/>
      <c r="Y695" s="79"/>
      <c r="Z695" s="79"/>
    </row>
    <row r="696" spans="1:26" ht="12.75" customHeight="1">
      <c r="A696" s="73"/>
      <c r="B696" s="73"/>
      <c r="C696" s="80"/>
      <c r="D696" s="79"/>
      <c r="E696" s="79"/>
      <c r="F696" s="81"/>
      <c r="G696" s="81"/>
      <c r="H696" s="79"/>
      <c r="I696" s="79"/>
      <c r="J696" s="79"/>
      <c r="K696" s="79"/>
      <c r="L696" s="79"/>
      <c r="M696" s="79"/>
      <c r="N696" s="79"/>
      <c r="O696" s="79"/>
      <c r="P696" s="79"/>
      <c r="Q696" s="79"/>
      <c r="R696" s="79"/>
      <c r="S696" s="79"/>
      <c r="T696" s="79"/>
      <c r="U696" s="79"/>
      <c r="V696" s="79"/>
      <c r="W696" s="79"/>
      <c r="X696" s="79"/>
      <c r="Y696" s="79"/>
      <c r="Z696" s="79"/>
    </row>
    <row r="697" spans="1:26" ht="12.75" customHeight="1">
      <c r="A697" s="73"/>
      <c r="B697" s="73"/>
      <c r="C697" s="80"/>
      <c r="D697" s="79"/>
      <c r="E697" s="79"/>
      <c r="F697" s="81"/>
      <c r="G697" s="81"/>
      <c r="H697" s="79"/>
      <c r="I697" s="79"/>
      <c r="J697" s="79"/>
      <c r="K697" s="79"/>
      <c r="L697" s="79"/>
      <c r="M697" s="79"/>
      <c r="N697" s="79"/>
      <c r="O697" s="79"/>
      <c r="P697" s="79"/>
      <c r="Q697" s="79"/>
      <c r="R697" s="79"/>
      <c r="S697" s="79"/>
      <c r="T697" s="79"/>
      <c r="U697" s="79"/>
      <c r="V697" s="79"/>
      <c r="W697" s="79"/>
      <c r="X697" s="79"/>
      <c r="Y697" s="79"/>
      <c r="Z697" s="79"/>
    </row>
    <row r="698" spans="1:26" ht="12.75" customHeight="1">
      <c r="A698" s="73"/>
      <c r="B698" s="73"/>
      <c r="C698" s="80"/>
      <c r="D698" s="79"/>
      <c r="E698" s="79"/>
      <c r="F698" s="81"/>
      <c r="G698" s="81"/>
      <c r="H698" s="79"/>
      <c r="I698" s="79"/>
      <c r="J698" s="79"/>
      <c r="K698" s="79"/>
      <c r="L698" s="79"/>
      <c r="M698" s="79"/>
      <c r="N698" s="79"/>
      <c r="O698" s="79"/>
      <c r="P698" s="79"/>
      <c r="Q698" s="79"/>
      <c r="R698" s="79"/>
      <c r="S698" s="79"/>
      <c r="T698" s="79"/>
      <c r="U698" s="79"/>
      <c r="V698" s="79"/>
      <c r="W698" s="79"/>
      <c r="X698" s="79"/>
      <c r="Y698" s="79"/>
      <c r="Z698" s="79"/>
    </row>
    <row r="699" spans="1:26" ht="12.75" customHeight="1">
      <c r="A699" s="73"/>
      <c r="B699" s="73"/>
      <c r="C699" s="80"/>
      <c r="D699" s="79"/>
      <c r="E699" s="79"/>
      <c r="F699" s="81"/>
      <c r="G699" s="81"/>
      <c r="H699" s="79"/>
      <c r="I699" s="79"/>
      <c r="J699" s="79"/>
      <c r="K699" s="79"/>
      <c r="L699" s="79"/>
      <c r="M699" s="79"/>
      <c r="N699" s="79"/>
      <c r="O699" s="79"/>
      <c r="P699" s="79"/>
      <c r="Q699" s="79"/>
      <c r="R699" s="79"/>
      <c r="S699" s="79"/>
      <c r="T699" s="79"/>
      <c r="U699" s="79"/>
      <c r="V699" s="79"/>
      <c r="W699" s="79"/>
      <c r="X699" s="79"/>
      <c r="Y699" s="79"/>
      <c r="Z699" s="79"/>
    </row>
    <row r="700" spans="1:26" ht="12.75" customHeight="1">
      <c r="A700" s="73"/>
      <c r="B700" s="73"/>
      <c r="C700" s="80"/>
      <c r="D700" s="79"/>
      <c r="E700" s="79"/>
      <c r="F700" s="81"/>
      <c r="G700" s="81"/>
      <c r="H700" s="79"/>
      <c r="I700" s="79"/>
      <c r="J700" s="79"/>
      <c r="K700" s="79"/>
      <c r="L700" s="79"/>
      <c r="M700" s="79"/>
      <c r="N700" s="79"/>
      <c r="O700" s="79"/>
      <c r="P700" s="79"/>
      <c r="Q700" s="79"/>
      <c r="R700" s="79"/>
      <c r="S700" s="79"/>
      <c r="T700" s="79"/>
      <c r="U700" s="79"/>
      <c r="V700" s="79"/>
      <c r="W700" s="79"/>
      <c r="X700" s="79"/>
      <c r="Y700" s="79"/>
      <c r="Z700" s="79"/>
    </row>
    <row r="701" spans="1:26" ht="12.75" customHeight="1">
      <c r="A701" s="73"/>
      <c r="B701" s="73"/>
      <c r="C701" s="80"/>
      <c r="D701" s="79"/>
      <c r="E701" s="79"/>
      <c r="F701" s="81"/>
      <c r="G701" s="81"/>
      <c r="H701" s="79"/>
      <c r="I701" s="79"/>
      <c r="J701" s="79"/>
      <c r="K701" s="79"/>
      <c r="L701" s="79"/>
      <c r="M701" s="79"/>
      <c r="N701" s="79"/>
      <c r="O701" s="79"/>
      <c r="P701" s="79"/>
      <c r="Q701" s="79"/>
      <c r="R701" s="79"/>
      <c r="S701" s="79"/>
      <c r="T701" s="79"/>
      <c r="U701" s="79"/>
      <c r="V701" s="79"/>
      <c r="W701" s="79"/>
      <c r="X701" s="79"/>
      <c r="Y701" s="79"/>
      <c r="Z701" s="79"/>
    </row>
    <row r="702" spans="1:26" ht="12.75" customHeight="1">
      <c r="A702" s="73"/>
      <c r="B702" s="73"/>
      <c r="C702" s="80"/>
      <c r="D702" s="79"/>
      <c r="E702" s="79"/>
      <c r="F702" s="81"/>
      <c r="G702" s="81"/>
      <c r="H702" s="79"/>
      <c r="I702" s="79"/>
      <c r="J702" s="79"/>
      <c r="K702" s="79"/>
      <c r="L702" s="79"/>
      <c r="M702" s="79"/>
      <c r="N702" s="79"/>
      <c r="O702" s="79"/>
      <c r="P702" s="79"/>
      <c r="Q702" s="79"/>
      <c r="R702" s="79"/>
      <c r="S702" s="79"/>
      <c r="T702" s="79"/>
      <c r="U702" s="79"/>
      <c r="V702" s="79"/>
      <c r="W702" s="79"/>
      <c r="X702" s="79"/>
      <c r="Y702" s="79"/>
      <c r="Z702" s="79"/>
    </row>
    <row r="703" spans="1:26" ht="12.75" customHeight="1">
      <c r="A703" s="73"/>
      <c r="B703" s="73"/>
      <c r="C703" s="80"/>
      <c r="D703" s="79"/>
      <c r="E703" s="79"/>
      <c r="F703" s="81"/>
      <c r="G703" s="81"/>
      <c r="H703" s="79"/>
      <c r="I703" s="79"/>
      <c r="J703" s="79"/>
      <c r="K703" s="79"/>
      <c r="L703" s="79"/>
      <c r="M703" s="79"/>
      <c r="N703" s="79"/>
      <c r="O703" s="79"/>
      <c r="P703" s="79"/>
      <c r="Q703" s="79"/>
      <c r="R703" s="79"/>
      <c r="S703" s="79"/>
      <c r="T703" s="79"/>
      <c r="U703" s="79"/>
      <c r="V703" s="79"/>
      <c r="W703" s="79"/>
      <c r="X703" s="79"/>
      <c r="Y703" s="79"/>
      <c r="Z703" s="79"/>
    </row>
    <row r="704" spans="1:26" ht="12.75" customHeight="1">
      <c r="A704" s="73"/>
      <c r="B704" s="73"/>
      <c r="C704" s="80"/>
      <c r="D704" s="79"/>
      <c r="E704" s="79"/>
      <c r="F704" s="81"/>
      <c r="G704" s="81"/>
      <c r="H704" s="79"/>
      <c r="I704" s="79"/>
      <c r="J704" s="79"/>
      <c r="K704" s="79"/>
      <c r="L704" s="79"/>
      <c r="M704" s="79"/>
      <c r="N704" s="79"/>
      <c r="O704" s="79"/>
      <c r="P704" s="79"/>
      <c r="Q704" s="79"/>
      <c r="R704" s="79"/>
      <c r="S704" s="79"/>
      <c r="T704" s="79"/>
      <c r="U704" s="79"/>
      <c r="V704" s="79"/>
      <c r="W704" s="79"/>
      <c r="X704" s="79"/>
      <c r="Y704" s="79"/>
      <c r="Z704" s="79"/>
    </row>
    <row r="705" spans="1:26" ht="12.75" customHeight="1">
      <c r="A705" s="73"/>
      <c r="B705" s="73"/>
      <c r="C705" s="80"/>
      <c r="D705" s="79"/>
      <c r="E705" s="79"/>
      <c r="F705" s="81"/>
      <c r="G705" s="81"/>
      <c r="H705" s="79"/>
      <c r="I705" s="79"/>
      <c r="J705" s="79"/>
      <c r="K705" s="79"/>
      <c r="L705" s="79"/>
      <c r="M705" s="79"/>
      <c r="N705" s="79"/>
      <c r="O705" s="79"/>
      <c r="P705" s="79"/>
      <c r="Q705" s="79"/>
      <c r="R705" s="79"/>
      <c r="S705" s="79"/>
      <c r="T705" s="79"/>
      <c r="U705" s="79"/>
      <c r="V705" s="79"/>
      <c r="W705" s="79"/>
      <c r="X705" s="79"/>
      <c r="Y705" s="79"/>
      <c r="Z705" s="79"/>
    </row>
    <row r="706" spans="1:26" ht="12.75" customHeight="1">
      <c r="A706" s="73"/>
      <c r="B706" s="73"/>
      <c r="C706" s="80"/>
      <c r="D706" s="79"/>
      <c r="E706" s="79"/>
      <c r="F706" s="81"/>
      <c r="G706" s="81"/>
      <c r="H706" s="79"/>
      <c r="I706" s="79"/>
      <c r="J706" s="79"/>
      <c r="K706" s="79"/>
      <c r="L706" s="79"/>
      <c r="M706" s="79"/>
      <c r="N706" s="79"/>
      <c r="O706" s="79"/>
      <c r="P706" s="79"/>
      <c r="Q706" s="79"/>
      <c r="R706" s="79"/>
      <c r="S706" s="79"/>
      <c r="T706" s="79"/>
      <c r="U706" s="79"/>
      <c r="V706" s="79"/>
      <c r="W706" s="79"/>
      <c r="X706" s="79"/>
      <c r="Y706" s="79"/>
      <c r="Z706" s="79"/>
    </row>
    <row r="707" spans="1:26" ht="12.75" customHeight="1">
      <c r="A707" s="73"/>
      <c r="B707" s="73"/>
      <c r="C707" s="80"/>
      <c r="D707" s="79"/>
      <c r="E707" s="79"/>
      <c r="F707" s="81"/>
      <c r="G707" s="81"/>
      <c r="H707" s="79"/>
      <c r="I707" s="79"/>
      <c r="J707" s="79"/>
      <c r="K707" s="79"/>
      <c r="L707" s="79"/>
      <c r="M707" s="79"/>
      <c r="N707" s="79"/>
      <c r="O707" s="79"/>
      <c r="P707" s="79"/>
      <c r="Q707" s="79"/>
      <c r="R707" s="79"/>
      <c r="S707" s="79"/>
      <c r="T707" s="79"/>
      <c r="U707" s="79"/>
      <c r="V707" s="79"/>
      <c r="W707" s="79"/>
      <c r="X707" s="79"/>
      <c r="Y707" s="79"/>
      <c r="Z707" s="79"/>
    </row>
    <row r="708" spans="1:26" ht="12.75" customHeight="1">
      <c r="A708" s="73"/>
      <c r="B708" s="73"/>
      <c r="C708" s="80"/>
      <c r="D708" s="79"/>
      <c r="E708" s="79"/>
      <c r="F708" s="81"/>
      <c r="G708" s="81"/>
      <c r="H708" s="79"/>
      <c r="I708" s="79"/>
      <c r="J708" s="79"/>
      <c r="K708" s="79"/>
      <c r="L708" s="79"/>
      <c r="M708" s="79"/>
      <c r="N708" s="79"/>
      <c r="O708" s="79"/>
      <c r="P708" s="79"/>
      <c r="Q708" s="79"/>
      <c r="R708" s="79"/>
      <c r="S708" s="79"/>
      <c r="T708" s="79"/>
      <c r="U708" s="79"/>
      <c r="V708" s="79"/>
      <c r="W708" s="79"/>
      <c r="X708" s="79"/>
      <c r="Y708" s="79"/>
      <c r="Z708" s="79"/>
    </row>
    <row r="709" spans="1:26" ht="12.75" customHeight="1">
      <c r="A709" s="73"/>
      <c r="B709" s="73"/>
      <c r="C709" s="80"/>
      <c r="D709" s="79"/>
      <c r="E709" s="79"/>
      <c r="F709" s="81"/>
      <c r="G709" s="81"/>
      <c r="H709" s="79"/>
      <c r="I709" s="79"/>
      <c r="J709" s="79"/>
      <c r="K709" s="79"/>
      <c r="L709" s="79"/>
      <c r="M709" s="79"/>
      <c r="N709" s="79"/>
      <c r="O709" s="79"/>
      <c r="P709" s="79"/>
      <c r="Q709" s="79"/>
      <c r="R709" s="79"/>
      <c r="S709" s="79"/>
      <c r="T709" s="79"/>
      <c r="U709" s="79"/>
      <c r="V709" s="79"/>
      <c r="W709" s="79"/>
      <c r="X709" s="79"/>
      <c r="Y709" s="79"/>
      <c r="Z709" s="79"/>
    </row>
    <row r="710" spans="1:26" ht="12.75" customHeight="1">
      <c r="A710" s="73"/>
      <c r="B710" s="73"/>
      <c r="C710" s="80"/>
      <c r="D710" s="79"/>
      <c r="E710" s="79"/>
      <c r="F710" s="81"/>
      <c r="G710" s="81"/>
      <c r="H710" s="79"/>
      <c r="I710" s="79"/>
      <c r="J710" s="79"/>
      <c r="K710" s="79"/>
      <c r="L710" s="79"/>
      <c r="M710" s="79"/>
      <c r="N710" s="79"/>
      <c r="O710" s="79"/>
      <c r="P710" s="79"/>
      <c r="Q710" s="79"/>
      <c r="R710" s="79"/>
      <c r="S710" s="79"/>
      <c r="T710" s="79"/>
      <c r="U710" s="79"/>
      <c r="V710" s="79"/>
      <c r="W710" s="79"/>
      <c r="X710" s="79"/>
      <c r="Y710" s="79"/>
      <c r="Z710" s="79"/>
    </row>
    <row r="711" spans="1:26" ht="12.75" customHeight="1">
      <c r="A711" s="73"/>
      <c r="B711" s="73"/>
      <c r="C711" s="80"/>
      <c r="D711" s="79"/>
      <c r="E711" s="79"/>
      <c r="F711" s="81"/>
      <c r="G711" s="81"/>
      <c r="H711" s="79"/>
      <c r="I711" s="79"/>
      <c r="J711" s="79"/>
      <c r="K711" s="79"/>
      <c r="L711" s="79"/>
      <c r="M711" s="79"/>
      <c r="N711" s="79"/>
      <c r="O711" s="79"/>
      <c r="P711" s="79"/>
      <c r="Q711" s="79"/>
      <c r="R711" s="79"/>
      <c r="S711" s="79"/>
      <c r="T711" s="79"/>
      <c r="U711" s="79"/>
      <c r="V711" s="79"/>
      <c r="W711" s="79"/>
      <c r="X711" s="79"/>
      <c r="Y711" s="79"/>
      <c r="Z711" s="79"/>
    </row>
    <row r="712" spans="1:26" ht="12.75" customHeight="1">
      <c r="A712" s="73"/>
      <c r="B712" s="73"/>
      <c r="C712" s="80"/>
      <c r="D712" s="79"/>
      <c r="E712" s="79"/>
      <c r="F712" s="81"/>
      <c r="G712" s="81"/>
      <c r="H712" s="79"/>
      <c r="I712" s="79"/>
      <c r="J712" s="79"/>
      <c r="K712" s="79"/>
      <c r="L712" s="79"/>
      <c r="M712" s="79"/>
      <c r="N712" s="79"/>
      <c r="O712" s="79"/>
      <c r="P712" s="79"/>
      <c r="Q712" s="79"/>
      <c r="R712" s="79"/>
      <c r="S712" s="79"/>
      <c r="T712" s="79"/>
      <c r="U712" s="79"/>
      <c r="V712" s="79"/>
      <c r="W712" s="79"/>
      <c r="X712" s="79"/>
      <c r="Y712" s="79"/>
      <c r="Z712" s="79"/>
    </row>
    <row r="713" spans="1:26" ht="12.75" customHeight="1">
      <c r="A713" s="73"/>
      <c r="B713" s="73"/>
      <c r="C713" s="80"/>
      <c r="D713" s="79"/>
      <c r="E713" s="79"/>
      <c r="F713" s="81"/>
      <c r="G713" s="81"/>
      <c r="H713" s="79"/>
      <c r="I713" s="79"/>
      <c r="J713" s="79"/>
      <c r="K713" s="79"/>
      <c r="L713" s="79"/>
      <c r="M713" s="79"/>
      <c r="N713" s="79"/>
      <c r="O713" s="79"/>
      <c r="P713" s="79"/>
      <c r="Q713" s="79"/>
      <c r="R713" s="79"/>
      <c r="S713" s="79"/>
      <c r="T713" s="79"/>
      <c r="U713" s="79"/>
      <c r="V713" s="79"/>
      <c r="W713" s="79"/>
      <c r="X713" s="79"/>
      <c r="Y713" s="79"/>
      <c r="Z713" s="79"/>
    </row>
    <row r="714" spans="1:26" ht="12.75" customHeight="1">
      <c r="A714" s="73"/>
      <c r="B714" s="73"/>
      <c r="C714" s="80"/>
      <c r="D714" s="79"/>
      <c r="E714" s="79"/>
      <c r="F714" s="81"/>
      <c r="G714" s="81"/>
      <c r="H714" s="79"/>
      <c r="I714" s="79"/>
      <c r="J714" s="79"/>
      <c r="K714" s="79"/>
      <c r="L714" s="79"/>
      <c r="M714" s="79"/>
      <c r="N714" s="79"/>
      <c r="O714" s="79"/>
      <c r="P714" s="79"/>
      <c r="Q714" s="79"/>
      <c r="R714" s="79"/>
      <c r="S714" s="79"/>
      <c r="T714" s="79"/>
      <c r="U714" s="79"/>
      <c r="V714" s="79"/>
      <c r="W714" s="79"/>
      <c r="X714" s="79"/>
      <c r="Y714" s="79"/>
      <c r="Z714" s="79"/>
    </row>
    <row r="715" spans="1:26" ht="12.75" customHeight="1">
      <c r="A715" s="73"/>
      <c r="B715" s="73"/>
      <c r="C715" s="80"/>
      <c r="D715" s="79"/>
      <c r="E715" s="79"/>
      <c r="F715" s="81"/>
      <c r="G715" s="81"/>
      <c r="H715" s="79"/>
      <c r="I715" s="79"/>
      <c r="J715" s="79"/>
      <c r="K715" s="79"/>
      <c r="L715" s="79"/>
      <c r="M715" s="79"/>
      <c r="N715" s="79"/>
      <c r="O715" s="79"/>
      <c r="P715" s="79"/>
      <c r="Q715" s="79"/>
      <c r="R715" s="79"/>
      <c r="S715" s="79"/>
      <c r="T715" s="79"/>
      <c r="U715" s="79"/>
      <c r="V715" s="79"/>
      <c r="W715" s="79"/>
      <c r="X715" s="79"/>
      <c r="Y715" s="79"/>
      <c r="Z715" s="79"/>
    </row>
    <row r="716" spans="1:26" ht="12.75" customHeight="1">
      <c r="A716" s="73"/>
      <c r="B716" s="73"/>
      <c r="C716" s="80"/>
      <c r="D716" s="79"/>
      <c r="E716" s="79"/>
      <c r="F716" s="81"/>
      <c r="G716" s="81"/>
      <c r="H716" s="79"/>
      <c r="I716" s="79"/>
      <c r="J716" s="79"/>
      <c r="K716" s="79"/>
      <c r="L716" s="79"/>
      <c r="M716" s="79"/>
      <c r="N716" s="79"/>
      <c r="O716" s="79"/>
      <c r="P716" s="79"/>
      <c r="Q716" s="79"/>
      <c r="R716" s="79"/>
      <c r="S716" s="79"/>
      <c r="T716" s="79"/>
      <c r="U716" s="79"/>
      <c r="V716" s="79"/>
      <c r="W716" s="79"/>
      <c r="X716" s="79"/>
      <c r="Y716" s="79"/>
      <c r="Z716" s="79"/>
    </row>
    <row r="717" spans="1:26" ht="12.75" customHeight="1">
      <c r="A717" s="73"/>
      <c r="B717" s="73"/>
      <c r="C717" s="80"/>
      <c r="D717" s="79"/>
      <c r="E717" s="79"/>
      <c r="F717" s="81"/>
      <c r="G717" s="81"/>
      <c r="H717" s="79"/>
      <c r="I717" s="79"/>
      <c r="J717" s="79"/>
      <c r="K717" s="79"/>
      <c r="L717" s="79"/>
      <c r="M717" s="79"/>
      <c r="N717" s="79"/>
      <c r="O717" s="79"/>
      <c r="P717" s="79"/>
      <c r="Q717" s="79"/>
      <c r="R717" s="79"/>
      <c r="S717" s="79"/>
      <c r="T717" s="79"/>
      <c r="U717" s="79"/>
      <c r="V717" s="79"/>
      <c r="W717" s="79"/>
      <c r="X717" s="79"/>
      <c r="Y717" s="79"/>
      <c r="Z717" s="79"/>
    </row>
    <row r="718" spans="1:26" ht="12.75" customHeight="1">
      <c r="A718" s="73"/>
      <c r="B718" s="73"/>
      <c r="C718" s="80"/>
      <c r="D718" s="79"/>
      <c r="E718" s="79"/>
      <c r="F718" s="81"/>
      <c r="G718" s="81"/>
      <c r="H718" s="79"/>
      <c r="I718" s="79"/>
      <c r="J718" s="79"/>
      <c r="K718" s="79"/>
      <c r="L718" s="79"/>
      <c r="M718" s="79"/>
      <c r="N718" s="79"/>
      <c r="O718" s="79"/>
      <c r="P718" s="79"/>
      <c r="Q718" s="79"/>
      <c r="R718" s="79"/>
      <c r="S718" s="79"/>
      <c r="T718" s="79"/>
      <c r="U718" s="79"/>
      <c r="V718" s="79"/>
      <c r="W718" s="79"/>
      <c r="X718" s="79"/>
      <c r="Y718" s="79"/>
      <c r="Z718" s="79"/>
    </row>
    <row r="719" spans="1:26" ht="12.75" customHeight="1">
      <c r="A719" s="73"/>
      <c r="B719" s="73"/>
      <c r="C719" s="80"/>
      <c r="D719" s="79"/>
      <c r="E719" s="79"/>
      <c r="F719" s="81"/>
      <c r="G719" s="81"/>
      <c r="H719" s="79"/>
      <c r="I719" s="79"/>
      <c r="J719" s="79"/>
      <c r="K719" s="79"/>
      <c r="L719" s="79"/>
      <c r="M719" s="79"/>
      <c r="N719" s="79"/>
      <c r="O719" s="79"/>
      <c r="P719" s="79"/>
      <c r="Q719" s="79"/>
      <c r="R719" s="79"/>
      <c r="S719" s="79"/>
      <c r="T719" s="79"/>
      <c r="U719" s="79"/>
      <c r="V719" s="79"/>
      <c r="W719" s="79"/>
      <c r="X719" s="79"/>
      <c r="Y719" s="79"/>
      <c r="Z719" s="79"/>
    </row>
    <row r="720" spans="1:26" ht="12.75" customHeight="1">
      <c r="A720" s="73"/>
      <c r="B720" s="73"/>
      <c r="C720" s="80"/>
      <c r="D720" s="79"/>
      <c r="E720" s="79"/>
      <c r="F720" s="81"/>
      <c r="G720" s="81"/>
      <c r="H720" s="79"/>
      <c r="I720" s="79"/>
      <c r="J720" s="79"/>
      <c r="K720" s="79"/>
      <c r="L720" s="79"/>
      <c r="M720" s="79"/>
      <c r="N720" s="79"/>
      <c r="O720" s="79"/>
      <c r="P720" s="79"/>
      <c r="Q720" s="79"/>
      <c r="R720" s="79"/>
      <c r="S720" s="79"/>
      <c r="T720" s="79"/>
      <c r="U720" s="79"/>
      <c r="V720" s="79"/>
      <c r="W720" s="79"/>
      <c r="X720" s="79"/>
      <c r="Y720" s="79"/>
      <c r="Z720" s="79"/>
    </row>
    <row r="721" spans="1:26" ht="12.75" customHeight="1">
      <c r="A721" s="73"/>
      <c r="B721" s="73"/>
      <c r="C721" s="80"/>
      <c r="D721" s="79"/>
      <c r="E721" s="79"/>
      <c r="F721" s="81"/>
      <c r="G721" s="81"/>
      <c r="H721" s="79"/>
      <c r="I721" s="79"/>
      <c r="J721" s="79"/>
      <c r="K721" s="79"/>
      <c r="L721" s="79"/>
      <c r="M721" s="79"/>
      <c r="N721" s="79"/>
      <c r="O721" s="79"/>
      <c r="P721" s="79"/>
      <c r="Q721" s="79"/>
      <c r="R721" s="79"/>
      <c r="S721" s="79"/>
      <c r="T721" s="79"/>
      <c r="U721" s="79"/>
      <c r="V721" s="79"/>
      <c r="W721" s="79"/>
      <c r="X721" s="79"/>
      <c r="Y721" s="79"/>
      <c r="Z721" s="79"/>
    </row>
    <row r="722" spans="1:26" ht="12.75" customHeight="1">
      <c r="A722" s="73"/>
      <c r="B722" s="73"/>
      <c r="C722" s="80"/>
      <c r="D722" s="79"/>
      <c r="E722" s="79"/>
      <c r="F722" s="81"/>
      <c r="G722" s="81"/>
      <c r="H722" s="79"/>
      <c r="I722" s="79"/>
      <c r="J722" s="79"/>
      <c r="K722" s="79"/>
      <c r="L722" s="79"/>
      <c r="M722" s="79"/>
      <c r="N722" s="79"/>
      <c r="O722" s="79"/>
      <c r="P722" s="79"/>
      <c r="Q722" s="79"/>
      <c r="R722" s="79"/>
      <c r="S722" s="79"/>
      <c r="T722" s="79"/>
      <c r="U722" s="79"/>
      <c r="V722" s="79"/>
      <c r="W722" s="79"/>
      <c r="X722" s="79"/>
      <c r="Y722" s="79"/>
      <c r="Z722" s="79"/>
    </row>
    <row r="723" spans="1:26" ht="12.75" customHeight="1">
      <c r="A723" s="73"/>
      <c r="B723" s="73"/>
      <c r="C723" s="80"/>
      <c r="D723" s="79"/>
      <c r="E723" s="79"/>
      <c r="F723" s="81"/>
      <c r="G723" s="81"/>
      <c r="H723" s="79"/>
      <c r="I723" s="79"/>
      <c r="J723" s="79"/>
      <c r="K723" s="79"/>
      <c r="L723" s="79"/>
      <c r="M723" s="79"/>
      <c r="N723" s="79"/>
      <c r="O723" s="79"/>
      <c r="P723" s="79"/>
      <c r="Q723" s="79"/>
      <c r="R723" s="79"/>
      <c r="S723" s="79"/>
      <c r="T723" s="79"/>
      <c r="U723" s="79"/>
      <c r="V723" s="79"/>
      <c r="W723" s="79"/>
      <c r="X723" s="79"/>
      <c r="Y723" s="79"/>
      <c r="Z723" s="79"/>
    </row>
    <row r="724" spans="1:26" ht="12.75" customHeight="1">
      <c r="A724" s="73"/>
      <c r="B724" s="73"/>
      <c r="C724" s="80"/>
      <c r="D724" s="79"/>
      <c r="E724" s="79"/>
      <c r="F724" s="81"/>
      <c r="G724" s="81"/>
      <c r="H724" s="79"/>
      <c r="I724" s="79"/>
      <c r="J724" s="79"/>
      <c r="K724" s="79"/>
      <c r="L724" s="79"/>
      <c r="M724" s="79"/>
      <c r="N724" s="79"/>
      <c r="O724" s="79"/>
      <c r="P724" s="79"/>
      <c r="Q724" s="79"/>
      <c r="R724" s="79"/>
      <c r="S724" s="79"/>
      <c r="T724" s="79"/>
      <c r="U724" s="79"/>
      <c r="V724" s="79"/>
      <c r="W724" s="79"/>
      <c r="X724" s="79"/>
      <c r="Y724" s="79"/>
      <c r="Z724" s="79"/>
    </row>
    <row r="725" spans="1:26" ht="12.75" customHeight="1">
      <c r="A725" s="73"/>
      <c r="B725" s="73"/>
      <c r="C725" s="80"/>
      <c r="D725" s="79"/>
      <c r="E725" s="79"/>
      <c r="F725" s="81"/>
      <c r="G725" s="81"/>
      <c r="H725" s="79"/>
      <c r="I725" s="79"/>
      <c r="J725" s="79"/>
      <c r="K725" s="79"/>
      <c r="L725" s="79"/>
      <c r="M725" s="79"/>
      <c r="N725" s="79"/>
      <c r="O725" s="79"/>
      <c r="P725" s="79"/>
      <c r="Q725" s="79"/>
      <c r="R725" s="79"/>
      <c r="S725" s="79"/>
      <c r="T725" s="79"/>
      <c r="U725" s="79"/>
      <c r="V725" s="79"/>
      <c r="W725" s="79"/>
      <c r="X725" s="79"/>
      <c r="Y725" s="79"/>
      <c r="Z725" s="79"/>
    </row>
    <row r="726" spans="1:26" ht="12.75" customHeight="1">
      <c r="A726" s="73"/>
      <c r="B726" s="73"/>
      <c r="C726" s="80"/>
      <c r="D726" s="79"/>
      <c r="E726" s="79"/>
      <c r="F726" s="81"/>
      <c r="G726" s="81"/>
      <c r="H726" s="79"/>
      <c r="I726" s="79"/>
      <c r="J726" s="79"/>
      <c r="K726" s="79"/>
      <c r="L726" s="79"/>
      <c r="M726" s="79"/>
      <c r="N726" s="79"/>
      <c r="O726" s="79"/>
      <c r="P726" s="79"/>
      <c r="Q726" s="79"/>
      <c r="R726" s="79"/>
      <c r="S726" s="79"/>
      <c r="T726" s="79"/>
      <c r="U726" s="79"/>
      <c r="V726" s="79"/>
      <c r="W726" s="79"/>
      <c r="X726" s="79"/>
      <c r="Y726" s="79"/>
      <c r="Z726" s="79"/>
    </row>
    <row r="727" spans="1:26" ht="12.75" customHeight="1">
      <c r="A727" s="73"/>
      <c r="B727" s="73"/>
      <c r="C727" s="80"/>
      <c r="D727" s="79"/>
      <c r="E727" s="79"/>
      <c r="F727" s="81"/>
      <c r="G727" s="81"/>
      <c r="H727" s="79"/>
      <c r="I727" s="79"/>
      <c r="J727" s="79"/>
      <c r="K727" s="79"/>
      <c r="L727" s="79"/>
      <c r="M727" s="79"/>
      <c r="N727" s="79"/>
      <c r="O727" s="79"/>
      <c r="P727" s="79"/>
      <c r="Q727" s="79"/>
      <c r="R727" s="79"/>
      <c r="S727" s="79"/>
      <c r="T727" s="79"/>
      <c r="U727" s="79"/>
      <c r="V727" s="79"/>
      <c r="W727" s="79"/>
      <c r="X727" s="79"/>
      <c r="Y727" s="79"/>
      <c r="Z727" s="79"/>
    </row>
    <row r="728" spans="1:26" ht="12.75" customHeight="1">
      <c r="A728" s="73"/>
      <c r="B728" s="73"/>
      <c r="C728" s="80"/>
      <c r="D728" s="79"/>
      <c r="E728" s="79"/>
      <c r="F728" s="81"/>
      <c r="G728" s="81"/>
      <c r="H728" s="79"/>
      <c r="I728" s="79"/>
      <c r="J728" s="79"/>
      <c r="K728" s="79"/>
      <c r="L728" s="79"/>
      <c r="M728" s="79"/>
      <c r="N728" s="79"/>
      <c r="O728" s="79"/>
      <c r="P728" s="79"/>
      <c r="Q728" s="79"/>
      <c r="R728" s="79"/>
      <c r="S728" s="79"/>
      <c r="T728" s="79"/>
      <c r="U728" s="79"/>
      <c r="V728" s="79"/>
      <c r="W728" s="79"/>
      <c r="X728" s="79"/>
      <c r="Y728" s="79"/>
      <c r="Z728" s="79"/>
    </row>
    <row r="729" spans="1:26" ht="12.75" customHeight="1">
      <c r="A729" s="73"/>
      <c r="B729" s="73"/>
      <c r="C729" s="80"/>
      <c r="D729" s="79"/>
      <c r="E729" s="79"/>
      <c r="F729" s="81"/>
      <c r="G729" s="81"/>
      <c r="H729" s="79"/>
      <c r="I729" s="79"/>
      <c r="J729" s="79"/>
      <c r="K729" s="79"/>
      <c r="L729" s="79"/>
      <c r="M729" s="79"/>
      <c r="N729" s="79"/>
      <c r="O729" s="79"/>
      <c r="P729" s="79"/>
      <c r="Q729" s="79"/>
      <c r="R729" s="79"/>
      <c r="S729" s="79"/>
      <c r="T729" s="79"/>
      <c r="U729" s="79"/>
      <c r="V729" s="79"/>
      <c r="W729" s="79"/>
      <c r="X729" s="79"/>
      <c r="Y729" s="79"/>
      <c r="Z729" s="79"/>
    </row>
    <row r="730" spans="1:26" ht="12.75" customHeight="1">
      <c r="A730" s="73"/>
      <c r="B730" s="73"/>
      <c r="C730" s="80"/>
      <c r="D730" s="79"/>
      <c r="E730" s="79"/>
      <c r="F730" s="81"/>
      <c r="G730" s="81"/>
      <c r="H730" s="79"/>
      <c r="I730" s="79"/>
      <c r="J730" s="79"/>
      <c r="K730" s="79"/>
      <c r="L730" s="79"/>
      <c r="M730" s="79"/>
      <c r="N730" s="79"/>
      <c r="O730" s="79"/>
      <c r="P730" s="79"/>
      <c r="Q730" s="79"/>
      <c r="R730" s="79"/>
      <c r="S730" s="79"/>
      <c r="T730" s="79"/>
      <c r="U730" s="79"/>
      <c r="V730" s="79"/>
      <c r="W730" s="79"/>
      <c r="X730" s="79"/>
      <c r="Y730" s="79"/>
      <c r="Z730" s="79"/>
    </row>
    <row r="731" spans="1:26" ht="12.75" customHeight="1">
      <c r="A731" s="73"/>
      <c r="B731" s="73"/>
      <c r="C731" s="80"/>
      <c r="D731" s="79"/>
      <c r="E731" s="79"/>
      <c r="F731" s="81"/>
      <c r="G731" s="81"/>
      <c r="H731" s="79"/>
      <c r="I731" s="79"/>
      <c r="J731" s="79"/>
      <c r="K731" s="79"/>
      <c r="L731" s="79"/>
      <c r="M731" s="79"/>
      <c r="N731" s="79"/>
      <c r="O731" s="79"/>
      <c r="P731" s="79"/>
      <c r="Q731" s="79"/>
      <c r="R731" s="79"/>
      <c r="S731" s="79"/>
      <c r="T731" s="79"/>
      <c r="U731" s="79"/>
      <c r="V731" s="79"/>
      <c r="W731" s="79"/>
      <c r="X731" s="79"/>
      <c r="Y731" s="79"/>
      <c r="Z731" s="79"/>
    </row>
    <row r="732" spans="1:26" ht="12.75" customHeight="1">
      <c r="A732" s="73"/>
      <c r="B732" s="73"/>
      <c r="C732" s="80"/>
      <c r="D732" s="79"/>
      <c r="E732" s="79"/>
      <c r="F732" s="81"/>
      <c r="G732" s="81"/>
      <c r="H732" s="79"/>
      <c r="I732" s="79"/>
      <c r="J732" s="79"/>
      <c r="K732" s="79"/>
      <c r="L732" s="79"/>
      <c r="M732" s="79"/>
      <c r="N732" s="79"/>
      <c r="O732" s="79"/>
      <c r="P732" s="79"/>
      <c r="Q732" s="79"/>
      <c r="R732" s="79"/>
      <c r="S732" s="79"/>
      <c r="T732" s="79"/>
      <c r="U732" s="79"/>
      <c r="V732" s="79"/>
      <c r="W732" s="79"/>
      <c r="X732" s="79"/>
      <c r="Y732" s="79"/>
      <c r="Z732" s="79"/>
    </row>
    <row r="733" spans="1:26" ht="12.75" customHeight="1">
      <c r="A733" s="73"/>
      <c r="B733" s="73"/>
      <c r="C733" s="80"/>
      <c r="D733" s="79"/>
      <c r="E733" s="79"/>
      <c r="F733" s="81"/>
      <c r="G733" s="81"/>
      <c r="H733" s="79"/>
      <c r="I733" s="79"/>
      <c r="J733" s="79"/>
      <c r="K733" s="79"/>
      <c r="L733" s="79"/>
      <c r="M733" s="79"/>
      <c r="N733" s="79"/>
      <c r="O733" s="79"/>
      <c r="P733" s="79"/>
      <c r="Q733" s="79"/>
      <c r="R733" s="79"/>
      <c r="S733" s="79"/>
      <c r="T733" s="79"/>
      <c r="U733" s="79"/>
      <c r="V733" s="79"/>
      <c r="W733" s="79"/>
      <c r="X733" s="79"/>
      <c r="Y733" s="79"/>
      <c r="Z733" s="79"/>
    </row>
    <row r="734" spans="1:26" ht="12.75" customHeight="1">
      <c r="A734" s="73"/>
      <c r="B734" s="73"/>
      <c r="C734" s="80"/>
      <c r="D734" s="79"/>
      <c r="E734" s="79"/>
      <c r="F734" s="81"/>
      <c r="G734" s="81"/>
      <c r="H734" s="79"/>
      <c r="I734" s="79"/>
      <c r="J734" s="79"/>
      <c r="K734" s="79"/>
      <c r="L734" s="79"/>
      <c r="M734" s="79"/>
      <c r="N734" s="79"/>
      <c r="O734" s="79"/>
      <c r="P734" s="79"/>
      <c r="Q734" s="79"/>
      <c r="R734" s="79"/>
      <c r="S734" s="79"/>
      <c r="T734" s="79"/>
      <c r="U734" s="79"/>
      <c r="V734" s="79"/>
      <c r="W734" s="79"/>
      <c r="X734" s="79"/>
      <c r="Y734" s="79"/>
      <c r="Z734" s="79"/>
    </row>
    <row r="735" spans="1:26" ht="12.75" customHeight="1">
      <c r="A735" s="73"/>
      <c r="B735" s="73"/>
      <c r="C735" s="80"/>
      <c r="D735" s="79"/>
      <c r="E735" s="79"/>
      <c r="F735" s="81"/>
      <c r="G735" s="81"/>
      <c r="H735" s="79"/>
      <c r="I735" s="79"/>
      <c r="J735" s="79"/>
      <c r="K735" s="79"/>
      <c r="L735" s="79"/>
      <c r="M735" s="79"/>
      <c r="N735" s="79"/>
      <c r="O735" s="79"/>
      <c r="P735" s="79"/>
      <c r="Q735" s="79"/>
      <c r="R735" s="79"/>
      <c r="S735" s="79"/>
      <c r="T735" s="79"/>
      <c r="U735" s="79"/>
      <c r="V735" s="79"/>
      <c r="W735" s="79"/>
      <c r="X735" s="79"/>
      <c r="Y735" s="79"/>
      <c r="Z735" s="79"/>
    </row>
    <row r="736" spans="1:26" ht="12.75" customHeight="1">
      <c r="A736" s="73"/>
      <c r="B736" s="73"/>
      <c r="C736" s="80"/>
      <c r="D736" s="79"/>
      <c r="E736" s="79"/>
      <c r="F736" s="81"/>
      <c r="G736" s="81"/>
      <c r="H736" s="79"/>
      <c r="I736" s="79"/>
      <c r="J736" s="79"/>
      <c r="K736" s="79"/>
      <c r="L736" s="79"/>
      <c r="M736" s="79"/>
      <c r="N736" s="79"/>
      <c r="O736" s="79"/>
      <c r="P736" s="79"/>
      <c r="Q736" s="79"/>
      <c r="R736" s="79"/>
      <c r="S736" s="79"/>
      <c r="T736" s="79"/>
      <c r="U736" s="79"/>
      <c r="V736" s="79"/>
      <c r="W736" s="79"/>
      <c r="X736" s="79"/>
      <c r="Y736" s="79"/>
      <c r="Z736" s="79"/>
    </row>
    <row r="737" spans="1:26" ht="12.75" customHeight="1">
      <c r="A737" s="73"/>
      <c r="B737" s="73"/>
      <c r="C737" s="80"/>
      <c r="D737" s="79"/>
      <c r="E737" s="79"/>
      <c r="F737" s="81"/>
      <c r="G737" s="81"/>
      <c r="H737" s="79"/>
      <c r="I737" s="79"/>
      <c r="J737" s="79"/>
      <c r="K737" s="79"/>
      <c r="L737" s="79"/>
      <c r="M737" s="79"/>
      <c r="N737" s="79"/>
      <c r="O737" s="79"/>
      <c r="P737" s="79"/>
      <c r="Q737" s="79"/>
      <c r="R737" s="79"/>
      <c r="S737" s="79"/>
      <c r="T737" s="79"/>
      <c r="U737" s="79"/>
      <c r="V737" s="79"/>
      <c r="W737" s="79"/>
      <c r="X737" s="79"/>
      <c r="Y737" s="79"/>
      <c r="Z737" s="79"/>
    </row>
    <row r="738" spans="1:26" ht="12.75" customHeight="1">
      <c r="A738" s="73"/>
      <c r="B738" s="73"/>
      <c r="C738" s="80"/>
      <c r="D738" s="79"/>
      <c r="E738" s="79"/>
      <c r="F738" s="81"/>
      <c r="G738" s="81"/>
      <c r="H738" s="79"/>
      <c r="I738" s="79"/>
      <c r="J738" s="79"/>
      <c r="K738" s="79"/>
      <c r="L738" s="79"/>
      <c r="M738" s="79"/>
      <c r="N738" s="79"/>
      <c r="O738" s="79"/>
      <c r="P738" s="79"/>
      <c r="Q738" s="79"/>
      <c r="R738" s="79"/>
      <c r="S738" s="79"/>
      <c r="T738" s="79"/>
      <c r="U738" s="79"/>
      <c r="V738" s="79"/>
      <c r="W738" s="79"/>
      <c r="X738" s="79"/>
      <c r="Y738" s="79"/>
      <c r="Z738" s="79"/>
    </row>
    <row r="739" spans="1:26" ht="12.75" customHeight="1">
      <c r="A739" s="73"/>
      <c r="B739" s="73"/>
      <c r="C739" s="80"/>
      <c r="D739" s="79"/>
      <c r="E739" s="79"/>
      <c r="F739" s="81"/>
      <c r="G739" s="81"/>
      <c r="H739" s="79"/>
      <c r="I739" s="79"/>
      <c r="J739" s="79"/>
      <c r="K739" s="79"/>
      <c r="L739" s="79"/>
      <c r="M739" s="79"/>
      <c r="N739" s="79"/>
      <c r="O739" s="79"/>
      <c r="P739" s="79"/>
      <c r="Q739" s="79"/>
      <c r="R739" s="79"/>
      <c r="S739" s="79"/>
      <c r="T739" s="79"/>
      <c r="U739" s="79"/>
      <c r="V739" s="79"/>
      <c r="W739" s="79"/>
      <c r="X739" s="79"/>
      <c r="Y739" s="79"/>
      <c r="Z739" s="79"/>
    </row>
    <row r="740" spans="1:26" ht="12.75" customHeight="1">
      <c r="A740" s="73"/>
      <c r="B740" s="73"/>
      <c r="C740" s="80"/>
      <c r="D740" s="79"/>
      <c r="E740" s="79"/>
      <c r="F740" s="81"/>
      <c r="G740" s="81"/>
      <c r="H740" s="79"/>
      <c r="I740" s="79"/>
      <c r="J740" s="79"/>
      <c r="K740" s="79"/>
      <c r="L740" s="79"/>
      <c r="M740" s="79"/>
      <c r="N740" s="79"/>
      <c r="O740" s="79"/>
      <c r="P740" s="79"/>
      <c r="Q740" s="79"/>
      <c r="R740" s="79"/>
      <c r="S740" s="79"/>
      <c r="T740" s="79"/>
      <c r="U740" s="79"/>
      <c r="V740" s="79"/>
      <c r="W740" s="79"/>
      <c r="X740" s="79"/>
      <c r="Y740" s="79"/>
      <c r="Z740" s="79"/>
    </row>
    <row r="741" spans="1:26" ht="12.75" customHeight="1">
      <c r="A741" s="73"/>
      <c r="B741" s="73"/>
      <c r="C741" s="80"/>
      <c r="D741" s="79"/>
      <c r="E741" s="79"/>
      <c r="F741" s="81"/>
      <c r="G741" s="81"/>
      <c r="H741" s="79"/>
      <c r="I741" s="79"/>
      <c r="J741" s="79"/>
      <c r="K741" s="79"/>
      <c r="L741" s="79"/>
      <c r="M741" s="79"/>
      <c r="N741" s="79"/>
      <c r="O741" s="79"/>
      <c r="P741" s="79"/>
      <c r="Q741" s="79"/>
      <c r="R741" s="79"/>
      <c r="S741" s="79"/>
      <c r="T741" s="79"/>
      <c r="U741" s="79"/>
      <c r="V741" s="79"/>
      <c r="W741" s="79"/>
      <c r="X741" s="79"/>
      <c r="Y741" s="79"/>
      <c r="Z741" s="79"/>
    </row>
    <row r="742" spans="1:26" ht="12.75" customHeight="1">
      <c r="A742" s="73"/>
      <c r="B742" s="73"/>
      <c r="C742" s="80"/>
      <c r="D742" s="79"/>
      <c r="E742" s="79"/>
      <c r="F742" s="81"/>
      <c r="G742" s="81"/>
      <c r="H742" s="79"/>
      <c r="I742" s="79"/>
      <c r="J742" s="79"/>
      <c r="K742" s="79"/>
      <c r="L742" s="79"/>
      <c r="M742" s="79"/>
      <c r="N742" s="79"/>
      <c r="O742" s="79"/>
      <c r="P742" s="79"/>
      <c r="Q742" s="79"/>
      <c r="R742" s="79"/>
      <c r="S742" s="79"/>
      <c r="T742" s="79"/>
      <c r="U742" s="79"/>
      <c r="V742" s="79"/>
      <c r="W742" s="79"/>
      <c r="X742" s="79"/>
      <c r="Y742" s="79"/>
      <c r="Z742" s="79"/>
    </row>
    <row r="743" spans="1:26" ht="12.75" customHeight="1">
      <c r="A743" s="73"/>
      <c r="B743" s="73"/>
      <c r="C743" s="80"/>
      <c r="D743" s="79"/>
      <c r="E743" s="79"/>
      <c r="F743" s="81"/>
      <c r="G743" s="81"/>
      <c r="H743" s="79"/>
      <c r="I743" s="79"/>
      <c r="J743" s="79"/>
      <c r="K743" s="79"/>
      <c r="L743" s="79"/>
      <c r="M743" s="79"/>
      <c r="N743" s="79"/>
      <c r="O743" s="79"/>
      <c r="P743" s="79"/>
      <c r="Q743" s="79"/>
      <c r="R743" s="79"/>
      <c r="S743" s="79"/>
      <c r="T743" s="79"/>
      <c r="U743" s="79"/>
      <c r="V743" s="79"/>
      <c r="W743" s="79"/>
      <c r="X743" s="79"/>
      <c r="Y743" s="79"/>
      <c r="Z743" s="79"/>
    </row>
    <row r="744" spans="1:26" ht="12.75" customHeight="1">
      <c r="A744" s="73"/>
      <c r="B744" s="73"/>
      <c r="C744" s="80"/>
      <c r="D744" s="79"/>
      <c r="E744" s="79"/>
      <c r="F744" s="81"/>
      <c r="G744" s="81"/>
      <c r="H744" s="79"/>
      <c r="I744" s="79"/>
      <c r="J744" s="79"/>
      <c r="K744" s="79"/>
      <c r="L744" s="79"/>
      <c r="M744" s="79"/>
      <c r="N744" s="79"/>
      <c r="O744" s="79"/>
      <c r="P744" s="79"/>
      <c r="Q744" s="79"/>
      <c r="R744" s="79"/>
      <c r="S744" s="79"/>
      <c r="T744" s="79"/>
      <c r="U744" s="79"/>
      <c r="V744" s="79"/>
      <c r="W744" s="79"/>
      <c r="X744" s="79"/>
      <c r="Y744" s="79"/>
      <c r="Z744" s="79"/>
    </row>
    <row r="745" spans="1:26" ht="12.75" customHeight="1">
      <c r="A745" s="73"/>
      <c r="B745" s="73"/>
      <c r="C745" s="80"/>
      <c r="D745" s="79"/>
      <c r="E745" s="79"/>
      <c r="F745" s="81"/>
      <c r="G745" s="81"/>
      <c r="H745" s="79"/>
      <c r="I745" s="79"/>
      <c r="J745" s="79"/>
      <c r="K745" s="79"/>
      <c r="L745" s="79"/>
      <c r="M745" s="79"/>
      <c r="N745" s="79"/>
      <c r="O745" s="79"/>
      <c r="P745" s="79"/>
      <c r="Q745" s="79"/>
      <c r="R745" s="79"/>
      <c r="S745" s="79"/>
      <c r="T745" s="79"/>
      <c r="U745" s="79"/>
      <c r="V745" s="79"/>
      <c r="W745" s="79"/>
      <c r="X745" s="79"/>
      <c r="Y745" s="79"/>
      <c r="Z745" s="79"/>
    </row>
    <row r="746" spans="1:26" ht="12.75" customHeight="1">
      <c r="A746" s="73"/>
      <c r="B746" s="73"/>
      <c r="C746" s="80"/>
      <c r="D746" s="79"/>
      <c r="E746" s="79"/>
      <c r="F746" s="81"/>
      <c r="G746" s="81"/>
      <c r="H746" s="79"/>
      <c r="I746" s="79"/>
      <c r="J746" s="79"/>
      <c r="K746" s="79"/>
      <c r="L746" s="79"/>
      <c r="M746" s="79"/>
      <c r="N746" s="79"/>
      <c r="O746" s="79"/>
      <c r="P746" s="79"/>
      <c r="Q746" s="79"/>
      <c r="R746" s="79"/>
      <c r="S746" s="79"/>
      <c r="T746" s="79"/>
      <c r="U746" s="79"/>
      <c r="V746" s="79"/>
      <c r="W746" s="79"/>
      <c r="X746" s="79"/>
      <c r="Y746" s="79"/>
      <c r="Z746" s="79"/>
    </row>
    <row r="747" spans="1:26" ht="12.75" customHeight="1">
      <c r="A747" s="73"/>
      <c r="B747" s="73"/>
      <c r="C747" s="80"/>
      <c r="D747" s="79"/>
      <c r="E747" s="79"/>
      <c r="F747" s="81"/>
      <c r="G747" s="81"/>
      <c r="H747" s="79"/>
      <c r="I747" s="79"/>
      <c r="J747" s="79"/>
      <c r="K747" s="79"/>
      <c r="L747" s="79"/>
      <c r="M747" s="79"/>
      <c r="N747" s="79"/>
      <c r="O747" s="79"/>
      <c r="P747" s="79"/>
      <c r="Q747" s="79"/>
      <c r="R747" s="79"/>
      <c r="S747" s="79"/>
      <c r="T747" s="79"/>
      <c r="U747" s="79"/>
      <c r="V747" s="79"/>
      <c r="W747" s="79"/>
      <c r="X747" s="79"/>
      <c r="Y747" s="79"/>
      <c r="Z747" s="79"/>
    </row>
    <row r="748" spans="1:26" ht="12.75" customHeight="1">
      <c r="A748" s="73"/>
      <c r="B748" s="73"/>
      <c r="C748" s="80"/>
      <c r="D748" s="79"/>
      <c r="E748" s="79"/>
      <c r="F748" s="81"/>
      <c r="G748" s="81"/>
      <c r="H748" s="79"/>
      <c r="I748" s="79"/>
      <c r="J748" s="79"/>
      <c r="K748" s="79"/>
      <c r="L748" s="79"/>
      <c r="M748" s="79"/>
      <c r="N748" s="79"/>
      <c r="O748" s="79"/>
      <c r="P748" s="79"/>
      <c r="Q748" s="79"/>
      <c r="R748" s="79"/>
      <c r="S748" s="79"/>
      <c r="T748" s="79"/>
      <c r="U748" s="79"/>
      <c r="V748" s="79"/>
      <c r="W748" s="79"/>
      <c r="X748" s="79"/>
      <c r="Y748" s="79"/>
      <c r="Z748" s="79"/>
    </row>
    <row r="749" spans="1:26" ht="12.75" customHeight="1">
      <c r="A749" s="73"/>
      <c r="B749" s="73"/>
      <c r="C749" s="80"/>
      <c r="D749" s="79"/>
      <c r="E749" s="79"/>
      <c r="F749" s="81"/>
      <c r="G749" s="81"/>
      <c r="H749" s="79"/>
      <c r="I749" s="79"/>
      <c r="J749" s="79"/>
      <c r="K749" s="79"/>
      <c r="L749" s="79"/>
      <c r="M749" s="79"/>
      <c r="N749" s="79"/>
      <c r="O749" s="79"/>
      <c r="P749" s="79"/>
      <c r="Q749" s="79"/>
      <c r="R749" s="79"/>
      <c r="S749" s="79"/>
      <c r="T749" s="79"/>
      <c r="U749" s="79"/>
      <c r="V749" s="79"/>
      <c r="W749" s="79"/>
      <c r="X749" s="79"/>
      <c r="Y749" s="79"/>
      <c r="Z749" s="79"/>
    </row>
    <row r="750" spans="1:26" ht="12.75" customHeight="1">
      <c r="A750" s="73"/>
      <c r="B750" s="73"/>
      <c r="C750" s="80"/>
      <c r="D750" s="79"/>
      <c r="E750" s="79"/>
      <c r="F750" s="81"/>
      <c r="G750" s="81"/>
      <c r="H750" s="79"/>
      <c r="I750" s="79"/>
      <c r="J750" s="79"/>
      <c r="K750" s="79"/>
      <c r="L750" s="79"/>
      <c r="M750" s="79"/>
      <c r="N750" s="79"/>
      <c r="O750" s="79"/>
      <c r="P750" s="79"/>
      <c r="Q750" s="79"/>
      <c r="R750" s="79"/>
      <c r="S750" s="79"/>
      <c r="T750" s="79"/>
      <c r="U750" s="79"/>
      <c r="V750" s="79"/>
      <c r="W750" s="79"/>
      <c r="X750" s="79"/>
      <c r="Y750" s="79"/>
      <c r="Z750" s="79"/>
    </row>
    <row r="751" spans="1:26" ht="12.75" customHeight="1">
      <c r="A751" s="73"/>
      <c r="B751" s="73"/>
      <c r="C751" s="80"/>
      <c r="D751" s="79"/>
      <c r="E751" s="79"/>
      <c r="F751" s="81"/>
      <c r="G751" s="81"/>
      <c r="H751" s="79"/>
      <c r="I751" s="79"/>
      <c r="J751" s="79"/>
      <c r="K751" s="79"/>
      <c r="L751" s="79"/>
      <c r="M751" s="79"/>
      <c r="N751" s="79"/>
      <c r="O751" s="79"/>
      <c r="P751" s="79"/>
      <c r="Q751" s="79"/>
      <c r="R751" s="79"/>
      <c r="S751" s="79"/>
      <c r="T751" s="79"/>
      <c r="U751" s="79"/>
      <c r="V751" s="79"/>
      <c r="W751" s="79"/>
      <c r="X751" s="79"/>
      <c r="Y751" s="79"/>
      <c r="Z751" s="79"/>
    </row>
    <row r="752" spans="1:26" ht="12.75" customHeight="1">
      <c r="A752" s="73"/>
      <c r="B752" s="73"/>
      <c r="C752" s="80"/>
      <c r="D752" s="79"/>
      <c r="E752" s="79"/>
      <c r="F752" s="81"/>
      <c r="G752" s="81"/>
      <c r="H752" s="79"/>
      <c r="I752" s="79"/>
      <c r="J752" s="79"/>
      <c r="K752" s="79"/>
      <c r="L752" s="79"/>
      <c r="M752" s="79"/>
      <c r="N752" s="79"/>
      <c r="O752" s="79"/>
      <c r="P752" s="79"/>
      <c r="Q752" s="79"/>
      <c r="R752" s="79"/>
      <c r="S752" s="79"/>
      <c r="T752" s="79"/>
      <c r="U752" s="79"/>
      <c r="V752" s="79"/>
      <c r="W752" s="79"/>
      <c r="X752" s="79"/>
      <c r="Y752" s="79"/>
      <c r="Z752" s="79"/>
    </row>
    <row r="753" spans="1:26" ht="12.75" customHeight="1">
      <c r="A753" s="73"/>
      <c r="B753" s="73"/>
      <c r="C753" s="80"/>
      <c r="D753" s="79"/>
      <c r="E753" s="79"/>
      <c r="F753" s="81"/>
      <c r="G753" s="81"/>
      <c r="H753" s="79"/>
      <c r="I753" s="79"/>
      <c r="J753" s="79"/>
      <c r="K753" s="79"/>
      <c r="L753" s="79"/>
      <c r="M753" s="79"/>
      <c r="N753" s="79"/>
      <c r="O753" s="79"/>
      <c r="P753" s="79"/>
      <c r="Q753" s="79"/>
      <c r="R753" s="79"/>
      <c r="S753" s="79"/>
      <c r="T753" s="79"/>
      <c r="U753" s="79"/>
      <c r="V753" s="79"/>
      <c r="W753" s="79"/>
      <c r="X753" s="79"/>
      <c r="Y753" s="79"/>
      <c r="Z753" s="79"/>
    </row>
    <row r="754" spans="1:26" ht="12.75" customHeight="1">
      <c r="A754" s="73"/>
      <c r="B754" s="73"/>
      <c r="C754" s="80"/>
      <c r="D754" s="79"/>
      <c r="E754" s="79"/>
      <c r="F754" s="81"/>
      <c r="G754" s="81"/>
      <c r="H754" s="79"/>
      <c r="I754" s="79"/>
      <c r="J754" s="79"/>
      <c r="K754" s="79"/>
      <c r="L754" s="79"/>
      <c r="M754" s="79"/>
      <c r="N754" s="79"/>
      <c r="O754" s="79"/>
      <c r="P754" s="79"/>
      <c r="Q754" s="79"/>
      <c r="R754" s="79"/>
      <c r="S754" s="79"/>
      <c r="T754" s="79"/>
      <c r="U754" s="79"/>
      <c r="V754" s="79"/>
      <c r="W754" s="79"/>
      <c r="X754" s="79"/>
      <c r="Y754" s="79"/>
      <c r="Z754" s="79"/>
    </row>
    <row r="755" spans="1:26" ht="12.75" customHeight="1">
      <c r="A755" s="73"/>
      <c r="B755" s="73"/>
      <c r="C755" s="80"/>
      <c r="D755" s="79"/>
      <c r="E755" s="79"/>
      <c r="F755" s="81"/>
      <c r="G755" s="81"/>
      <c r="H755" s="79"/>
      <c r="I755" s="79"/>
      <c r="J755" s="79"/>
      <c r="K755" s="79"/>
      <c r="L755" s="79"/>
      <c r="M755" s="79"/>
      <c r="N755" s="79"/>
      <c r="O755" s="79"/>
      <c r="P755" s="79"/>
      <c r="Q755" s="79"/>
      <c r="R755" s="79"/>
      <c r="S755" s="79"/>
      <c r="T755" s="79"/>
      <c r="U755" s="79"/>
      <c r="V755" s="79"/>
      <c r="W755" s="79"/>
      <c r="X755" s="79"/>
      <c r="Y755" s="79"/>
      <c r="Z755" s="79"/>
    </row>
    <row r="756" spans="1:26" ht="12.75" customHeight="1">
      <c r="A756" s="73"/>
      <c r="B756" s="73"/>
      <c r="C756" s="80"/>
      <c r="D756" s="79"/>
      <c r="E756" s="79"/>
      <c r="F756" s="81"/>
      <c r="G756" s="81"/>
      <c r="H756" s="79"/>
      <c r="I756" s="79"/>
      <c r="J756" s="79"/>
      <c r="K756" s="79"/>
      <c r="L756" s="79"/>
      <c r="M756" s="79"/>
      <c r="N756" s="79"/>
      <c r="O756" s="79"/>
      <c r="P756" s="79"/>
      <c r="Q756" s="79"/>
      <c r="R756" s="79"/>
      <c r="S756" s="79"/>
      <c r="T756" s="79"/>
      <c r="U756" s="79"/>
      <c r="V756" s="79"/>
      <c r="W756" s="79"/>
      <c r="X756" s="79"/>
      <c r="Y756" s="79"/>
      <c r="Z756" s="79"/>
    </row>
    <row r="757" spans="1:26" ht="12.75" customHeight="1">
      <c r="A757" s="73"/>
      <c r="B757" s="73"/>
      <c r="C757" s="80"/>
      <c r="D757" s="79"/>
      <c r="E757" s="79"/>
      <c r="F757" s="81"/>
      <c r="G757" s="81"/>
      <c r="H757" s="79"/>
      <c r="I757" s="79"/>
      <c r="J757" s="79"/>
      <c r="K757" s="79"/>
      <c r="L757" s="79"/>
      <c r="M757" s="79"/>
      <c r="N757" s="79"/>
      <c r="O757" s="79"/>
      <c r="P757" s="79"/>
      <c r="Q757" s="79"/>
      <c r="R757" s="79"/>
      <c r="S757" s="79"/>
      <c r="T757" s="79"/>
      <c r="U757" s="79"/>
      <c r="V757" s="79"/>
      <c r="W757" s="79"/>
      <c r="X757" s="79"/>
      <c r="Y757" s="79"/>
      <c r="Z757" s="79"/>
    </row>
    <row r="758" spans="1:26" ht="12.75" customHeight="1">
      <c r="A758" s="73"/>
      <c r="B758" s="73"/>
      <c r="C758" s="80"/>
      <c r="D758" s="79"/>
      <c r="E758" s="79"/>
      <c r="F758" s="81"/>
      <c r="G758" s="81"/>
      <c r="H758" s="79"/>
      <c r="I758" s="79"/>
      <c r="J758" s="79"/>
      <c r="K758" s="79"/>
      <c r="L758" s="79"/>
      <c r="M758" s="79"/>
      <c r="N758" s="79"/>
      <c r="O758" s="79"/>
      <c r="P758" s="79"/>
      <c r="Q758" s="79"/>
      <c r="R758" s="79"/>
      <c r="S758" s="79"/>
      <c r="T758" s="79"/>
      <c r="U758" s="79"/>
      <c r="V758" s="79"/>
      <c r="W758" s="79"/>
      <c r="X758" s="79"/>
      <c r="Y758" s="79"/>
      <c r="Z758" s="79"/>
    </row>
    <row r="759" spans="1:26" ht="12.75" customHeight="1">
      <c r="A759" s="73"/>
      <c r="B759" s="73"/>
      <c r="C759" s="80"/>
      <c r="D759" s="79"/>
      <c r="E759" s="79"/>
      <c r="F759" s="81"/>
      <c r="G759" s="81"/>
      <c r="H759" s="79"/>
      <c r="I759" s="79"/>
      <c r="J759" s="79"/>
      <c r="K759" s="79"/>
      <c r="L759" s="79"/>
      <c r="M759" s="79"/>
      <c r="N759" s="79"/>
      <c r="O759" s="79"/>
      <c r="P759" s="79"/>
      <c r="Q759" s="79"/>
      <c r="R759" s="79"/>
      <c r="S759" s="79"/>
      <c r="T759" s="79"/>
      <c r="U759" s="79"/>
      <c r="V759" s="79"/>
      <c r="W759" s="79"/>
      <c r="X759" s="79"/>
      <c r="Y759" s="79"/>
      <c r="Z759" s="79"/>
    </row>
    <row r="760" spans="1:26" ht="12.75" customHeight="1">
      <c r="A760" s="73"/>
      <c r="B760" s="73"/>
      <c r="C760" s="80"/>
      <c r="D760" s="79"/>
      <c r="E760" s="79"/>
      <c r="F760" s="81"/>
      <c r="G760" s="81"/>
      <c r="H760" s="79"/>
      <c r="I760" s="79"/>
      <c r="J760" s="79"/>
      <c r="K760" s="79"/>
      <c r="L760" s="79"/>
      <c r="M760" s="79"/>
      <c r="N760" s="79"/>
      <c r="O760" s="79"/>
      <c r="P760" s="79"/>
      <c r="Q760" s="79"/>
      <c r="R760" s="79"/>
      <c r="S760" s="79"/>
      <c r="T760" s="79"/>
      <c r="U760" s="79"/>
      <c r="V760" s="79"/>
      <c r="W760" s="79"/>
      <c r="X760" s="79"/>
      <c r="Y760" s="79"/>
      <c r="Z760" s="79"/>
    </row>
    <row r="761" spans="1:26" ht="12.75" customHeight="1">
      <c r="A761" s="73"/>
      <c r="B761" s="73"/>
      <c r="C761" s="80"/>
      <c r="D761" s="79"/>
      <c r="E761" s="79"/>
      <c r="F761" s="81"/>
      <c r="G761" s="81"/>
      <c r="H761" s="79"/>
      <c r="I761" s="79"/>
      <c r="J761" s="79"/>
      <c r="K761" s="79"/>
      <c r="L761" s="79"/>
      <c r="M761" s="79"/>
      <c r="N761" s="79"/>
      <c r="O761" s="79"/>
      <c r="P761" s="79"/>
      <c r="Q761" s="79"/>
      <c r="R761" s="79"/>
      <c r="S761" s="79"/>
      <c r="T761" s="79"/>
      <c r="U761" s="79"/>
      <c r="V761" s="79"/>
      <c r="W761" s="79"/>
      <c r="X761" s="79"/>
      <c r="Y761" s="79"/>
      <c r="Z761" s="79"/>
    </row>
    <row r="762" spans="1:26" ht="12.75" customHeight="1">
      <c r="A762" s="73"/>
      <c r="B762" s="73"/>
      <c r="C762" s="80"/>
      <c r="D762" s="79"/>
      <c r="E762" s="79"/>
      <c r="F762" s="81"/>
      <c r="G762" s="81"/>
      <c r="H762" s="79"/>
      <c r="I762" s="79"/>
      <c r="J762" s="79"/>
      <c r="K762" s="79"/>
      <c r="L762" s="79"/>
      <c r="M762" s="79"/>
      <c r="N762" s="79"/>
      <c r="O762" s="79"/>
      <c r="P762" s="79"/>
      <c r="Q762" s="79"/>
      <c r="R762" s="79"/>
      <c r="S762" s="79"/>
      <c r="T762" s="79"/>
      <c r="U762" s="79"/>
      <c r="V762" s="79"/>
      <c r="W762" s="79"/>
      <c r="X762" s="79"/>
      <c r="Y762" s="79"/>
      <c r="Z762" s="79"/>
    </row>
    <row r="763" spans="1:26" ht="12.75" customHeight="1">
      <c r="A763" s="73"/>
      <c r="B763" s="73"/>
      <c r="C763" s="80"/>
      <c r="D763" s="79"/>
      <c r="E763" s="79"/>
      <c r="F763" s="81"/>
      <c r="G763" s="81"/>
      <c r="H763" s="79"/>
      <c r="I763" s="79"/>
      <c r="J763" s="79"/>
      <c r="K763" s="79"/>
      <c r="L763" s="79"/>
      <c r="M763" s="79"/>
      <c r="N763" s="79"/>
      <c r="O763" s="79"/>
      <c r="P763" s="79"/>
      <c r="Q763" s="79"/>
      <c r="R763" s="79"/>
      <c r="S763" s="79"/>
      <c r="T763" s="79"/>
      <c r="U763" s="79"/>
      <c r="V763" s="79"/>
      <c r="W763" s="79"/>
      <c r="X763" s="79"/>
      <c r="Y763" s="79"/>
      <c r="Z763" s="79"/>
    </row>
    <row r="764" spans="1:26" ht="12.75" customHeight="1">
      <c r="A764" s="73"/>
      <c r="B764" s="73"/>
      <c r="C764" s="80"/>
      <c r="D764" s="79"/>
      <c r="E764" s="79"/>
      <c r="F764" s="81"/>
      <c r="G764" s="81"/>
      <c r="H764" s="79"/>
      <c r="I764" s="79"/>
      <c r="J764" s="79"/>
      <c r="K764" s="79"/>
      <c r="L764" s="79"/>
      <c r="M764" s="79"/>
      <c r="N764" s="79"/>
      <c r="O764" s="79"/>
      <c r="P764" s="79"/>
      <c r="Q764" s="79"/>
      <c r="R764" s="79"/>
      <c r="S764" s="79"/>
      <c r="T764" s="79"/>
      <c r="U764" s="79"/>
      <c r="V764" s="79"/>
      <c r="W764" s="79"/>
      <c r="X764" s="79"/>
      <c r="Y764" s="79"/>
      <c r="Z764" s="79"/>
    </row>
    <row r="765" spans="1:26" ht="12.75" customHeight="1">
      <c r="A765" s="73"/>
      <c r="B765" s="73"/>
      <c r="C765" s="80"/>
      <c r="D765" s="79"/>
      <c r="E765" s="79"/>
      <c r="F765" s="81"/>
      <c r="G765" s="81"/>
      <c r="H765" s="79"/>
      <c r="I765" s="79"/>
      <c r="J765" s="79"/>
      <c r="K765" s="79"/>
      <c r="L765" s="79"/>
      <c r="M765" s="79"/>
      <c r="N765" s="79"/>
      <c r="O765" s="79"/>
      <c r="P765" s="79"/>
      <c r="Q765" s="79"/>
      <c r="R765" s="79"/>
      <c r="S765" s="79"/>
      <c r="T765" s="79"/>
      <c r="U765" s="79"/>
      <c r="V765" s="79"/>
      <c r="W765" s="79"/>
      <c r="X765" s="79"/>
      <c r="Y765" s="79"/>
      <c r="Z765" s="79"/>
    </row>
    <row r="766" spans="1:26" ht="12.75" customHeight="1">
      <c r="A766" s="73"/>
      <c r="B766" s="73"/>
      <c r="C766" s="80"/>
      <c r="D766" s="79"/>
      <c r="E766" s="79"/>
      <c r="F766" s="81"/>
      <c r="G766" s="81"/>
      <c r="H766" s="79"/>
      <c r="I766" s="79"/>
      <c r="J766" s="79"/>
      <c r="K766" s="79"/>
      <c r="L766" s="79"/>
      <c r="M766" s="79"/>
      <c r="N766" s="79"/>
      <c r="O766" s="79"/>
      <c r="P766" s="79"/>
      <c r="Q766" s="79"/>
      <c r="R766" s="79"/>
      <c r="S766" s="79"/>
      <c r="T766" s="79"/>
      <c r="U766" s="79"/>
      <c r="V766" s="79"/>
      <c r="W766" s="79"/>
      <c r="X766" s="79"/>
      <c r="Y766" s="79"/>
      <c r="Z766" s="79"/>
    </row>
    <row r="767" spans="1:26" ht="12.75" customHeight="1">
      <c r="A767" s="73"/>
      <c r="B767" s="73"/>
      <c r="C767" s="80"/>
      <c r="D767" s="79"/>
      <c r="E767" s="79"/>
      <c r="F767" s="81"/>
      <c r="G767" s="81"/>
      <c r="H767" s="79"/>
      <c r="I767" s="79"/>
      <c r="J767" s="79"/>
      <c r="K767" s="79"/>
      <c r="L767" s="79"/>
      <c r="M767" s="79"/>
      <c r="N767" s="79"/>
      <c r="O767" s="79"/>
      <c r="P767" s="79"/>
      <c r="Q767" s="79"/>
      <c r="R767" s="79"/>
      <c r="S767" s="79"/>
      <c r="T767" s="79"/>
      <c r="U767" s="79"/>
      <c r="V767" s="79"/>
      <c r="W767" s="79"/>
      <c r="X767" s="79"/>
      <c r="Y767" s="79"/>
      <c r="Z767" s="79"/>
    </row>
    <row r="768" spans="1:26" ht="12.75" customHeight="1">
      <c r="A768" s="73"/>
      <c r="B768" s="73"/>
      <c r="C768" s="80"/>
      <c r="D768" s="79"/>
      <c r="E768" s="79"/>
      <c r="F768" s="81"/>
      <c r="G768" s="81"/>
      <c r="H768" s="79"/>
      <c r="I768" s="79"/>
      <c r="J768" s="79"/>
      <c r="K768" s="79"/>
      <c r="L768" s="79"/>
      <c r="M768" s="79"/>
      <c r="N768" s="79"/>
      <c r="O768" s="79"/>
      <c r="P768" s="79"/>
      <c r="Q768" s="79"/>
      <c r="R768" s="79"/>
      <c r="S768" s="79"/>
      <c r="T768" s="79"/>
      <c r="U768" s="79"/>
      <c r="V768" s="79"/>
      <c r="W768" s="79"/>
      <c r="X768" s="79"/>
      <c r="Y768" s="79"/>
      <c r="Z768" s="79"/>
    </row>
    <row r="769" spans="1:26" ht="12.75" customHeight="1">
      <c r="A769" s="73"/>
      <c r="B769" s="73"/>
      <c r="C769" s="80"/>
      <c r="D769" s="79"/>
      <c r="E769" s="79"/>
      <c r="F769" s="81"/>
      <c r="G769" s="81"/>
      <c r="H769" s="79"/>
      <c r="I769" s="79"/>
      <c r="J769" s="79"/>
      <c r="K769" s="79"/>
      <c r="L769" s="79"/>
      <c r="M769" s="79"/>
      <c r="N769" s="79"/>
      <c r="O769" s="79"/>
      <c r="P769" s="79"/>
      <c r="Q769" s="79"/>
      <c r="R769" s="79"/>
      <c r="S769" s="79"/>
      <c r="T769" s="79"/>
      <c r="U769" s="79"/>
      <c r="V769" s="79"/>
      <c r="W769" s="79"/>
      <c r="X769" s="79"/>
      <c r="Y769" s="79"/>
      <c r="Z769" s="79"/>
    </row>
    <row r="770" spans="1:26" ht="12.75" customHeight="1">
      <c r="A770" s="73"/>
      <c r="B770" s="73"/>
      <c r="C770" s="80"/>
      <c r="D770" s="79"/>
      <c r="E770" s="79"/>
      <c r="F770" s="81"/>
      <c r="G770" s="81"/>
      <c r="H770" s="79"/>
      <c r="I770" s="79"/>
      <c r="J770" s="79"/>
      <c r="K770" s="79"/>
      <c r="L770" s="79"/>
      <c r="M770" s="79"/>
      <c r="N770" s="79"/>
      <c r="O770" s="79"/>
      <c r="P770" s="79"/>
      <c r="Q770" s="79"/>
      <c r="R770" s="79"/>
      <c r="S770" s="79"/>
      <c r="T770" s="79"/>
      <c r="U770" s="79"/>
      <c r="V770" s="79"/>
      <c r="W770" s="79"/>
      <c r="X770" s="79"/>
      <c r="Y770" s="79"/>
      <c r="Z770" s="79"/>
    </row>
    <row r="771" spans="1:26" ht="12.75" customHeight="1">
      <c r="A771" s="73"/>
      <c r="B771" s="73"/>
      <c r="C771" s="80"/>
      <c r="D771" s="79"/>
      <c r="E771" s="79"/>
      <c r="F771" s="81"/>
      <c r="G771" s="81"/>
      <c r="H771" s="79"/>
      <c r="I771" s="79"/>
      <c r="J771" s="79"/>
      <c r="K771" s="79"/>
      <c r="L771" s="79"/>
      <c r="M771" s="79"/>
      <c r="N771" s="79"/>
      <c r="O771" s="79"/>
      <c r="P771" s="79"/>
      <c r="Q771" s="79"/>
      <c r="R771" s="79"/>
      <c r="S771" s="79"/>
      <c r="T771" s="79"/>
      <c r="U771" s="79"/>
      <c r="V771" s="79"/>
      <c r="W771" s="79"/>
      <c r="X771" s="79"/>
      <c r="Y771" s="79"/>
      <c r="Z771" s="79"/>
    </row>
    <row r="772" spans="1:26" ht="12.75" customHeight="1">
      <c r="A772" s="73"/>
      <c r="B772" s="73"/>
      <c r="C772" s="80"/>
      <c r="D772" s="79"/>
      <c r="E772" s="79"/>
      <c r="F772" s="81"/>
      <c r="G772" s="81"/>
      <c r="H772" s="79"/>
      <c r="I772" s="79"/>
      <c r="J772" s="79"/>
      <c r="K772" s="79"/>
      <c r="L772" s="79"/>
      <c r="M772" s="79"/>
      <c r="N772" s="79"/>
      <c r="O772" s="79"/>
      <c r="P772" s="79"/>
      <c r="Q772" s="79"/>
      <c r="R772" s="79"/>
      <c r="S772" s="79"/>
      <c r="T772" s="79"/>
      <c r="U772" s="79"/>
      <c r="V772" s="79"/>
      <c r="W772" s="79"/>
      <c r="X772" s="79"/>
      <c r="Y772" s="79"/>
      <c r="Z772" s="79"/>
    </row>
    <row r="773" spans="1:26" ht="12.75" customHeight="1">
      <c r="A773" s="73"/>
      <c r="B773" s="73"/>
      <c r="C773" s="80"/>
      <c r="D773" s="79"/>
      <c r="E773" s="79"/>
      <c r="F773" s="81"/>
      <c r="G773" s="81"/>
      <c r="H773" s="79"/>
      <c r="I773" s="79"/>
      <c r="J773" s="79"/>
      <c r="K773" s="79"/>
      <c r="L773" s="79"/>
      <c r="M773" s="79"/>
      <c r="N773" s="79"/>
      <c r="O773" s="79"/>
      <c r="P773" s="79"/>
      <c r="Q773" s="79"/>
      <c r="R773" s="79"/>
      <c r="S773" s="79"/>
      <c r="T773" s="79"/>
      <c r="U773" s="79"/>
      <c r="V773" s="79"/>
      <c r="W773" s="79"/>
      <c r="X773" s="79"/>
      <c r="Y773" s="79"/>
      <c r="Z773" s="79"/>
    </row>
    <row r="774" spans="1:26" ht="12.75" customHeight="1">
      <c r="A774" s="73"/>
      <c r="B774" s="73"/>
      <c r="C774" s="80"/>
      <c r="D774" s="79"/>
      <c r="E774" s="79"/>
      <c r="F774" s="81"/>
      <c r="G774" s="81"/>
      <c r="H774" s="79"/>
      <c r="I774" s="79"/>
      <c r="J774" s="79"/>
      <c r="K774" s="79"/>
      <c r="L774" s="79"/>
      <c r="M774" s="79"/>
      <c r="N774" s="79"/>
      <c r="O774" s="79"/>
      <c r="P774" s="79"/>
      <c r="Q774" s="79"/>
      <c r="R774" s="79"/>
      <c r="S774" s="79"/>
      <c r="T774" s="79"/>
      <c r="U774" s="79"/>
      <c r="V774" s="79"/>
      <c r="W774" s="79"/>
      <c r="X774" s="79"/>
      <c r="Y774" s="79"/>
      <c r="Z774" s="79"/>
    </row>
    <row r="775" spans="1:26" ht="12.75" customHeight="1">
      <c r="A775" s="73"/>
      <c r="B775" s="73"/>
      <c r="C775" s="80"/>
      <c r="D775" s="79"/>
      <c r="E775" s="79"/>
      <c r="F775" s="81"/>
      <c r="G775" s="81"/>
      <c r="H775" s="79"/>
      <c r="I775" s="79"/>
      <c r="J775" s="79"/>
      <c r="K775" s="79"/>
      <c r="L775" s="79"/>
      <c r="M775" s="79"/>
      <c r="N775" s="79"/>
      <c r="O775" s="79"/>
      <c r="P775" s="79"/>
      <c r="Q775" s="79"/>
      <c r="R775" s="79"/>
      <c r="S775" s="79"/>
      <c r="T775" s="79"/>
      <c r="U775" s="79"/>
      <c r="V775" s="79"/>
      <c r="W775" s="79"/>
      <c r="X775" s="79"/>
      <c r="Y775" s="79"/>
      <c r="Z775" s="79"/>
    </row>
    <row r="776" spans="1:26" ht="12.75" customHeight="1">
      <c r="A776" s="73"/>
      <c r="B776" s="73"/>
      <c r="C776" s="80"/>
      <c r="D776" s="79"/>
      <c r="E776" s="79"/>
      <c r="F776" s="81"/>
      <c r="G776" s="81"/>
      <c r="H776" s="79"/>
      <c r="I776" s="79"/>
      <c r="J776" s="79"/>
      <c r="K776" s="79"/>
      <c r="L776" s="79"/>
      <c r="M776" s="79"/>
      <c r="N776" s="79"/>
      <c r="O776" s="79"/>
      <c r="P776" s="79"/>
      <c r="Q776" s="79"/>
      <c r="R776" s="79"/>
      <c r="S776" s="79"/>
      <c r="T776" s="79"/>
      <c r="U776" s="79"/>
      <c r="V776" s="79"/>
      <c r="W776" s="79"/>
      <c r="X776" s="79"/>
      <c r="Y776" s="79"/>
      <c r="Z776" s="79"/>
    </row>
    <row r="777" spans="1:26" ht="12.75" customHeight="1">
      <c r="A777" s="73"/>
      <c r="B777" s="73"/>
      <c r="C777" s="80"/>
      <c r="D777" s="79"/>
      <c r="E777" s="79"/>
      <c r="F777" s="81"/>
      <c r="G777" s="81"/>
      <c r="H777" s="79"/>
      <c r="I777" s="79"/>
      <c r="J777" s="79"/>
      <c r="K777" s="79"/>
      <c r="L777" s="79"/>
      <c r="M777" s="79"/>
      <c r="N777" s="79"/>
      <c r="O777" s="79"/>
      <c r="P777" s="79"/>
      <c r="Q777" s="79"/>
      <c r="R777" s="79"/>
      <c r="S777" s="79"/>
      <c r="T777" s="79"/>
      <c r="U777" s="79"/>
      <c r="V777" s="79"/>
      <c r="W777" s="79"/>
      <c r="X777" s="79"/>
      <c r="Y777" s="79"/>
      <c r="Z777" s="79"/>
    </row>
    <row r="778" spans="1:26" ht="12.75" customHeight="1">
      <c r="A778" s="73"/>
      <c r="B778" s="73"/>
      <c r="C778" s="80"/>
      <c r="D778" s="79"/>
      <c r="E778" s="79"/>
      <c r="F778" s="81"/>
      <c r="G778" s="81"/>
      <c r="H778" s="79"/>
      <c r="I778" s="79"/>
      <c r="J778" s="79"/>
      <c r="K778" s="79"/>
      <c r="L778" s="79"/>
      <c r="M778" s="79"/>
      <c r="N778" s="79"/>
      <c r="O778" s="79"/>
      <c r="P778" s="79"/>
      <c r="Q778" s="79"/>
      <c r="R778" s="79"/>
      <c r="S778" s="79"/>
      <c r="T778" s="79"/>
      <c r="U778" s="79"/>
      <c r="V778" s="79"/>
      <c r="W778" s="79"/>
      <c r="X778" s="79"/>
      <c r="Y778" s="79"/>
      <c r="Z778" s="79"/>
    </row>
    <row r="779" spans="1:26" ht="12.75" customHeight="1">
      <c r="A779" s="73"/>
      <c r="B779" s="73"/>
      <c r="C779" s="80"/>
      <c r="D779" s="79"/>
      <c r="E779" s="79"/>
      <c r="F779" s="81"/>
      <c r="G779" s="81"/>
      <c r="H779" s="79"/>
      <c r="I779" s="79"/>
      <c r="J779" s="79"/>
      <c r="K779" s="79"/>
      <c r="L779" s="79"/>
      <c r="M779" s="79"/>
      <c r="N779" s="79"/>
      <c r="O779" s="79"/>
      <c r="P779" s="79"/>
      <c r="Q779" s="79"/>
      <c r="R779" s="79"/>
      <c r="S779" s="79"/>
      <c r="T779" s="79"/>
      <c r="U779" s="79"/>
      <c r="V779" s="79"/>
      <c r="W779" s="79"/>
      <c r="X779" s="79"/>
      <c r="Y779" s="79"/>
      <c r="Z779" s="79"/>
    </row>
    <row r="780" spans="1:26" ht="12.75" customHeight="1">
      <c r="A780" s="73"/>
      <c r="B780" s="73"/>
      <c r="C780" s="80"/>
      <c r="D780" s="79"/>
      <c r="E780" s="79"/>
      <c r="F780" s="81"/>
      <c r="G780" s="81"/>
      <c r="H780" s="79"/>
      <c r="I780" s="79"/>
      <c r="J780" s="79"/>
      <c r="K780" s="79"/>
      <c r="L780" s="79"/>
      <c r="M780" s="79"/>
      <c r="N780" s="79"/>
      <c r="O780" s="79"/>
      <c r="P780" s="79"/>
      <c r="Q780" s="79"/>
      <c r="R780" s="79"/>
      <c r="S780" s="79"/>
      <c r="T780" s="79"/>
      <c r="U780" s="79"/>
      <c r="V780" s="79"/>
      <c r="W780" s="79"/>
      <c r="X780" s="79"/>
      <c r="Y780" s="79"/>
      <c r="Z780" s="79"/>
    </row>
    <row r="781" spans="1:26" ht="12.75" customHeight="1">
      <c r="A781" s="73"/>
      <c r="B781" s="73"/>
      <c r="C781" s="80"/>
      <c r="D781" s="79"/>
      <c r="E781" s="79"/>
      <c r="F781" s="81"/>
      <c r="G781" s="81"/>
      <c r="H781" s="79"/>
      <c r="I781" s="79"/>
      <c r="J781" s="79"/>
      <c r="K781" s="79"/>
      <c r="L781" s="79"/>
      <c r="M781" s="79"/>
      <c r="N781" s="79"/>
      <c r="O781" s="79"/>
      <c r="P781" s="79"/>
      <c r="Q781" s="79"/>
      <c r="R781" s="79"/>
      <c r="S781" s="79"/>
      <c r="T781" s="79"/>
      <c r="U781" s="79"/>
      <c r="V781" s="79"/>
      <c r="W781" s="79"/>
      <c r="X781" s="79"/>
      <c r="Y781" s="79"/>
      <c r="Z781" s="79"/>
    </row>
    <row r="782" spans="1:26" ht="12.75" customHeight="1">
      <c r="A782" s="73"/>
      <c r="B782" s="73"/>
      <c r="C782" s="80"/>
      <c r="D782" s="79"/>
      <c r="E782" s="79"/>
      <c r="F782" s="81"/>
      <c r="G782" s="81"/>
      <c r="H782" s="79"/>
      <c r="I782" s="79"/>
      <c r="J782" s="79"/>
      <c r="K782" s="79"/>
      <c r="L782" s="79"/>
      <c r="M782" s="79"/>
      <c r="N782" s="79"/>
      <c r="O782" s="79"/>
      <c r="P782" s="79"/>
      <c r="Q782" s="79"/>
      <c r="R782" s="79"/>
      <c r="S782" s="79"/>
      <c r="T782" s="79"/>
      <c r="U782" s="79"/>
      <c r="V782" s="79"/>
      <c r="W782" s="79"/>
      <c r="X782" s="79"/>
      <c r="Y782" s="79"/>
      <c r="Z782" s="79"/>
    </row>
    <row r="783" spans="1:26" ht="12.75" customHeight="1">
      <c r="A783" s="73"/>
      <c r="B783" s="73"/>
      <c r="C783" s="80"/>
      <c r="D783" s="79"/>
      <c r="E783" s="79"/>
      <c r="F783" s="81"/>
      <c r="G783" s="81"/>
      <c r="H783" s="79"/>
      <c r="I783" s="79"/>
      <c r="J783" s="79"/>
      <c r="K783" s="79"/>
      <c r="L783" s="79"/>
      <c r="M783" s="79"/>
      <c r="N783" s="79"/>
      <c r="O783" s="79"/>
      <c r="P783" s="79"/>
      <c r="Q783" s="79"/>
      <c r="R783" s="79"/>
      <c r="S783" s="79"/>
      <c r="T783" s="79"/>
      <c r="U783" s="79"/>
      <c r="V783" s="79"/>
      <c r="W783" s="79"/>
      <c r="X783" s="79"/>
      <c r="Y783" s="79"/>
      <c r="Z783" s="79"/>
    </row>
    <row r="784" spans="1:26" ht="12.75" customHeight="1">
      <c r="A784" s="73"/>
      <c r="B784" s="73"/>
      <c r="C784" s="80"/>
      <c r="D784" s="79"/>
      <c r="E784" s="79"/>
      <c r="F784" s="81"/>
      <c r="G784" s="81"/>
      <c r="H784" s="79"/>
      <c r="I784" s="79"/>
      <c r="J784" s="79"/>
      <c r="K784" s="79"/>
      <c r="L784" s="79"/>
      <c r="M784" s="79"/>
      <c r="N784" s="79"/>
      <c r="O784" s="79"/>
      <c r="P784" s="79"/>
      <c r="Q784" s="79"/>
      <c r="R784" s="79"/>
      <c r="S784" s="79"/>
      <c r="T784" s="79"/>
      <c r="U784" s="79"/>
      <c r="V784" s="79"/>
      <c r="W784" s="79"/>
      <c r="X784" s="79"/>
      <c r="Y784" s="79"/>
      <c r="Z784" s="79"/>
    </row>
    <row r="785" spans="1:26" ht="12.75" customHeight="1">
      <c r="A785" s="73"/>
      <c r="B785" s="73"/>
      <c r="C785" s="80"/>
      <c r="D785" s="79"/>
      <c r="E785" s="79"/>
      <c r="F785" s="81"/>
      <c r="G785" s="81"/>
      <c r="H785" s="79"/>
      <c r="I785" s="79"/>
      <c r="J785" s="79"/>
      <c r="K785" s="79"/>
      <c r="L785" s="79"/>
      <c r="M785" s="79"/>
      <c r="N785" s="79"/>
      <c r="O785" s="79"/>
      <c r="P785" s="79"/>
      <c r="Q785" s="79"/>
      <c r="R785" s="79"/>
      <c r="S785" s="79"/>
      <c r="T785" s="79"/>
      <c r="U785" s="79"/>
      <c r="V785" s="79"/>
      <c r="W785" s="79"/>
      <c r="X785" s="79"/>
      <c r="Y785" s="79"/>
      <c r="Z785" s="79"/>
    </row>
    <row r="786" spans="1:26" ht="12.75" customHeight="1">
      <c r="A786" s="73"/>
      <c r="B786" s="73"/>
      <c r="C786" s="80"/>
      <c r="D786" s="79"/>
      <c r="E786" s="79"/>
      <c r="F786" s="81"/>
      <c r="G786" s="81"/>
      <c r="H786" s="79"/>
      <c r="I786" s="79"/>
      <c r="J786" s="79"/>
      <c r="K786" s="79"/>
      <c r="L786" s="79"/>
      <c r="M786" s="79"/>
      <c r="N786" s="79"/>
      <c r="O786" s="79"/>
      <c r="P786" s="79"/>
      <c r="Q786" s="79"/>
      <c r="R786" s="79"/>
      <c r="S786" s="79"/>
      <c r="T786" s="79"/>
      <c r="U786" s="79"/>
      <c r="V786" s="79"/>
      <c r="W786" s="79"/>
      <c r="X786" s="79"/>
      <c r="Y786" s="79"/>
      <c r="Z786" s="79"/>
    </row>
    <row r="787" spans="1:26" ht="12.75" customHeight="1">
      <c r="A787" s="73"/>
      <c r="B787" s="73"/>
      <c r="C787" s="80"/>
      <c r="D787" s="79"/>
      <c r="E787" s="79"/>
      <c r="F787" s="81"/>
      <c r="G787" s="81"/>
      <c r="H787" s="79"/>
      <c r="I787" s="79"/>
      <c r="J787" s="79"/>
      <c r="K787" s="79"/>
      <c r="L787" s="79"/>
      <c r="M787" s="79"/>
      <c r="N787" s="79"/>
      <c r="O787" s="79"/>
      <c r="P787" s="79"/>
      <c r="Q787" s="79"/>
      <c r="R787" s="79"/>
      <c r="S787" s="79"/>
      <c r="T787" s="79"/>
      <c r="U787" s="79"/>
      <c r="V787" s="79"/>
      <c r="W787" s="79"/>
      <c r="X787" s="79"/>
      <c r="Y787" s="79"/>
      <c r="Z787" s="79"/>
    </row>
    <row r="788" spans="1:26" ht="12.75" customHeight="1">
      <c r="A788" s="73"/>
      <c r="B788" s="73"/>
      <c r="C788" s="80"/>
      <c r="D788" s="79"/>
      <c r="E788" s="79"/>
      <c r="F788" s="81"/>
      <c r="G788" s="81"/>
      <c r="H788" s="79"/>
      <c r="I788" s="79"/>
      <c r="J788" s="79"/>
      <c r="K788" s="79"/>
      <c r="L788" s="79"/>
      <c r="M788" s="79"/>
      <c r="N788" s="79"/>
      <c r="O788" s="79"/>
      <c r="P788" s="79"/>
      <c r="Q788" s="79"/>
      <c r="R788" s="79"/>
      <c r="S788" s="79"/>
      <c r="T788" s="79"/>
      <c r="U788" s="79"/>
      <c r="V788" s="79"/>
      <c r="W788" s="79"/>
      <c r="X788" s="79"/>
      <c r="Y788" s="79"/>
      <c r="Z788" s="79"/>
    </row>
    <row r="789" spans="1:26" ht="12.75" customHeight="1">
      <c r="A789" s="73"/>
      <c r="B789" s="73"/>
      <c r="C789" s="80"/>
      <c r="D789" s="79"/>
      <c r="E789" s="79"/>
      <c r="F789" s="81"/>
      <c r="G789" s="81"/>
      <c r="H789" s="79"/>
      <c r="I789" s="79"/>
      <c r="J789" s="79"/>
      <c r="K789" s="79"/>
      <c r="L789" s="79"/>
      <c r="M789" s="79"/>
      <c r="N789" s="79"/>
      <c r="O789" s="79"/>
      <c r="P789" s="79"/>
      <c r="Q789" s="79"/>
      <c r="R789" s="79"/>
      <c r="S789" s="79"/>
      <c r="T789" s="79"/>
      <c r="U789" s="79"/>
      <c r="V789" s="79"/>
      <c r="W789" s="79"/>
      <c r="X789" s="79"/>
      <c r="Y789" s="79"/>
      <c r="Z789" s="79"/>
    </row>
    <row r="790" spans="1:26" ht="12.75" customHeight="1">
      <c r="A790" s="73"/>
      <c r="B790" s="73"/>
      <c r="C790" s="80"/>
      <c r="D790" s="79"/>
      <c r="E790" s="79"/>
      <c r="F790" s="81"/>
      <c r="G790" s="81"/>
      <c r="H790" s="79"/>
      <c r="I790" s="79"/>
      <c r="J790" s="79"/>
      <c r="K790" s="79"/>
      <c r="L790" s="79"/>
      <c r="M790" s="79"/>
      <c r="N790" s="79"/>
      <c r="O790" s="79"/>
      <c r="P790" s="79"/>
      <c r="Q790" s="79"/>
      <c r="R790" s="79"/>
      <c r="S790" s="79"/>
      <c r="T790" s="79"/>
      <c r="U790" s="79"/>
      <c r="V790" s="79"/>
      <c r="W790" s="79"/>
      <c r="X790" s="79"/>
      <c r="Y790" s="79"/>
      <c r="Z790" s="79"/>
    </row>
    <row r="791" spans="1:26" ht="12.75" customHeight="1">
      <c r="A791" s="73"/>
      <c r="B791" s="73"/>
      <c r="C791" s="80"/>
      <c r="D791" s="79"/>
      <c r="E791" s="79"/>
      <c r="F791" s="81"/>
      <c r="G791" s="81"/>
      <c r="H791" s="79"/>
      <c r="I791" s="79"/>
      <c r="J791" s="79"/>
      <c r="K791" s="79"/>
      <c r="L791" s="79"/>
      <c r="M791" s="79"/>
      <c r="N791" s="79"/>
      <c r="O791" s="79"/>
      <c r="P791" s="79"/>
      <c r="Q791" s="79"/>
      <c r="R791" s="79"/>
      <c r="S791" s="79"/>
      <c r="T791" s="79"/>
      <c r="U791" s="79"/>
      <c r="V791" s="79"/>
      <c r="W791" s="79"/>
      <c r="X791" s="79"/>
      <c r="Y791" s="79"/>
      <c r="Z791" s="79"/>
    </row>
    <row r="792" spans="1:26" ht="12.75" customHeight="1">
      <c r="A792" s="73"/>
      <c r="B792" s="73"/>
      <c r="C792" s="80"/>
      <c r="D792" s="79"/>
      <c r="E792" s="79"/>
      <c r="F792" s="81"/>
      <c r="G792" s="81"/>
      <c r="H792" s="79"/>
      <c r="I792" s="79"/>
      <c r="J792" s="79"/>
      <c r="K792" s="79"/>
      <c r="L792" s="79"/>
      <c r="M792" s="79"/>
      <c r="N792" s="79"/>
      <c r="O792" s="79"/>
      <c r="P792" s="79"/>
      <c r="Q792" s="79"/>
      <c r="R792" s="79"/>
      <c r="S792" s="79"/>
      <c r="T792" s="79"/>
      <c r="U792" s="79"/>
      <c r="V792" s="79"/>
      <c r="W792" s="79"/>
      <c r="X792" s="79"/>
      <c r="Y792" s="79"/>
      <c r="Z792" s="79"/>
    </row>
    <row r="793" spans="1:26" ht="12.75" customHeight="1">
      <c r="A793" s="73"/>
      <c r="B793" s="73"/>
      <c r="C793" s="80"/>
      <c r="D793" s="79"/>
      <c r="E793" s="79"/>
      <c r="F793" s="81"/>
      <c r="G793" s="81"/>
      <c r="H793" s="79"/>
      <c r="I793" s="79"/>
      <c r="J793" s="79"/>
      <c r="K793" s="79"/>
      <c r="L793" s="79"/>
      <c r="M793" s="79"/>
      <c r="N793" s="79"/>
      <c r="O793" s="79"/>
      <c r="P793" s="79"/>
      <c r="Q793" s="79"/>
      <c r="R793" s="79"/>
      <c r="S793" s="79"/>
      <c r="T793" s="79"/>
      <c r="U793" s="79"/>
      <c r="V793" s="79"/>
      <c r="W793" s="79"/>
      <c r="X793" s="79"/>
      <c r="Y793" s="79"/>
      <c r="Z793" s="79"/>
    </row>
    <row r="794" spans="1:26" ht="12.75" customHeight="1">
      <c r="A794" s="73"/>
      <c r="B794" s="73"/>
      <c r="C794" s="80"/>
      <c r="D794" s="79"/>
      <c r="E794" s="79"/>
      <c r="F794" s="81"/>
      <c r="G794" s="81"/>
      <c r="H794" s="79"/>
      <c r="I794" s="79"/>
      <c r="J794" s="79"/>
      <c r="K794" s="79"/>
      <c r="L794" s="79"/>
      <c r="M794" s="79"/>
      <c r="N794" s="79"/>
      <c r="O794" s="79"/>
      <c r="P794" s="79"/>
      <c r="Q794" s="79"/>
      <c r="R794" s="79"/>
      <c r="S794" s="79"/>
      <c r="T794" s="79"/>
      <c r="U794" s="79"/>
      <c r="V794" s="79"/>
      <c r="W794" s="79"/>
      <c r="X794" s="79"/>
      <c r="Y794" s="79"/>
      <c r="Z794" s="79"/>
    </row>
    <row r="795" spans="1:26" ht="12.75" customHeight="1">
      <c r="A795" s="73"/>
      <c r="B795" s="73"/>
      <c r="C795" s="80"/>
      <c r="D795" s="79"/>
      <c r="E795" s="79"/>
      <c r="F795" s="81"/>
      <c r="G795" s="81"/>
      <c r="H795" s="79"/>
      <c r="I795" s="79"/>
      <c r="J795" s="79"/>
      <c r="K795" s="79"/>
      <c r="L795" s="79"/>
      <c r="M795" s="79"/>
      <c r="N795" s="79"/>
      <c r="O795" s="79"/>
      <c r="P795" s="79"/>
      <c r="Q795" s="79"/>
      <c r="R795" s="79"/>
      <c r="S795" s="79"/>
      <c r="T795" s="79"/>
      <c r="U795" s="79"/>
      <c r="V795" s="79"/>
      <c r="W795" s="79"/>
      <c r="X795" s="79"/>
      <c r="Y795" s="79"/>
      <c r="Z795" s="79"/>
    </row>
    <row r="796" spans="1:26" ht="12.75" customHeight="1">
      <c r="A796" s="73"/>
      <c r="B796" s="73"/>
      <c r="C796" s="80"/>
      <c r="D796" s="79"/>
      <c r="E796" s="79"/>
      <c r="F796" s="81"/>
      <c r="G796" s="81"/>
      <c r="H796" s="79"/>
      <c r="I796" s="79"/>
      <c r="J796" s="79"/>
      <c r="K796" s="79"/>
      <c r="L796" s="79"/>
      <c r="M796" s="79"/>
      <c r="N796" s="79"/>
      <c r="O796" s="79"/>
      <c r="P796" s="79"/>
      <c r="Q796" s="79"/>
      <c r="R796" s="79"/>
      <c r="S796" s="79"/>
      <c r="T796" s="79"/>
      <c r="U796" s="79"/>
      <c r="V796" s="79"/>
      <c r="W796" s="79"/>
      <c r="X796" s="79"/>
      <c r="Y796" s="79"/>
      <c r="Z796" s="79"/>
    </row>
    <row r="797" spans="1:26" ht="12.75" customHeight="1">
      <c r="A797" s="73"/>
      <c r="B797" s="73"/>
      <c r="C797" s="80"/>
      <c r="D797" s="79"/>
      <c r="E797" s="79"/>
      <c r="F797" s="81"/>
      <c r="G797" s="81"/>
      <c r="H797" s="79"/>
      <c r="I797" s="79"/>
      <c r="J797" s="79"/>
      <c r="K797" s="79"/>
      <c r="L797" s="79"/>
      <c r="M797" s="79"/>
      <c r="N797" s="79"/>
      <c r="O797" s="79"/>
      <c r="P797" s="79"/>
      <c r="Q797" s="79"/>
      <c r="R797" s="79"/>
      <c r="S797" s="79"/>
      <c r="T797" s="79"/>
      <c r="U797" s="79"/>
      <c r="V797" s="79"/>
      <c r="W797" s="79"/>
      <c r="X797" s="79"/>
      <c r="Y797" s="79"/>
      <c r="Z797" s="79"/>
    </row>
    <row r="798" spans="1:26" ht="12.75" customHeight="1">
      <c r="A798" s="73"/>
      <c r="B798" s="73"/>
      <c r="C798" s="80"/>
      <c r="D798" s="79"/>
      <c r="E798" s="79"/>
      <c r="F798" s="81"/>
      <c r="G798" s="81"/>
      <c r="H798" s="79"/>
      <c r="I798" s="79"/>
      <c r="J798" s="79"/>
      <c r="K798" s="79"/>
      <c r="L798" s="79"/>
      <c r="M798" s="79"/>
      <c r="N798" s="79"/>
      <c r="O798" s="79"/>
      <c r="P798" s="79"/>
      <c r="Q798" s="79"/>
      <c r="R798" s="79"/>
      <c r="S798" s="79"/>
      <c r="T798" s="79"/>
      <c r="U798" s="79"/>
      <c r="V798" s="79"/>
      <c r="W798" s="79"/>
      <c r="X798" s="79"/>
      <c r="Y798" s="79"/>
      <c r="Z798" s="79"/>
    </row>
    <row r="799" spans="1:26" ht="12.75" customHeight="1">
      <c r="A799" s="73"/>
      <c r="B799" s="73"/>
      <c r="C799" s="80"/>
      <c r="D799" s="79"/>
      <c r="E799" s="79"/>
      <c r="F799" s="81"/>
      <c r="G799" s="81"/>
      <c r="H799" s="79"/>
      <c r="I799" s="79"/>
      <c r="J799" s="79"/>
      <c r="K799" s="79"/>
      <c r="L799" s="79"/>
      <c r="M799" s="79"/>
      <c r="N799" s="79"/>
      <c r="O799" s="79"/>
      <c r="P799" s="79"/>
      <c r="Q799" s="79"/>
      <c r="R799" s="79"/>
      <c r="S799" s="79"/>
      <c r="T799" s="79"/>
      <c r="U799" s="79"/>
      <c r="V799" s="79"/>
      <c r="W799" s="79"/>
      <c r="X799" s="79"/>
      <c r="Y799" s="79"/>
      <c r="Z799" s="79"/>
    </row>
    <row r="800" spans="1:26" ht="12.75" customHeight="1">
      <c r="A800" s="73"/>
      <c r="B800" s="73"/>
      <c r="C800" s="80"/>
      <c r="D800" s="79"/>
      <c r="E800" s="79"/>
      <c r="F800" s="81"/>
      <c r="G800" s="81"/>
      <c r="H800" s="79"/>
      <c r="I800" s="79"/>
      <c r="J800" s="79"/>
      <c r="K800" s="79"/>
      <c r="L800" s="79"/>
      <c r="M800" s="79"/>
      <c r="N800" s="79"/>
      <c r="O800" s="79"/>
      <c r="P800" s="79"/>
      <c r="Q800" s="79"/>
      <c r="R800" s="79"/>
      <c r="S800" s="79"/>
      <c r="T800" s="79"/>
      <c r="U800" s="79"/>
      <c r="V800" s="79"/>
      <c r="W800" s="79"/>
      <c r="X800" s="79"/>
      <c r="Y800" s="79"/>
      <c r="Z800" s="79"/>
    </row>
    <row r="801" spans="1:26" ht="12.75" customHeight="1">
      <c r="A801" s="73"/>
      <c r="B801" s="73"/>
      <c r="C801" s="80"/>
      <c r="D801" s="79"/>
      <c r="E801" s="79"/>
      <c r="F801" s="81"/>
      <c r="G801" s="81"/>
      <c r="H801" s="79"/>
      <c r="I801" s="79"/>
      <c r="J801" s="79"/>
      <c r="K801" s="79"/>
      <c r="L801" s="79"/>
      <c r="M801" s="79"/>
      <c r="N801" s="79"/>
      <c r="O801" s="79"/>
      <c r="P801" s="79"/>
      <c r="Q801" s="79"/>
      <c r="R801" s="79"/>
      <c r="S801" s="79"/>
      <c r="T801" s="79"/>
      <c r="U801" s="79"/>
      <c r="V801" s="79"/>
      <c r="W801" s="79"/>
      <c r="X801" s="79"/>
      <c r="Y801" s="79"/>
      <c r="Z801" s="79"/>
    </row>
    <row r="802" spans="1:26" ht="12.75" customHeight="1">
      <c r="A802" s="73"/>
      <c r="B802" s="73"/>
      <c r="C802" s="80"/>
      <c r="D802" s="79"/>
      <c r="E802" s="79"/>
      <c r="F802" s="81"/>
      <c r="G802" s="81"/>
      <c r="H802" s="79"/>
      <c r="I802" s="79"/>
      <c r="J802" s="79"/>
      <c r="K802" s="79"/>
      <c r="L802" s="79"/>
      <c r="M802" s="79"/>
      <c r="N802" s="79"/>
      <c r="O802" s="79"/>
      <c r="P802" s="79"/>
      <c r="Q802" s="79"/>
      <c r="R802" s="79"/>
      <c r="S802" s="79"/>
      <c r="T802" s="79"/>
      <c r="U802" s="79"/>
      <c r="V802" s="79"/>
      <c r="W802" s="79"/>
      <c r="X802" s="79"/>
      <c r="Y802" s="79"/>
      <c r="Z802" s="79"/>
    </row>
    <row r="803" spans="1:26" ht="12.75" customHeight="1">
      <c r="A803" s="73"/>
      <c r="B803" s="73"/>
      <c r="C803" s="80"/>
      <c r="D803" s="79"/>
      <c r="E803" s="79"/>
      <c r="F803" s="81"/>
      <c r="G803" s="81"/>
      <c r="H803" s="79"/>
      <c r="I803" s="79"/>
      <c r="J803" s="79"/>
      <c r="K803" s="79"/>
      <c r="L803" s="79"/>
      <c r="M803" s="79"/>
      <c r="N803" s="79"/>
      <c r="O803" s="79"/>
      <c r="P803" s="79"/>
      <c r="Q803" s="79"/>
      <c r="R803" s="79"/>
      <c r="S803" s="79"/>
      <c r="T803" s="79"/>
      <c r="U803" s="79"/>
      <c r="V803" s="79"/>
      <c r="W803" s="79"/>
      <c r="X803" s="79"/>
      <c r="Y803" s="79"/>
      <c r="Z803" s="79"/>
    </row>
    <row r="804" spans="1:26" ht="12.75" customHeight="1">
      <c r="A804" s="73"/>
      <c r="B804" s="73"/>
      <c r="C804" s="80"/>
      <c r="D804" s="79"/>
      <c r="E804" s="79"/>
      <c r="F804" s="81"/>
      <c r="G804" s="81"/>
      <c r="H804" s="79"/>
      <c r="I804" s="79"/>
      <c r="J804" s="79"/>
      <c r="K804" s="79"/>
      <c r="L804" s="79"/>
      <c r="M804" s="79"/>
      <c r="N804" s="79"/>
      <c r="O804" s="79"/>
      <c r="P804" s="79"/>
      <c r="Q804" s="79"/>
      <c r="R804" s="79"/>
      <c r="S804" s="79"/>
      <c r="T804" s="79"/>
      <c r="U804" s="79"/>
      <c r="V804" s="79"/>
      <c r="W804" s="79"/>
      <c r="X804" s="79"/>
      <c r="Y804" s="79"/>
      <c r="Z804" s="79"/>
    </row>
    <row r="805" spans="1:26" ht="12.75" customHeight="1">
      <c r="A805" s="73"/>
      <c r="B805" s="73"/>
      <c r="C805" s="80"/>
      <c r="D805" s="79"/>
      <c r="E805" s="79"/>
      <c r="F805" s="81"/>
      <c r="G805" s="81"/>
      <c r="H805" s="79"/>
      <c r="I805" s="79"/>
      <c r="J805" s="79"/>
      <c r="K805" s="79"/>
      <c r="L805" s="79"/>
      <c r="M805" s="79"/>
      <c r="N805" s="79"/>
      <c r="O805" s="79"/>
      <c r="P805" s="79"/>
      <c r="Q805" s="79"/>
      <c r="R805" s="79"/>
      <c r="S805" s="79"/>
      <c r="T805" s="79"/>
      <c r="U805" s="79"/>
      <c r="V805" s="79"/>
      <c r="W805" s="79"/>
      <c r="X805" s="79"/>
      <c r="Y805" s="79"/>
      <c r="Z805" s="79"/>
    </row>
    <row r="806" spans="1:26" ht="12.75" customHeight="1">
      <c r="A806" s="73"/>
      <c r="B806" s="73"/>
      <c r="C806" s="80"/>
      <c r="D806" s="79"/>
      <c r="E806" s="79"/>
      <c r="F806" s="81"/>
      <c r="G806" s="81"/>
      <c r="H806" s="79"/>
      <c r="I806" s="79"/>
      <c r="J806" s="79"/>
      <c r="K806" s="79"/>
      <c r="L806" s="79"/>
      <c r="M806" s="79"/>
      <c r="N806" s="79"/>
      <c r="O806" s="79"/>
      <c r="P806" s="79"/>
      <c r="Q806" s="79"/>
      <c r="R806" s="79"/>
      <c r="S806" s="79"/>
      <c r="T806" s="79"/>
      <c r="U806" s="79"/>
      <c r="V806" s="79"/>
      <c r="W806" s="79"/>
      <c r="X806" s="79"/>
      <c r="Y806" s="79"/>
      <c r="Z806" s="79"/>
    </row>
    <row r="807" spans="1:26" ht="12.75" customHeight="1">
      <c r="A807" s="73"/>
      <c r="B807" s="73"/>
      <c r="C807" s="80"/>
      <c r="D807" s="79"/>
      <c r="E807" s="79"/>
      <c r="F807" s="81"/>
      <c r="G807" s="81"/>
      <c r="H807" s="79"/>
      <c r="I807" s="79"/>
      <c r="J807" s="79"/>
      <c r="K807" s="79"/>
      <c r="L807" s="79"/>
      <c r="M807" s="79"/>
      <c r="N807" s="79"/>
      <c r="O807" s="79"/>
      <c r="P807" s="79"/>
      <c r="Q807" s="79"/>
      <c r="R807" s="79"/>
      <c r="S807" s="79"/>
      <c r="T807" s="79"/>
      <c r="U807" s="79"/>
      <c r="V807" s="79"/>
      <c r="W807" s="79"/>
      <c r="X807" s="79"/>
      <c r="Y807" s="79"/>
      <c r="Z807" s="79"/>
    </row>
    <row r="808" spans="1:26" ht="12.75" customHeight="1">
      <c r="A808" s="73"/>
      <c r="B808" s="73"/>
      <c r="C808" s="80"/>
      <c r="D808" s="79"/>
      <c r="E808" s="79"/>
      <c r="F808" s="81"/>
      <c r="G808" s="81"/>
      <c r="H808" s="79"/>
      <c r="I808" s="79"/>
      <c r="J808" s="79"/>
      <c r="K808" s="79"/>
      <c r="L808" s="79"/>
      <c r="M808" s="79"/>
      <c r="N808" s="79"/>
      <c r="O808" s="79"/>
      <c r="P808" s="79"/>
      <c r="Q808" s="79"/>
      <c r="R808" s="79"/>
      <c r="S808" s="79"/>
      <c r="T808" s="79"/>
      <c r="U808" s="79"/>
      <c r="V808" s="79"/>
      <c r="W808" s="79"/>
      <c r="X808" s="79"/>
      <c r="Y808" s="79"/>
      <c r="Z808" s="79"/>
    </row>
    <row r="809" spans="1:26" ht="12.75" customHeight="1">
      <c r="A809" s="73"/>
      <c r="B809" s="73"/>
      <c r="C809" s="80"/>
      <c r="D809" s="79"/>
      <c r="E809" s="79"/>
      <c r="F809" s="81"/>
      <c r="G809" s="81"/>
      <c r="H809" s="79"/>
      <c r="I809" s="79"/>
      <c r="J809" s="79"/>
      <c r="K809" s="79"/>
      <c r="L809" s="79"/>
      <c r="M809" s="79"/>
      <c r="N809" s="79"/>
      <c r="O809" s="79"/>
      <c r="P809" s="79"/>
      <c r="Q809" s="79"/>
      <c r="R809" s="79"/>
      <c r="S809" s="79"/>
      <c r="T809" s="79"/>
      <c r="U809" s="79"/>
      <c r="V809" s="79"/>
      <c r="W809" s="79"/>
      <c r="X809" s="79"/>
      <c r="Y809" s="79"/>
      <c r="Z809" s="79"/>
    </row>
    <row r="810" spans="1:26" ht="12.75" customHeight="1">
      <c r="A810" s="73"/>
      <c r="B810" s="73"/>
      <c r="C810" s="80"/>
      <c r="D810" s="79"/>
      <c r="E810" s="79"/>
      <c r="F810" s="81"/>
      <c r="G810" s="81"/>
      <c r="H810" s="79"/>
      <c r="I810" s="79"/>
      <c r="J810" s="79"/>
      <c r="K810" s="79"/>
      <c r="L810" s="79"/>
      <c r="M810" s="79"/>
      <c r="N810" s="79"/>
      <c r="O810" s="79"/>
      <c r="P810" s="79"/>
      <c r="Q810" s="79"/>
      <c r="R810" s="79"/>
      <c r="S810" s="79"/>
      <c r="T810" s="79"/>
      <c r="U810" s="79"/>
      <c r="V810" s="79"/>
      <c r="W810" s="79"/>
      <c r="X810" s="79"/>
      <c r="Y810" s="79"/>
      <c r="Z810" s="79"/>
    </row>
    <row r="811" spans="1:26" ht="12.75" customHeight="1">
      <c r="A811" s="73"/>
      <c r="B811" s="73"/>
      <c r="C811" s="80"/>
      <c r="D811" s="79"/>
      <c r="E811" s="79"/>
      <c r="F811" s="81"/>
      <c r="G811" s="81"/>
      <c r="H811" s="79"/>
      <c r="I811" s="79"/>
      <c r="J811" s="79"/>
      <c r="K811" s="79"/>
      <c r="L811" s="79"/>
      <c r="M811" s="79"/>
      <c r="N811" s="79"/>
      <c r="O811" s="79"/>
      <c r="P811" s="79"/>
      <c r="Q811" s="79"/>
      <c r="R811" s="79"/>
      <c r="S811" s="79"/>
      <c r="T811" s="79"/>
      <c r="U811" s="79"/>
      <c r="V811" s="79"/>
      <c r="W811" s="79"/>
      <c r="X811" s="79"/>
      <c r="Y811" s="79"/>
      <c r="Z811" s="79"/>
    </row>
    <row r="812" spans="1:26" ht="12.75" customHeight="1">
      <c r="A812" s="73"/>
      <c r="B812" s="73"/>
      <c r="C812" s="80"/>
      <c r="D812" s="79"/>
      <c r="E812" s="79"/>
      <c r="F812" s="81"/>
      <c r="G812" s="81"/>
      <c r="H812" s="79"/>
      <c r="I812" s="79"/>
      <c r="J812" s="79"/>
      <c r="K812" s="79"/>
      <c r="L812" s="79"/>
      <c r="M812" s="79"/>
      <c r="N812" s="79"/>
      <c r="O812" s="79"/>
      <c r="P812" s="79"/>
      <c r="Q812" s="79"/>
      <c r="R812" s="79"/>
      <c r="S812" s="79"/>
      <c r="T812" s="79"/>
      <c r="U812" s="79"/>
      <c r="V812" s="79"/>
      <c r="W812" s="79"/>
      <c r="X812" s="79"/>
      <c r="Y812" s="79"/>
      <c r="Z812" s="79"/>
    </row>
    <row r="813" spans="1:26" ht="12.75" customHeight="1">
      <c r="A813" s="73"/>
      <c r="B813" s="73"/>
      <c r="C813" s="80"/>
      <c r="D813" s="79"/>
      <c r="E813" s="79"/>
      <c r="F813" s="81"/>
      <c r="G813" s="81"/>
      <c r="H813" s="79"/>
      <c r="I813" s="79"/>
      <c r="J813" s="79"/>
      <c r="K813" s="79"/>
      <c r="L813" s="79"/>
      <c r="M813" s="79"/>
      <c r="N813" s="79"/>
      <c r="O813" s="79"/>
      <c r="P813" s="79"/>
      <c r="Q813" s="79"/>
      <c r="R813" s="79"/>
      <c r="S813" s="79"/>
      <c r="T813" s="79"/>
      <c r="U813" s="79"/>
      <c r="V813" s="79"/>
      <c r="W813" s="79"/>
      <c r="X813" s="79"/>
      <c r="Y813" s="79"/>
      <c r="Z813" s="79"/>
    </row>
    <row r="814" spans="1:26" ht="12.75" customHeight="1">
      <c r="A814" s="73"/>
      <c r="B814" s="73"/>
      <c r="C814" s="80"/>
      <c r="D814" s="79"/>
      <c r="E814" s="79"/>
      <c r="F814" s="81"/>
      <c r="G814" s="81"/>
      <c r="H814" s="79"/>
      <c r="I814" s="79"/>
      <c r="J814" s="79"/>
      <c r="K814" s="79"/>
      <c r="L814" s="79"/>
      <c r="M814" s="79"/>
      <c r="N814" s="79"/>
      <c r="O814" s="79"/>
      <c r="P814" s="79"/>
      <c r="Q814" s="79"/>
      <c r="R814" s="79"/>
      <c r="S814" s="79"/>
      <c r="T814" s="79"/>
      <c r="U814" s="79"/>
      <c r="V814" s="79"/>
      <c r="W814" s="79"/>
      <c r="X814" s="79"/>
      <c r="Y814" s="79"/>
      <c r="Z814" s="79"/>
    </row>
    <row r="815" spans="1:26" ht="12.75" customHeight="1">
      <c r="A815" s="73"/>
      <c r="B815" s="73"/>
      <c r="C815" s="80"/>
      <c r="D815" s="79"/>
      <c r="E815" s="79"/>
      <c r="F815" s="81"/>
      <c r="G815" s="81"/>
      <c r="H815" s="79"/>
      <c r="I815" s="79"/>
      <c r="J815" s="79"/>
      <c r="K815" s="79"/>
      <c r="L815" s="79"/>
      <c r="M815" s="79"/>
      <c r="N815" s="79"/>
      <c r="O815" s="79"/>
      <c r="P815" s="79"/>
      <c r="Q815" s="79"/>
      <c r="R815" s="79"/>
      <c r="S815" s="79"/>
      <c r="T815" s="79"/>
      <c r="U815" s="79"/>
      <c r="V815" s="79"/>
      <c r="W815" s="79"/>
      <c r="X815" s="79"/>
      <c r="Y815" s="79"/>
      <c r="Z815" s="79"/>
    </row>
    <row r="816" spans="1:26" ht="12.75" customHeight="1">
      <c r="A816" s="73"/>
      <c r="B816" s="73"/>
      <c r="C816" s="80"/>
      <c r="D816" s="79"/>
      <c r="E816" s="79"/>
      <c r="F816" s="81"/>
      <c r="G816" s="81"/>
      <c r="H816" s="79"/>
      <c r="I816" s="79"/>
      <c r="J816" s="79"/>
      <c r="K816" s="79"/>
      <c r="L816" s="79"/>
      <c r="M816" s="79"/>
      <c r="N816" s="79"/>
      <c r="O816" s="79"/>
      <c r="P816" s="79"/>
      <c r="Q816" s="79"/>
      <c r="R816" s="79"/>
      <c r="S816" s="79"/>
      <c r="T816" s="79"/>
      <c r="U816" s="79"/>
      <c r="V816" s="79"/>
      <c r="W816" s="79"/>
      <c r="X816" s="79"/>
      <c r="Y816" s="79"/>
      <c r="Z816" s="79"/>
    </row>
    <row r="817" spans="1:26" ht="12.75" customHeight="1">
      <c r="A817" s="73"/>
      <c r="B817" s="73"/>
      <c r="C817" s="80"/>
      <c r="D817" s="79"/>
      <c r="E817" s="79"/>
      <c r="F817" s="81"/>
      <c r="G817" s="81"/>
      <c r="H817" s="79"/>
      <c r="I817" s="79"/>
      <c r="J817" s="79"/>
      <c r="K817" s="79"/>
      <c r="L817" s="79"/>
      <c r="M817" s="79"/>
      <c r="N817" s="79"/>
      <c r="O817" s="79"/>
      <c r="P817" s="79"/>
      <c r="Q817" s="79"/>
      <c r="R817" s="79"/>
      <c r="S817" s="79"/>
      <c r="T817" s="79"/>
      <c r="U817" s="79"/>
      <c r="V817" s="79"/>
      <c r="W817" s="79"/>
      <c r="X817" s="79"/>
      <c r="Y817" s="79"/>
      <c r="Z817" s="79"/>
    </row>
    <row r="818" spans="1:26" ht="12.75" customHeight="1">
      <c r="A818" s="73"/>
      <c r="B818" s="73"/>
      <c r="C818" s="80"/>
      <c r="D818" s="79"/>
      <c r="E818" s="79"/>
      <c r="F818" s="81"/>
      <c r="G818" s="81"/>
      <c r="H818" s="79"/>
      <c r="I818" s="79"/>
      <c r="J818" s="79"/>
      <c r="K818" s="79"/>
      <c r="L818" s="79"/>
      <c r="M818" s="79"/>
      <c r="N818" s="79"/>
      <c r="O818" s="79"/>
      <c r="P818" s="79"/>
      <c r="Q818" s="79"/>
      <c r="R818" s="79"/>
      <c r="S818" s="79"/>
      <c r="T818" s="79"/>
      <c r="U818" s="79"/>
      <c r="V818" s="79"/>
      <c r="W818" s="79"/>
      <c r="X818" s="79"/>
      <c r="Y818" s="79"/>
      <c r="Z818" s="79"/>
    </row>
    <row r="819" spans="1:26" ht="12.75" customHeight="1">
      <c r="A819" s="73"/>
      <c r="B819" s="73"/>
      <c r="C819" s="80"/>
      <c r="D819" s="79"/>
      <c r="E819" s="79"/>
      <c r="F819" s="81"/>
      <c r="G819" s="81"/>
      <c r="H819" s="79"/>
      <c r="I819" s="79"/>
      <c r="J819" s="79"/>
      <c r="K819" s="79"/>
      <c r="L819" s="79"/>
      <c r="M819" s="79"/>
      <c r="N819" s="79"/>
      <c r="O819" s="79"/>
      <c r="P819" s="79"/>
      <c r="Q819" s="79"/>
      <c r="R819" s="79"/>
      <c r="S819" s="79"/>
      <c r="T819" s="79"/>
      <c r="U819" s="79"/>
      <c r="V819" s="79"/>
      <c r="W819" s="79"/>
      <c r="X819" s="79"/>
      <c r="Y819" s="79"/>
      <c r="Z819" s="79"/>
    </row>
    <row r="820" spans="1:26" ht="12.75" customHeight="1">
      <c r="A820" s="73"/>
      <c r="B820" s="73"/>
      <c r="C820" s="80"/>
      <c r="D820" s="79"/>
      <c r="E820" s="79"/>
      <c r="F820" s="81"/>
      <c r="G820" s="81"/>
      <c r="H820" s="79"/>
      <c r="I820" s="79"/>
      <c r="J820" s="79"/>
      <c r="K820" s="79"/>
      <c r="L820" s="79"/>
      <c r="M820" s="79"/>
      <c r="N820" s="79"/>
      <c r="O820" s="79"/>
      <c r="P820" s="79"/>
      <c r="Q820" s="79"/>
      <c r="R820" s="79"/>
      <c r="S820" s="79"/>
      <c r="T820" s="79"/>
      <c r="U820" s="79"/>
      <c r="V820" s="79"/>
      <c r="W820" s="79"/>
      <c r="X820" s="79"/>
      <c r="Y820" s="79"/>
      <c r="Z820" s="79"/>
    </row>
    <row r="821" spans="1:26" ht="12.75" customHeight="1">
      <c r="A821" s="73"/>
      <c r="B821" s="73"/>
      <c r="C821" s="80"/>
      <c r="D821" s="79"/>
      <c r="E821" s="79"/>
      <c r="F821" s="81"/>
      <c r="G821" s="81"/>
      <c r="H821" s="79"/>
      <c r="I821" s="79"/>
      <c r="J821" s="79"/>
      <c r="K821" s="79"/>
      <c r="L821" s="79"/>
      <c r="M821" s="79"/>
      <c r="N821" s="79"/>
      <c r="O821" s="79"/>
      <c r="P821" s="79"/>
      <c r="Q821" s="79"/>
      <c r="R821" s="79"/>
      <c r="S821" s="79"/>
      <c r="T821" s="79"/>
      <c r="U821" s="79"/>
      <c r="V821" s="79"/>
      <c r="W821" s="79"/>
      <c r="X821" s="79"/>
      <c r="Y821" s="79"/>
      <c r="Z821" s="79"/>
    </row>
    <row r="822" spans="1:26" ht="12.75" customHeight="1">
      <c r="A822" s="73"/>
      <c r="B822" s="73"/>
      <c r="C822" s="80"/>
      <c r="D822" s="79"/>
      <c r="E822" s="79"/>
      <c r="F822" s="81"/>
      <c r="G822" s="81"/>
      <c r="H822" s="79"/>
      <c r="I822" s="79"/>
      <c r="J822" s="79"/>
      <c r="K822" s="79"/>
      <c r="L822" s="79"/>
      <c r="M822" s="79"/>
      <c r="N822" s="79"/>
      <c r="O822" s="79"/>
      <c r="P822" s="79"/>
      <c r="Q822" s="79"/>
      <c r="R822" s="79"/>
      <c r="S822" s="79"/>
      <c r="T822" s="79"/>
      <c r="U822" s="79"/>
      <c r="V822" s="79"/>
      <c r="W822" s="79"/>
      <c r="X822" s="79"/>
      <c r="Y822" s="79"/>
      <c r="Z822" s="79"/>
    </row>
    <row r="823" spans="1:26" ht="12.75" customHeight="1">
      <c r="A823" s="73"/>
      <c r="B823" s="73"/>
      <c r="C823" s="80"/>
      <c r="D823" s="79"/>
      <c r="E823" s="79"/>
      <c r="F823" s="81"/>
      <c r="G823" s="81"/>
      <c r="H823" s="79"/>
      <c r="I823" s="79"/>
      <c r="J823" s="79"/>
      <c r="K823" s="79"/>
      <c r="L823" s="79"/>
      <c r="M823" s="79"/>
      <c r="N823" s="79"/>
      <c r="O823" s="79"/>
      <c r="P823" s="79"/>
      <c r="Q823" s="79"/>
      <c r="R823" s="79"/>
      <c r="S823" s="79"/>
      <c r="T823" s="79"/>
      <c r="U823" s="79"/>
      <c r="V823" s="79"/>
      <c r="W823" s="79"/>
      <c r="X823" s="79"/>
      <c r="Y823" s="79"/>
      <c r="Z823" s="79"/>
    </row>
    <row r="824" spans="1:26" ht="12.75" customHeight="1">
      <c r="A824" s="73"/>
      <c r="B824" s="73"/>
      <c r="C824" s="80"/>
      <c r="D824" s="79"/>
      <c r="E824" s="79"/>
      <c r="F824" s="81"/>
      <c r="G824" s="81"/>
      <c r="H824" s="79"/>
      <c r="I824" s="79"/>
      <c r="J824" s="79"/>
      <c r="K824" s="79"/>
      <c r="L824" s="79"/>
      <c r="M824" s="79"/>
      <c r="N824" s="79"/>
      <c r="O824" s="79"/>
      <c r="P824" s="79"/>
      <c r="Q824" s="79"/>
      <c r="R824" s="79"/>
      <c r="S824" s="79"/>
      <c r="T824" s="79"/>
      <c r="U824" s="79"/>
      <c r="V824" s="79"/>
      <c r="W824" s="79"/>
      <c r="X824" s="79"/>
      <c r="Y824" s="79"/>
      <c r="Z824" s="79"/>
    </row>
    <row r="825" spans="1:26" ht="12.75" customHeight="1">
      <c r="A825" s="73"/>
      <c r="B825" s="73"/>
      <c r="C825" s="80"/>
      <c r="D825" s="79"/>
      <c r="E825" s="79"/>
      <c r="F825" s="81"/>
      <c r="G825" s="81"/>
      <c r="H825" s="79"/>
      <c r="I825" s="79"/>
      <c r="J825" s="79"/>
      <c r="K825" s="79"/>
      <c r="L825" s="79"/>
      <c r="M825" s="79"/>
      <c r="N825" s="79"/>
      <c r="O825" s="79"/>
      <c r="P825" s="79"/>
      <c r="Q825" s="79"/>
      <c r="R825" s="79"/>
      <c r="S825" s="79"/>
      <c r="T825" s="79"/>
      <c r="U825" s="79"/>
      <c r="V825" s="79"/>
      <c r="W825" s="79"/>
      <c r="X825" s="79"/>
      <c r="Y825" s="79"/>
      <c r="Z825" s="79"/>
    </row>
    <row r="826" spans="1:26" ht="12.75" customHeight="1">
      <c r="A826" s="73"/>
      <c r="B826" s="73"/>
      <c r="C826" s="80"/>
      <c r="D826" s="79"/>
      <c r="E826" s="79"/>
      <c r="F826" s="81"/>
      <c r="G826" s="81"/>
      <c r="H826" s="79"/>
      <c r="I826" s="79"/>
      <c r="J826" s="79"/>
      <c r="K826" s="79"/>
      <c r="L826" s="79"/>
      <c r="M826" s="79"/>
      <c r="N826" s="79"/>
      <c r="O826" s="79"/>
      <c r="P826" s="79"/>
      <c r="Q826" s="79"/>
      <c r="R826" s="79"/>
      <c r="S826" s="79"/>
      <c r="T826" s="79"/>
      <c r="U826" s="79"/>
      <c r="V826" s="79"/>
      <c r="W826" s="79"/>
      <c r="X826" s="79"/>
      <c r="Y826" s="79"/>
      <c r="Z826" s="79"/>
    </row>
    <row r="827" spans="1:26" ht="12.75" customHeight="1">
      <c r="A827" s="73"/>
      <c r="B827" s="73"/>
      <c r="C827" s="80"/>
      <c r="D827" s="79"/>
      <c r="E827" s="79"/>
      <c r="F827" s="81"/>
      <c r="G827" s="81"/>
      <c r="H827" s="79"/>
      <c r="I827" s="79"/>
      <c r="J827" s="79"/>
      <c r="K827" s="79"/>
      <c r="L827" s="79"/>
      <c r="M827" s="79"/>
      <c r="N827" s="79"/>
      <c r="O827" s="79"/>
      <c r="P827" s="79"/>
      <c r="Q827" s="79"/>
      <c r="R827" s="79"/>
      <c r="S827" s="79"/>
      <c r="T827" s="79"/>
      <c r="U827" s="79"/>
      <c r="V827" s="79"/>
      <c r="W827" s="79"/>
      <c r="X827" s="79"/>
      <c r="Y827" s="79"/>
      <c r="Z827" s="79"/>
    </row>
    <row r="828" spans="1:26" ht="12.75" customHeight="1">
      <c r="A828" s="73"/>
      <c r="B828" s="73"/>
      <c r="C828" s="80"/>
      <c r="D828" s="79"/>
      <c r="E828" s="79"/>
      <c r="F828" s="81"/>
      <c r="G828" s="81"/>
      <c r="H828" s="79"/>
      <c r="I828" s="79"/>
      <c r="J828" s="79"/>
      <c r="K828" s="79"/>
      <c r="L828" s="79"/>
      <c r="M828" s="79"/>
      <c r="N828" s="79"/>
      <c r="O828" s="79"/>
      <c r="P828" s="79"/>
      <c r="Q828" s="79"/>
      <c r="R828" s="79"/>
      <c r="S828" s="79"/>
      <c r="T828" s="79"/>
      <c r="U828" s="79"/>
      <c r="V828" s="79"/>
      <c r="W828" s="79"/>
      <c r="X828" s="79"/>
      <c r="Y828" s="79"/>
      <c r="Z828" s="79"/>
    </row>
    <row r="829" spans="1:26" ht="12.75" customHeight="1">
      <c r="A829" s="73"/>
      <c r="B829" s="73"/>
      <c r="C829" s="80"/>
      <c r="D829" s="79"/>
      <c r="E829" s="79"/>
      <c r="F829" s="81"/>
      <c r="G829" s="81"/>
      <c r="H829" s="79"/>
      <c r="I829" s="79"/>
      <c r="J829" s="79"/>
      <c r="K829" s="79"/>
      <c r="L829" s="79"/>
      <c r="M829" s="79"/>
      <c r="N829" s="79"/>
      <c r="O829" s="79"/>
      <c r="P829" s="79"/>
      <c r="Q829" s="79"/>
      <c r="R829" s="79"/>
      <c r="S829" s="79"/>
      <c r="T829" s="79"/>
      <c r="U829" s="79"/>
      <c r="V829" s="79"/>
      <c r="W829" s="79"/>
      <c r="X829" s="79"/>
      <c r="Y829" s="79"/>
      <c r="Z829" s="79"/>
    </row>
    <row r="830" spans="1:26" ht="12.75" customHeight="1">
      <c r="A830" s="73"/>
      <c r="B830" s="73"/>
      <c r="C830" s="80"/>
      <c r="D830" s="79"/>
      <c r="E830" s="79"/>
      <c r="F830" s="81"/>
      <c r="G830" s="81"/>
      <c r="H830" s="79"/>
      <c r="I830" s="79"/>
      <c r="J830" s="79"/>
      <c r="K830" s="79"/>
      <c r="L830" s="79"/>
      <c r="M830" s="79"/>
      <c r="N830" s="79"/>
      <c r="O830" s="79"/>
      <c r="P830" s="79"/>
      <c r="Q830" s="79"/>
      <c r="R830" s="79"/>
      <c r="S830" s="79"/>
      <c r="T830" s="79"/>
      <c r="U830" s="79"/>
      <c r="V830" s="79"/>
      <c r="W830" s="79"/>
      <c r="X830" s="79"/>
      <c r="Y830" s="79"/>
      <c r="Z830" s="79"/>
    </row>
    <row r="831" spans="1:26" ht="12.75" customHeight="1">
      <c r="A831" s="73"/>
      <c r="B831" s="73"/>
      <c r="C831" s="80"/>
      <c r="D831" s="79"/>
      <c r="E831" s="79"/>
      <c r="F831" s="81"/>
      <c r="G831" s="81"/>
      <c r="H831" s="79"/>
      <c r="I831" s="79"/>
      <c r="J831" s="79"/>
      <c r="K831" s="79"/>
      <c r="L831" s="79"/>
      <c r="M831" s="79"/>
      <c r="N831" s="79"/>
      <c r="O831" s="79"/>
      <c r="P831" s="79"/>
      <c r="Q831" s="79"/>
      <c r="R831" s="79"/>
      <c r="S831" s="79"/>
      <c r="T831" s="79"/>
      <c r="U831" s="79"/>
      <c r="V831" s="79"/>
      <c r="W831" s="79"/>
      <c r="X831" s="79"/>
      <c r="Y831" s="79"/>
      <c r="Z831" s="79"/>
    </row>
    <row r="832" spans="1:26" ht="12.75" customHeight="1">
      <c r="A832" s="73"/>
      <c r="B832" s="73"/>
      <c r="C832" s="80"/>
      <c r="D832" s="79"/>
      <c r="E832" s="79"/>
      <c r="F832" s="81"/>
      <c r="G832" s="81"/>
      <c r="H832" s="79"/>
      <c r="I832" s="79"/>
      <c r="J832" s="79"/>
      <c r="K832" s="79"/>
      <c r="L832" s="79"/>
      <c r="M832" s="79"/>
      <c r="N832" s="79"/>
      <c r="O832" s="79"/>
      <c r="P832" s="79"/>
      <c r="Q832" s="79"/>
      <c r="R832" s="79"/>
      <c r="S832" s="79"/>
      <c r="T832" s="79"/>
      <c r="U832" s="79"/>
      <c r="V832" s="79"/>
      <c r="W832" s="79"/>
      <c r="X832" s="79"/>
      <c r="Y832" s="79"/>
      <c r="Z832" s="79"/>
    </row>
    <row r="833" spans="1:26" ht="12.75" customHeight="1">
      <c r="A833" s="73"/>
      <c r="B833" s="73"/>
      <c r="C833" s="80"/>
      <c r="D833" s="79"/>
      <c r="E833" s="79"/>
      <c r="F833" s="81"/>
      <c r="G833" s="81"/>
      <c r="H833" s="79"/>
      <c r="I833" s="79"/>
      <c r="J833" s="79"/>
      <c r="K833" s="79"/>
      <c r="L833" s="79"/>
      <c r="M833" s="79"/>
      <c r="N833" s="79"/>
      <c r="O833" s="79"/>
      <c r="P833" s="79"/>
      <c r="Q833" s="79"/>
      <c r="R833" s="79"/>
      <c r="S833" s="79"/>
      <c r="T833" s="79"/>
      <c r="U833" s="79"/>
      <c r="V833" s="79"/>
      <c r="W833" s="79"/>
      <c r="X833" s="79"/>
      <c r="Y833" s="79"/>
      <c r="Z833" s="79"/>
    </row>
    <row r="834" spans="1:26" ht="12.75" customHeight="1">
      <c r="A834" s="73"/>
      <c r="B834" s="73"/>
      <c r="C834" s="80"/>
      <c r="D834" s="79"/>
      <c r="E834" s="79"/>
      <c r="F834" s="81"/>
      <c r="G834" s="81"/>
      <c r="H834" s="79"/>
      <c r="I834" s="79"/>
      <c r="J834" s="79"/>
      <c r="K834" s="79"/>
      <c r="L834" s="79"/>
      <c r="M834" s="79"/>
      <c r="N834" s="79"/>
      <c r="O834" s="79"/>
      <c r="P834" s="79"/>
      <c r="Q834" s="79"/>
      <c r="R834" s="79"/>
      <c r="S834" s="79"/>
      <c r="T834" s="79"/>
      <c r="U834" s="79"/>
      <c r="V834" s="79"/>
      <c r="W834" s="79"/>
      <c r="X834" s="79"/>
      <c r="Y834" s="79"/>
      <c r="Z834" s="79"/>
    </row>
    <row r="835" spans="1:26" ht="12.75" customHeight="1">
      <c r="A835" s="73"/>
      <c r="B835" s="73"/>
      <c r="C835" s="80"/>
      <c r="D835" s="79"/>
      <c r="E835" s="79"/>
      <c r="F835" s="81"/>
      <c r="G835" s="81"/>
      <c r="H835" s="79"/>
      <c r="I835" s="79"/>
      <c r="J835" s="79"/>
      <c r="K835" s="79"/>
      <c r="L835" s="79"/>
      <c r="M835" s="79"/>
      <c r="N835" s="79"/>
      <c r="O835" s="79"/>
      <c r="P835" s="79"/>
      <c r="Q835" s="79"/>
      <c r="R835" s="79"/>
      <c r="S835" s="79"/>
      <c r="T835" s="79"/>
      <c r="U835" s="79"/>
      <c r="V835" s="79"/>
      <c r="W835" s="79"/>
      <c r="X835" s="79"/>
      <c r="Y835" s="79"/>
      <c r="Z835" s="79"/>
    </row>
    <row r="836" spans="1:26" ht="12.75" customHeight="1">
      <c r="A836" s="73"/>
      <c r="B836" s="73"/>
      <c r="C836" s="80"/>
      <c r="D836" s="79"/>
      <c r="E836" s="79"/>
      <c r="F836" s="81"/>
      <c r="G836" s="81"/>
      <c r="H836" s="79"/>
      <c r="I836" s="79"/>
      <c r="J836" s="79"/>
      <c r="K836" s="79"/>
      <c r="L836" s="79"/>
      <c r="M836" s="79"/>
      <c r="N836" s="79"/>
      <c r="O836" s="79"/>
      <c r="P836" s="79"/>
      <c r="Q836" s="79"/>
      <c r="R836" s="79"/>
      <c r="S836" s="79"/>
      <c r="T836" s="79"/>
      <c r="U836" s="79"/>
      <c r="V836" s="79"/>
      <c r="W836" s="79"/>
      <c r="X836" s="79"/>
      <c r="Y836" s="79"/>
      <c r="Z836" s="79"/>
    </row>
    <row r="837" spans="1:26" ht="12.75" customHeight="1">
      <c r="A837" s="73"/>
      <c r="B837" s="73"/>
      <c r="C837" s="80"/>
      <c r="D837" s="79"/>
      <c r="E837" s="79"/>
      <c r="F837" s="81"/>
      <c r="G837" s="81"/>
      <c r="H837" s="79"/>
      <c r="I837" s="79"/>
      <c r="J837" s="79"/>
      <c r="K837" s="79"/>
      <c r="L837" s="79"/>
      <c r="M837" s="79"/>
      <c r="N837" s="79"/>
      <c r="O837" s="79"/>
      <c r="P837" s="79"/>
      <c r="Q837" s="79"/>
      <c r="R837" s="79"/>
      <c r="S837" s="79"/>
      <c r="T837" s="79"/>
      <c r="U837" s="79"/>
      <c r="V837" s="79"/>
      <c r="W837" s="79"/>
      <c r="X837" s="79"/>
      <c r="Y837" s="79"/>
      <c r="Z837" s="79"/>
    </row>
    <row r="838" spans="1:26" ht="12.75" customHeight="1">
      <c r="A838" s="73"/>
      <c r="B838" s="73"/>
      <c r="C838" s="80"/>
      <c r="D838" s="79"/>
      <c r="E838" s="79"/>
      <c r="F838" s="81"/>
      <c r="G838" s="81"/>
      <c r="H838" s="79"/>
      <c r="I838" s="79"/>
      <c r="J838" s="79"/>
      <c r="K838" s="79"/>
      <c r="L838" s="79"/>
      <c r="M838" s="79"/>
      <c r="N838" s="79"/>
      <c r="O838" s="79"/>
      <c r="P838" s="79"/>
      <c r="Q838" s="79"/>
      <c r="R838" s="79"/>
      <c r="S838" s="79"/>
      <c r="T838" s="79"/>
      <c r="U838" s="79"/>
      <c r="V838" s="79"/>
      <c r="W838" s="79"/>
      <c r="X838" s="79"/>
      <c r="Y838" s="79"/>
      <c r="Z838" s="79"/>
    </row>
    <row r="839" spans="1:26" ht="12.75" customHeight="1">
      <c r="A839" s="73"/>
      <c r="B839" s="73"/>
      <c r="C839" s="80"/>
      <c r="D839" s="79"/>
      <c r="E839" s="79"/>
      <c r="F839" s="81"/>
      <c r="G839" s="81"/>
      <c r="H839" s="79"/>
      <c r="I839" s="79"/>
      <c r="J839" s="79"/>
      <c r="K839" s="79"/>
      <c r="L839" s="79"/>
      <c r="M839" s="79"/>
      <c r="N839" s="79"/>
      <c r="O839" s="79"/>
      <c r="P839" s="79"/>
      <c r="Q839" s="79"/>
      <c r="R839" s="79"/>
      <c r="S839" s="79"/>
      <c r="T839" s="79"/>
      <c r="U839" s="79"/>
      <c r="V839" s="79"/>
      <c r="W839" s="79"/>
      <c r="X839" s="79"/>
      <c r="Y839" s="79"/>
      <c r="Z839" s="79"/>
    </row>
    <row r="840" spans="1:26" ht="12.75" customHeight="1">
      <c r="A840" s="73"/>
      <c r="B840" s="73"/>
      <c r="C840" s="80"/>
      <c r="D840" s="79"/>
      <c r="E840" s="79"/>
      <c r="F840" s="81"/>
      <c r="G840" s="81"/>
      <c r="H840" s="79"/>
      <c r="I840" s="79"/>
      <c r="J840" s="79"/>
      <c r="K840" s="79"/>
      <c r="L840" s="79"/>
      <c r="M840" s="79"/>
      <c r="N840" s="79"/>
      <c r="O840" s="79"/>
      <c r="P840" s="79"/>
      <c r="Q840" s="79"/>
      <c r="R840" s="79"/>
      <c r="S840" s="79"/>
      <c r="T840" s="79"/>
      <c r="U840" s="79"/>
      <c r="V840" s="79"/>
      <c r="W840" s="79"/>
      <c r="X840" s="79"/>
      <c r="Y840" s="79"/>
      <c r="Z840" s="79"/>
    </row>
    <row r="841" spans="1:26" ht="12.75" customHeight="1">
      <c r="A841" s="73"/>
      <c r="B841" s="73"/>
      <c r="C841" s="80"/>
      <c r="D841" s="79"/>
      <c r="E841" s="79"/>
      <c r="F841" s="81"/>
      <c r="G841" s="81"/>
      <c r="H841" s="79"/>
      <c r="I841" s="79"/>
      <c r="J841" s="79"/>
      <c r="K841" s="79"/>
      <c r="L841" s="79"/>
      <c r="M841" s="79"/>
      <c r="N841" s="79"/>
      <c r="O841" s="79"/>
      <c r="P841" s="79"/>
      <c r="Q841" s="79"/>
      <c r="R841" s="79"/>
      <c r="S841" s="79"/>
      <c r="T841" s="79"/>
      <c r="U841" s="79"/>
      <c r="V841" s="79"/>
      <c r="W841" s="79"/>
      <c r="X841" s="79"/>
      <c r="Y841" s="79"/>
      <c r="Z841" s="79"/>
    </row>
    <row r="842" spans="1:26" ht="12.75" customHeight="1">
      <c r="A842" s="73"/>
      <c r="B842" s="73"/>
      <c r="C842" s="80"/>
      <c r="D842" s="79"/>
      <c r="E842" s="79"/>
      <c r="F842" s="81"/>
      <c r="G842" s="81"/>
      <c r="H842" s="79"/>
      <c r="I842" s="79"/>
      <c r="J842" s="79"/>
      <c r="K842" s="79"/>
      <c r="L842" s="79"/>
      <c r="M842" s="79"/>
      <c r="N842" s="79"/>
      <c r="O842" s="79"/>
      <c r="P842" s="79"/>
      <c r="Q842" s="79"/>
      <c r="R842" s="79"/>
      <c r="S842" s="79"/>
      <c r="T842" s="79"/>
      <c r="U842" s="79"/>
      <c r="V842" s="79"/>
      <c r="W842" s="79"/>
      <c r="X842" s="79"/>
      <c r="Y842" s="79"/>
      <c r="Z842" s="79"/>
    </row>
    <row r="843" spans="1:26" ht="12.75" customHeight="1">
      <c r="A843" s="73"/>
      <c r="B843" s="73"/>
      <c r="C843" s="80"/>
      <c r="D843" s="79"/>
      <c r="E843" s="79"/>
      <c r="F843" s="81"/>
      <c r="G843" s="81"/>
      <c r="H843" s="79"/>
      <c r="I843" s="79"/>
      <c r="J843" s="79"/>
      <c r="K843" s="79"/>
      <c r="L843" s="79"/>
      <c r="M843" s="79"/>
      <c r="N843" s="79"/>
      <c r="O843" s="79"/>
      <c r="P843" s="79"/>
      <c r="Q843" s="79"/>
      <c r="R843" s="79"/>
      <c r="S843" s="79"/>
      <c r="T843" s="79"/>
      <c r="U843" s="79"/>
      <c r="V843" s="79"/>
      <c r="W843" s="79"/>
      <c r="X843" s="79"/>
      <c r="Y843" s="79"/>
      <c r="Z843" s="79"/>
    </row>
    <row r="844" spans="1:26" ht="12.75" customHeight="1">
      <c r="A844" s="73"/>
      <c r="B844" s="73"/>
      <c r="C844" s="80"/>
      <c r="D844" s="79"/>
      <c r="E844" s="79"/>
      <c r="F844" s="81"/>
      <c r="G844" s="81"/>
      <c r="H844" s="79"/>
      <c r="I844" s="79"/>
      <c r="J844" s="79"/>
      <c r="K844" s="79"/>
      <c r="L844" s="79"/>
      <c r="M844" s="79"/>
      <c r="N844" s="79"/>
      <c r="O844" s="79"/>
      <c r="P844" s="79"/>
      <c r="Q844" s="79"/>
      <c r="R844" s="79"/>
      <c r="S844" s="79"/>
      <c r="T844" s="79"/>
      <c r="U844" s="79"/>
      <c r="V844" s="79"/>
      <c r="W844" s="79"/>
      <c r="X844" s="79"/>
      <c r="Y844" s="79"/>
      <c r="Z844" s="79"/>
    </row>
    <row r="845" spans="1:26" ht="12.75" customHeight="1">
      <c r="A845" s="73"/>
      <c r="B845" s="73"/>
      <c r="C845" s="80"/>
      <c r="D845" s="79"/>
      <c r="E845" s="79"/>
      <c r="F845" s="81"/>
      <c r="G845" s="81"/>
      <c r="H845" s="79"/>
      <c r="I845" s="79"/>
      <c r="J845" s="79"/>
      <c r="K845" s="79"/>
      <c r="L845" s="79"/>
      <c r="M845" s="79"/>
      <c r="N845" s="79"/>
      <c r="O845" s="79"/>
      <c r="P845" s="79"/>
      <c r="Q845" s="79"/>
      <c r="R845" s="79"/>
      <c r="S845" s="79"/>
      <c r="T845" s="79"/>
      <c r="U845" s="79"/>
      <c r="V845" s="79"/>
      <c r="W845" s="79"/>
      <c r="X845" s="79"/>
      <c r="Y845" s="79"/>
      <c r="Z845" s="79"/>
    </row>
    <row r="846" spans="1:26" ht="12.75" customHeight="1">
      <c r="A846" s="73"/>
      <c r="B846" s="73"/>
      <c r="C846" s="80"/>
      <c r="D846" s="79"/>
      <c r="E846" s="79"/>
      <c r="F846" s="81"/>
      <c r="G846" s="81"/>
      <c r="H846" s="79"/>
      <c r="I846" s="79"/>
      <c r="J846" s="79"/>
      <c r="K846" s="79"/>
      <c r="L846" s="79"/>
      <c r="M846" s="79"/>
      <c r="N846" s="79"/>
      <c r="O846" s="79"/>
      <c r="P846" s="79"/>
      <c r="Q846" s="79"/>
      <c r="R846" s="79"/>
      <c r="S846" s="79"/>
      <c r="T846" s="79"/>
      <c r="U846" s="79"/>
      <c r="V846" s="79"/>
      <c r="W846" s="79"/>
      <c r="X846" s="79"/>
      <c r="Y846" s="79"/>
      <c r="Z846" s="79"/>
    </row>
    <row r="847" spans="1:26" ht="12.75" customHeight="1">
      <c r="A847" s="73"/>
      <c r="B847" s="73"/>
      <c r="C847" s="80"/>
      <c r="D847" s="79"/>
      <c r="E847" s="79"/>
      <c r="F847" s="81"/>
      <c r="G847" s="81"/>
      <c r="H847" s="79"/>
      <c r="I847" s="79"/>
      <c r="J847" s="79"/>
      <c r="K847" s="79"/>
      <c r="L847" s="79"/>
      <c r="M847" s="79"/>
      <c r="N847" s="79"/>
      <c r="O847" s="79"/>
      <c r="P847" s="79"/>
      <c r="Q847" s="79"/>
      <c r="R847" s="79"/>
      <c r="S847" s="79"/>
      <c r="T847" s="79"/>
      <c r="U847" s="79"/>
      <c r="V847" s="79"/>
      <c r="W847" s="79"/>
      <c r="X847" s="79"/>
      <c r="Y847" s="79"/>
      <c r="Z847" s="79"/>
    </row>
    <row r="848" spans="1:26" ht="12.75" customHeight="1">
      <c r="A848" s="73"/>
      <c r="B848" s="73"/>
      <c r="C848" s="80"/>
      <c r="D848" s="79"/>
      <c r="E848" s="79"/>
      <c r="F848" s="81"/>
      <c r="G848" s="81"/>
      <c r="H848" s="79"/>
      <c r="I848" s="79"/>
      <c r="J848" s="79"/>
      <c r="K848" s="79"/>
      <c r="L848" s="79"/>
      <c r="M848" s="79"/>
      <c r="N848" s="79"/>
      <c r="O848" s="79"/>
      <c r="P848" s="79"/>
      <c r="Q848" s="79"/>
      <c r="R848" s="79"/>
      <c r="S848" s="79"/>
      <c r="T848" s="79"/>
      <c r="U848" s="79"/>
      <c r="V848" s="79"/>
      <c r="W848" s="79"/>
      <c r="X848" s="79"/>
      <c r="Y848" s="79"/>
      <c r="Z848" s="79"/>
    </row>
    <row r="849" spans="1:26" ht="12.75" customHeight="1">
      <c r="A849" s="73"/>
      <c r="B849" s="73"/>
      <c r="C849" s="80"/>
      <c r="D849" s="79"/>
      <c r="E849" s="79"/>
      <c r="F849" s="81"/>
      <c r="G849" s="81"/>
      <c r="H849" s="79"/>
      <c r="I849" s="79"/>
      <c r="J849" s="79"/>
      <c r="K849" s="79"/>
      <c r="L849" s="79"/>
      <c r="M849" s="79"/>
      <c r="N849" s="79"/>
      <c r="O849" s="79"/>
      <c r="P849" s="79"/>
      <c r="Q849" s="79"/>
      <c r="R849" s="79"/>
      <c r="S849" s="79"/>
      <c r="T849" s="79"/>
      <c r="U849" s="79"/>
      <c r="V849" s="79"/>
      <c r="W849" s="79"/>
      <c r="X849" s="79"/>
      <c r="Y849" s="79"/>
      <c r="Z849" s="79"/>
    </row>
    <row r="850" spans="1:26" ht="12.75" customHeight="1">
      <c r="A850" s="73"/>
      <c r="B850" s="73"/>
      <c r="C850" s="80"/>
      <c r="D850" s="79"/>
      <c r="E850" s="79"/>
      <c r="F850" s="81"/>
      <c r="G850" s="81"/>
      <c r="H850" s="79"/>
      <c r="I850" s="79"/>
      <c r="J850" s="79"/>
      <c r="K850" s="79"/>
      <c r="L850" s="79"/>
      <c r="M850" s="79"/>
      <c r="N850" s="79"/>
      <c r="O850" s="79"/>
      <c r="P850" s="79"/>
      <c r="Q850" s="79"/>
      <c r="R850" s="79"/>
      <c r="S850" s="79"/>
      <c r="T850" s="79"/>
      <c r="U850" s="79"/>
      <c r="V850" s="79"/>
      <c r="W850" s="79"/>
      <c r="X850" s="79"/>
      <c r="Y850" s="79"/>
      <c r="Z850" s="79"/>
    </row>
    <row r="851" spans="1:26" ht="12.75" customHeight="1">
      <c r="A851" s="73"/>
      <c r="B851" s="73"/>
      <c r="C851" s="80"/>
      <c r="D851" s="79"/>
      <c r="E851" s="79"/>
      <c r="F851" s="81"/>
      <c r="G851" s="81"/>
      <c r="H851" s="79"/>
      <c r="I851" s="79"/>
      <c r="J851" s="79"/>
      <c r="K851" s="79"/>
      <c r="L851" s="79"/>
      <c r="M851" s="79"/>
      <c r="N851" s="79"/>
      <c r="O851" s="79"/>
      <c r="P851" s="79"/>
      <c r="Q851" s="79"/>
      <c r="R851" s="79"/>
      <c r="S851" s="79"/>
      <c r="T851" s="79"/>
      <c r="U851" s="79"/>
      <c r="V851" s="79"/>
      <c r="W851" s="79"/>
      <c r="X851" s="79"/>
      <c r="Y851" s="79"/>
      <c r="Z851" s="79"/>
    </row>
    <row r="852" spans="1:26" ht="12.75" customHeight="1">
      <c r="A852" s="73"/>
      <c r="B852" s="73"/>
      <c r="C852" s="80"/>
      <c r="D852" s="79"/>
      <c r="E852" s="79"/>
      <c r="F852" s="81"/>
      <c r="G852" s="81"/>
      <c r="H852" s="79"/>
      <c r="I852" s="79"/>
      <c r="J852" s="79"/>
      <c r="K852" s="79"/>
      <c r="L852" s="79"/>
      <c r="M852" s="79"/>
      <c r="N852" s="79"/>
      <c r="O852" s="79"/>
      <c r="P852" s="79"/>
      <c r="Q852" s="79"/>
      <c r="R852" s="79"/>
      <c r="S852" s="79"/>
      <c r="T852" s="79"/>
      <c r="U852" s="79"/>
      <c r="V852" s="79"/>
      <c r="W852" s="79"/>
      <c r="X852" s="79"/>
      <c r="Y852" s="79"/>
      <c r="Z852" s="79"/>
    </row>
    <row r="853" spans="1:26" ht="12.75" customHeight="1">
      <c r="A853" s="73"/>
      <c r="B853" s="73"/>
      <c r="C853" s="80"/>
      <c r="D853" s="79"/>
      <c r="E853" s="79"/>
      <c r="F853" s="81"/>
      <c r="G853" s="81"/>
      <c r="H853" s="79"/>
      <c r="I853" s="79"/>
      <c r="J853" s="79"/>
      <c r="K853" s="79"/>
      <c r="L853" s="79"/>
      <c r="M853" s="79"/>
      <c r="N853" s="79"/>
      <c r="O853" s="79"/>
      <c r="P853" s="79"/>
      <c r="Q853" s="79"/>
      <c r="R853" s="79"/>
      <c r="S853" s="79"/>
      <c r="T853" s="79"/>
      <c r="U853" s="79"/>
      <c r="V853" s="79"/>
      <c r="W853" s="79"/>
      <c r="X853" s="79"/>
      <c r="Y853" s="79"/>
      <c r="Z853" s="79"/>
    </row>
    <row r="854" spans="1:26" ht="12.75" customHeight="1">
      <c r="A854" s="73"/>
      <c r="B854" s="73"/>
      <c r="C854" s="80"/>
      <c r="D854" s="79"/>
      <c r="E854" s="79"/>
      <c r="F854" s="81"/>
      <c r="G854" s="81"/>
      <c r="H854" s="79"/>
      <c r="I854" s="79"/>
      <c r="J854" s="79"/>
      <c r="K854" s="79"/>
      <c r="L854" s="79"/>
      <c r="M854" s="79"/>
      <c r="N854" s="79"/>
      <c r="O854" s="79"/>
      <c r="P854" s="79"/>
      <c r="Q854" s="79"/>
      <c r="R854" s="79"/>
      <c r="S854" s="79"/>
      <c r="T854" s="79"/>
      <c r="U854" s="79"/>
      <c r="V854" s="79"/>
      <c r="W854" s="79"/>
      <c r="X854" s="79"/>
      <c r="Y854" s="79"/>
      <c r="Z854" s="79"/>
    </row>
    <row r="855" spans="1:26" ht="12.75" customHeight="1">
      <c r="A855" s="73"/>
      <c r="B855" s="73"/>
      <c r="C855" s="80"/>
      <c r="D855" s="79"/>
      <c r="E855" s="79"/>
      <c r="F855" s="81"/>
      <c r="G855" s="81"/>
      <c r="H855" s="79"/>
      <c r="I855" s="79"/>
      <c r="J855" s="79"/>
      <c r="K855" s="79"/>
      <c r="L855" s="79"/>
      <c r="M855" s="79"/>
      <c r="N855" s="79"/>
      <c r="O855" s="79"/>
      <c r="P855" s="79"/>
      <c r="Q855" s="79"/>
      <c r="R855" s="79"/>
      <c r="S855" s="79"/>
      <c r="T855" s="79"/>
      <c r="U855" s="79"/>
      <c r="V855" s="79"/>
      <c r="W855" s="79"/>
      <c r="X855" s="79"/>
      <c r="Y855" s="79"/>
      <c r="Z855" s="79"/>
    </row>
    <row r="856" spans="1:26" ht="12.75" customHeight="1">
      <c r="A856" s="73"/>
      <c r="B856" s="73"/>
      <c r="C856" s="80"/>
      <c r="D856" s="79"/>
      <c r="E856" s="79"/>
      <c r="F856" s="81"/>
      <c r="G856" s="81"/>
      <c r="H856" s="79"/>
      <c r="I856" s="79"/>
      <c r="J856" s="79"/>
      <c r="K856" s="79"/>
      <c r="L856" s="79"/>
      <c r="M856" s="79"/>
      <c r="N856" s="79"/>
      <c r="O856" s="79"/>
      <c r="P856" s="79"/>
      <c r="Q856" s="79"/>
      <c r="R856" s="79"/>
      <c r="S856" s="79"/>
      <c r="T856" s="79"/>
      <c r="U856" s="79"/>
      <c r="V856" s="79"/>
      <c r="W856" s="79"/>
      <c r="X856" s="79"/>
      <c r="Y856" s="79"/>
      <c r="Z856" s="79"/>
    </row>
    <row r="857" spans="1:26" ht="12.75" customHeight="1">
      <c r="A857" s="73"/>
      <c r="B857" s="73"/>
      <c r="C857" s="80"/>
      <c r="D857" s="79"/>
      <c r="E857" s="79"/>
      <c r="F857" s="81"/>
      <c r="G857" s="81"/>
      <c r="H857" s="79"/>
      <c r="I857" s="79"/>
      <c r="J857" s="79"/>
      <c r="K857" s="79"/>
      <c r="L857" s="79"/>
      <c r="M857" s="79"/>
      <c r="N857" s="79"/>
      <c r="O857" s="79"/>
      <c r="P857" s="79"/>
      <c r="Q857" s="79"/>
      <c r="R857" s="79"/>
      <c r="S857" s="79"/>
      <c r="T857" s="79"/>
      <c r="U857" s="79"/>
      <c r="V857" s="79"/>
      <c r="W857" s="79"/>
      <c r="X857" s="79"/>
      <c r="Y857" s="79"/>
      <c r="Z857" s="79"/>
    </row>
    <row r="858" spans="1:26" ht="12.75" customHeight="1">
      <c r="A858" s="73"/>
      <c r="B858" s="73"/>
      <c r="C858" s="80"/>
      <c r="D858" s="79"/>
      <c r="E858" s="79"/>
      <c r="F858" s="81"/>
      <c r="G858" s="81"/>
      <c r="H858" s="79"/>
      <c r="I858" s="79"/>
      <c r="J858" s="79"/>
      <c r="K858" s="79"/>
      <c r="L858" s="79"/>
      <c r="M858" s="79"/>
      <c r="N858" s="79"/>
      <c r="O858" s="79"/>
      <c r="P858" s="79"/>
      <c r="Q858" s="79"/>
      <c r="R858" s="79"/>
      <c r="S858" s="79"/>
      <c r="T858" s="79"/>
      <c r="U858" s="79"/>
      <c r="V858" s="79"/>
      <c r="W858" s="79"/>
      <c r="X858" s="79"/>
      <c r="Y858" s="79"/>
      <c r="Z858" s="79"/>
    </row>
    <row r="859" spans="1:26" ht="12.75" customHeight="1">
      <c r="A859" s="73"/>
      <c r="B859" s="73"/>
      <c r="C859" s="80"/>
      <c r="D859" s="79"/>
      <c r="E859" s="79"/>
      <c r="F859" s="81"/>
      <c r="G859" s="81"/>
      <c r="H859" s="79"/>
      <c r="I859" s="79"/>
      <c r="J859" s="79"/>
      <c r="K859" s="79"/>
      <c r="L859" s="79"/>
      <c r="M859" s="79"/>
      <c r="N859" s="79"/>
      <c r="O859" s="79"/>
      <c r="P859" s="79"/>
      <c r="Q859" s="79"/>
      <c r="R859" s="79"/>
      <c r="S859" s="79"/>
      <c r="T859" s="79"/>
      <c r="U859" s="79"/>
      <c r="V859" s="79"/>
      <c r="W859" s="79"/>
      <c r="X859" s="79"/>
      <c r="Y859" s="79"/>
      <c r="Z859" s="79"/>
    </row>
    <row r="860" spans="1:26" ht="12.75" customHeight="1">
      <c r="A860" s="73"/>
      <c r="B860" s="73"/>
      <c r="C860" s="80"/>
      <c r="D860" s="79"/>
      <c r="E860" s="79"/>
      <c r="F860" s="81"/>
      <c r="G860" s="81"/>
      <c r="H860" s="79"/>
      <c r="I860" s="79"/>
      <c r="J860" s="79"/>
      <c r="K860" s="79"/>
      <c r="L860" s="79"/>
      <c r="M860" s="79"/>
      <c r="N860" s="79"/>
      <c r="O860" s="79"/>
      <c r="P860" s="79"/>
      <c r="Q860" s="79"/>
      <c r="R860" s="79"/>
      <c r="S860" s="79"/>
      <c r="T860" s="79"/>
      <c r="U860" s="79"/>
      <c r="V860" s="79"/>
      <c r="W860" s="79"/>
      <c r="X860" s="79"/>
      <c r="Y860" s="79"/>
      <c r="Z860" s="79"/>
    </row>
    <row r="861" spans="1:26" ht="12.75" customHeight="1">
      <c r="A861" s="73"/>
      <c r="B861" s="73"/>
      <c r="C861" s="80"/>
      <c r="D861" s="79"/>
      <c r="E861" s="79"/>
      <c r="F861" s="81"/>
      <c r="G861" s="81"/>
      <c r="H861" s="79"/>
      <c r="I861" s="79"/>
      <c r="J861" s="79"/>
      <c r="K861" s="79"/>
      <c r="L861" s="79"/>
      <c r="M861" s="79"/>
      <c r="N861" s="79"/>
      <c r="O861" s="79"/>
      <c r="P861" s="79"/>
      <c r="Q861" s="79"/>
      <c r="R861" s="79"/>
      <c r="S861" s="79"/>
      <c r="T861" s="79"/>
      <c r="U861" s="79"/>
      <c r="V861" s="79"/>
      <c r="W861" s="79"/>
      <c r="X861" s="79"/>
      <c r="Y861" s="79"/>
      <c r="Z861" s="79"/>
    </row>
    <row r="862" spans="1:26" ht="12.75" customHeight="1">
      <c r="A862" s="73"/>
      <c r="B862" s="73"/>
      <c r="C862" s="80"/>
      <c r="D862" s="79"/>
      <c r="E862" s="79"/>
      <c r="F862" s="81"/>
      <c r="G862" s="81"/>
      <c r="H862" s="79"/>
      <c r="I862" s="79"/>
      <c r="J862" s="79"/>
      <c r="K862" s="79"/>
      <c r="L862" s="79"/>
      <c r="M862" s="79"/>
      <c r="N862" s="79"/>
      <c r="O862" s="79"/>
      <c r="P862" s="79"/>
      <c r="Q862" s="79"/>
      <c r="R862" s="79"/>
      <c r="S862" s="79"/>
      <c r="T862" s="79"/>
      <c r="U862" s="79"/>
      <c r="V862" s="79"/>
      <c r="W862" s="79"/>
      <c r="X862" s="79"/>
      <c r="Y862" s="79"/>
      <c r="Z862" s="79"/>
    </row>
    <row r="863" spans="1:26" ht="12.75" customHeight="1">
      <c r="A863" s="73"/>
      <c r="B863" s="73"/>
      <c r="C863" s="80"/>
      <c r="D863" s="79"/>
      <c r="E863" s="79"/>
      <c r="F863" s="81"/>
      <c r="G863" s="81"/>
      <c r="H863" s="79"/>
      <c r="I863" s="79"/>
      <c r="J863" s="79"/>
      <c r="K863" s="79"/>
      <c r="L863" s="79"/>
      <c r="M863" s="79"/>
      <c r="N863" s="79"/>
      <c r="O863" s="79"/>
      <c r="P863" s="79"/>
      <c r="Q863" s="79"/>
      <c r="R863" s="79"/>
      <c r="S863" s="79"/>
      <c r="T863" s="79"/>
      <c r="U863" s="79"/>
      <c r="V863" s="79"/>
      <c r="W863" s="79"/>
      <c r="X863" s="79"/>
      <c r="Y863" s="79"/>
      <c r="Z863" s="79"/>
    </row>
    <row r="864" spans="1:26" ht="12.75" customHeight="1">
      <c r="A864" s="73"/>
      <c r="B864" s="73"/>
      <c r="C864" s="80"/>
      <c r="D864" s="79"/>
      <c r="E864" s="79"/>
      <c r="F864" s="81"/>
      <c r="G864" s="81"/>
      <c r="H864" s="79"/>
      <c r="I864" s="79"/>
      <c r="J864" s="79"/>
      <c r="K864" s="79"/>
      <c r="L864" s="79"/>
      <c r="M864" s="79"/>
      <c r="N864" s="79"/>
      <c r="O864" s="79"/>
      <c r="P864" s="79"/>
      <c r="Q864" s="79"/>
      <c r="R864" s="79"/>
      <c r="S864" s="79"/>
      <c r="T864" s="79"/>
      <c r="U864" s="79"/>
      <c r="V864" s="79"/>
      <c r="W864" s="79"/>
      <c r="X864" s="79"/>
      <c r="Y864" s="79"/>
      <c r="Z864" s="79"/>
    </row>
    <row r="865" spans="1:26" ht="12.75" customHeight="1">
      <c r="A865" s="73"/>
      <c r="B865" s="73"/>
      <c r="C865" s="80"/>
      <c r="D865" s="79"/>
      <c r="E865" s="79"/>
      <c r="F865" s="81"/>
      <c r="G865" s="81"/>
      <c r="H865" s="79"/>
      <c r="I865" s="79"/>
      <c r="J865" s="79"/>
      <c r="K865" s="79"/>
      <c r="L865" s="79"/>
      <c r="M865" s="79"/>
      <c r="N865" s="79"/>
      <c r="O865" s="79"/>
      <c r="P865" s="79"/>
      <c r="Q865" s="79"/>
      <c r="R865" s="79"/>
      <c r="S865" s="79"/>
      <c r="T865" s="79"/>
      <c r="U865" s="79"/>
      <c r="V865" s="79"/>
      <c r="W865" s="79"/>
      <c r="X865" s="79"/>
      <c r="Y865" s="79"/>
      <c r="Z865" s="79"/>
    </row>
    <row r="866" spans="1:26" ht="12.75" customHeight="1">
      <c r="A866" s="73"/>
      <c r="B866" s="73"/>
      <c r="C866" s="80"/>
      <c r="D866" s="79"/>
      <c r="E866" s="79"/>
      <c r="F866" s="81"/>
      <c r="G866" s="81"/>
      <c r="H866" s="79"/>
      <c r="I866" s="79"/>
      <c r="J866" s="79"/>
      <c r="K866" s="79"/>
      <c r="L866" s="79"/>
      <c r="M866" s="79"/>
      <c r="N866" s="79"/>
      <c r="O866" s="79"/>
      <c r="P866" s="79"/>
      <c r="Q866" s="79"/>
      <c r="R866" s="79"/>
      <c r="S866" s="79"/>
      <c r="T866" s="79"/>
      <c r="U866" s="79"/>
      <c r="V866" s="79"/>
      <c r="W866" s="79"/>
      <c r="X866" s="79"/>
      <c r="Y866" s="79"/>
      <c r="Z866" s="79"/>
    </row>
    <row r="867" spans="1:26" ht="12.75" customHeight="1">
      <c r="A867" s="73"/>
      <c r="B867" s="73"/>
      <c r="C867" s="80"/>
      <c r="D867" s="79"/>
      <c r="E867" s="79"/>
      <c r="F867" s="81"/>
      <c r="G867" s="81"/>
      <c r="H867" s="79"/>
      <c r="I867" s="79"/>
      <c r="J867" s="79"/>
      <c r="K867" s="79"/>
      <c r="L867" s="79"/>
      <c r="M867" s="79"/>
      <c r="N867" s="79"/>
      <c r="O867" s="79"/>
      <c r="P867" s="79"/>
      <c r="Q867" s="79"/>
      <c r="R867" s="79"/>
      <c r="S867" s="79"/>
      <c r="T867" s="79"/>
      <c r="U867" s="79"/>
      <c r="V867" s="79"/>
      <c r="W867" s="79"/>
      <c r="X867" s="79"/>
      <c r="Y867" s="79"/>
      <c r="Z867" s="79"/>
    </row>
    <row r="868" spans="1:26" ht="12.75" customHeight="1">
      <c r="A868" s="73"/>
      <c r="B868" s="73"/>
      <c r="C868" s="80"/>
      <c r="D868" s="79"/>
      <c r="E868" s="79"/>
      <c r="F868" s="81"/>
      <c r="G868" s="81"/>
      <c r="H868" s="79"/>
      <c r="I868" s="79"/>
      <c r="J868" s="79"/>
      <c r="K868" s="79"/>
      <c r="L868" s="79"/>
      <c r="M868" s="79"/>
      <c r="N868" s="79"/>
      <c r="O868" s="79"/>
      <c r="P868" s="79"/>
      <c r="Q868" s="79"/>
      <c r="R868" s="79"/>
      <c r="S868" s="79"/>
      <c r="T868" s="79"/>
      <c r="U868" s="79"/>
      <c r="V868" s="79"/>
      <c r="W868" s="79"/>
      <c r="X868" s="79"/>
      <c r="Y868" s="79"/>
      <c r="Z868" s="79"/>
    </row>
    <row r="869" spans="1:26" ht="12.75" customHeight="1">
      <c r="A869" s="73"/>
      <c r="B869" s="73"/>
      <c r="C869" s="80"/>
      <c r="D869" s="79"/>
      <c r="E869" s="79"/>
      <c r="F869" s="81"/>
      <c r="G869" s="81"/>
      <c r="H869" s="79"/>
      <c r="I869" s="79"/>
      <c r="J869" s="79"/>
      <c r="K869" s="79"/>
      <c r="L869" s="79"/>
      <c r="M869" s="79"/>
      <c r="N869" s="79"/>
      <c r="O869" s="79"/>
      <c r="P869" s="79"/>
      <c r="Q869" s="79"/>
      <c r="R869" s="79"/>
      <c r="S869" s="79"/>
      <c r="T869" s="79"/>
      <c r="U869" s="79"/>
      <c r="V869" s="79"/>
      <c r="W869" s="79"/>
      <c r="X869" s="79"/>
      <c r="Y869" s="79"/>
      <c r="Z869" s="79"/>
    </row>
    <row r="870" spans="1:26" ht="12.75" customHeight="1">
      <c r="A870" s="73"/>
      <c r="B870" s="73"/>
      <c r="C870" s="80"/>
      <c r="D870" s="79"/>
      <c r="E870" s="79"/>
      <c r="F870" s="81"/>
      <c r="G870" s="81"/>
      <c r="H870" s="79"/>
      <c r="I870" s="79"/>
      <c r="J870" s="79"/>
      <c r="K870" s="79"/>
      <c r="L870" s="79"/>
      <c r="M870" s="79"/>
      <c r="N870" s="79"/>
      <c r="O870" s="79"/>
      <c r="P870" s="79"/>
      <c r="Q870" s="79"/>
      <c r="R870" s="79"/>
      <c r="S870" s="79"/>
      <c r="T870" s="79"/>
      <c r="U870" s="79"/>
      <c r="V870" s="79"/>
      <c r="W870" s="79"/>
      <c r="X870" s="79"/>
      <c r="Y870" s="79"/>
      <c r="Z870" s="79"/>
    </row>
    <row r="871" spans="1:26" ht="12.75" customHeight="1">
      <c r="A871" s="73"/>
      <c r="B871" s="73"/>
      <c r="C871" s="80"/>
      <c r="D871" s="79"/>
      <c r="E871" s="79"/>
      <c r="F871" s="81"/>
      <c r="G871" s="81"/>
      <c r="H871" s="79"/>
      <c r="I871" s="79"/>
      <c r="J871" s="79"/>
      <c r="K871" s="79"/>
      <c r="L871" s="79"/>
      <c r="M871" s="79"/>
      <c r="N871" s="79"/>
      <c r="O871" s="79"/>
      <c r="P871" s="79"/>
      <c r="Q871" s="79"/>
      <c r="R871" s="79"/>
      <c r="S871" s="79"/>
      <c r="T871" s="79"/>
      <c r="U871" s="79"/>
      <c r="V871" s="79"/>
      <c r="W871" s="79"/>
      <c r="X871" s="79"/>
      <c r="Y871" s="79"/>
      <c r="Z871" s="79"/>
    </row>
    <row r="872" spans="1:26" ht="12.75" customHeight="1">
      <c r="A872" s="73"/>
      <c r="B872" s="73"/>
      <c r="C872" s="80"/>
      <c r="D872" s="79"/>
      <c r="E872" s="79"/>
      <c r="F872" s="81"/>
      <c r="G872" s="81"/>
      <c r="H872" s="79"/>
      <c r="I872" s="79"/>
      <c r="J872" s="79"/>
      <c r="K872" s="79"/>
      <c r="L872" s="79"/>
      <c r="M872" s="79"/>
      <c r="N872" s="79"/>
      <c r="O872" s="79"/>
      <c r="P872" s="79"/>
      <c r="Q872" s="79"/>
      <c r="R872" s="79"/>
      <c r="S872" s="79"/>
      <c r="T872" s="79"/>
      <c r="U872" s="79"/>
      <c r="V872" s="79"/>
      <c r="W872" s="79"/>
      <c r="X872" s="79"/>
      <c r="Y872" s="79"/>
      <c r="Z872" s="79"/>
    </row>
    <row r="873" spans="1:26" ht="12.75" customHeight="1">
      <c r="A873" s="73"/>
      <c r="B873" s="73"/>
      <c r="C873" s="80"/>
      <c r="D873" s="79"/>
      <c r="E873" s="79"/>
      <c r="F873" s="81"/>
      <c r="G873" s="81"/>
      <c r="H873" s="79"/>
      <c r="I873" s="79"/>
      <c r="J873" s="79"/>
      <c r="K873" s="79"/>
      <c r="L873" s="79"/>
      <c r="M873" s="79"/>
      <c r="N873" s="79"/>
      <c r="O873" s="79"/>
      <c r="P873" s="79"/>
      <c r="Q873" s="79"/>
      <c r="R873" s="79"/>
      <c r="S873" s="79"/>
      <c r="T873" s="79"/>
      <c r="U873" s="79"/>
      <c r="V873" s="79"/>
      <c r="W873" s="79"/>
      <c r="X873" s="79"/>
      <c r="Y873" s="79"/>
      <c r="Z873" s="79"/>
    </row>
    <row r="874" spans="1:26" ht="12.75" customHeight="1">
      <c r="A874" s="73"/>
      <c r="B874" s="73"/>
      <c r="C874" s="80"/>
      <c r="D874" s="79"/>
      <c r="E874" s="79"/>
      <c r="F874" s="81"/>
      <c r="G874" s="81"/>
      <c r="H874" s="79"/>
      <c r="I874" s="79"/>
      <c r="J874" s="79"/>
      <c r="K874" s="79"/>
      <c r="L874" s="79"/>
      <c r="M874" s="79"/>
      <c r="N874" s="79"/>
      <c r="O874" s="79"/>
      <c r="P874" s="79"/>
      <c r="Q874" s="79"/>
      <c r="R874" s="79"/>
      <c r="S874" s="79"/>
      <c r="T874" s="79"/>
      <c r="U874" s="79"/>
      <c r="V874" s="79"/>
      <c r="W874" s="79"/>
      <c r="X874" s="79"/>
      <c r="Y874" s="79"/>
      <c r="Z874" s="79"/>
    </row>
    <row r="875" spans="1:26" ht="12.75" customHeight="1">
      <c r="A875" s="73"/>
      <c r="B875" s="73"/>
      <c r="C875" s="80"/>
      <c r="D875" s="79"/>
      <c r="E875" s="79"/>
      <c r="F875" s="81"/>
      <c r="G875" s="81"/>
      <c r="H875" s="79"/>
      <c r="I875" s="79"/>
      <c r="J875" s="79"/>
      <c r="K875" s="79"/>
      <c r="L875" s="79"/>
      <c r="M875" s="79"/>
      <c r="N875" s="79"/>
      <c r="O875" s="79"/>
      <c r="P875" s="79"/>
      <c r="Q875" s="79"/>
      <c r="R875" s="79"/>
      <c r="S875" s="79"/>
      <c r="T875" s="79"/>
      <c r="U875" s="79"/>
      <c r="V875" s="79"/>
      <c r="W875" s="79"/>
      <c r="X875" s="79"/>
      <c r="Y875" s="79"/>
      <c r="Z875" s="79"/>
    </row>
    <row r="876" spans="1:26" ht="12.75" customHeight="1">
      <c r="A876" s="73"/>
      <c r="B876" s="73"/>
      <c r="C876" s="80"/>
      <c r="D876" s="79"/>
      <c r="E876" s="79"/>
      <c r="F876" s="81"/>
      <c r="G876" s="81"/>
      <c r="H876" s="79"/>
      <c r="I876" s="79"/>
      <c r="J876" s="79"/>
      <c r="K876" s="79"/>
      <c r="L876" s="79"/>
      <c r="M876" s="79"/>
      <c r="N876" s="79"/>
      <c r="O876" s="79"/>
      <c r="P876" s="79"/>
      <c r="Q876" s="79"/>
      <c r="R876" s="79"/>
      <c r="S876" s="79"/>
      <c r="T876" s="79"/>
      <c r="U876" s="79"/>
      <c r="V876" s="79"/>
      <c r="W876" s="79"/>
      <c r="X876" s="79"/>
      <c r="Y876" s="79"/>
      <c r="Z876" s="79"/>
    </row>
    <row r="877" spans="1:26" ht="12.75" customHeight="1">
      <c r="A877" s="73"/>
      <c r="B877" s="73"/>
      <c r="C877" s="80"/>
      <c r="D877" s="79"/>
      <c r="E877" s="79"/>
      <c r="F877" s="81"/>
      <c r="G877" s="81"/>
      <c r="H877" s="79"/>
      <c r="I877" s="79"/>
      <c r="J877" s="79"/>
      <c r="K877" s="79"/>
      <c r="L877" s="79"/>
      <c r="M877" s="79"/>
      <c r="N877" s="79"/>
      <c r="O877" s="79"/>
      <c r="P877" s="79"/>
      <c r="Q877" s="79"/>
      <c r="R877" s="79"/>
      <c r="S877" s="79"/>
      <c r="T877" s="79"/>
      <c r="U877" s="79"/>
      <c r="V877" s="79"/>
      <c r="W877" s="79"/>
      <c r="X877" s="79"/>
      <c r="Y877" s="79"/>
      <c r="Z877" s="79"/>
    </row>
    <row r="878" spans="1:26" ht="12.75" customHeight="1">
      <c r="A878" s="73"/>
      <c r="B878" s="73"/>
      <c r="C878" s="80"/>
      <c r="D878" s="79"/>
      <c r="E878" s="79"/>
      <c r="F878" s="81"/>
      <c r="G878" s="81"/>
      <c r="H878" s="79"/>
      <c r="I878" s="79"/>
      <c r="J878" s="79"/>
      <c r="K878" s="79"/>
      <c r="L878" s="79"/>
      <c r="M878" s="79"/>
      <c r="N878" s="79"/>
      <c r="O878" s="79"/>
      <c r="P878" s="79"/>
      <c r="Q878" s="79"/>
      <c r="R878" s="79"/>
      <c r="S878" s="79"/>
      <c r="T878" s="79"/>
      <c r="U878" s="79"/>
      <c r="V878" s="79"/>
      <c r="W878" s="79"/>
      <c r="X878" s="79"/>
      <c r="Y878" s="79"/>
      <c r="Z878" s="79"/>
    </row>
    <row r="879" spans="1:26" ht="12.75" customHeight="1">
      <c r="A879" s="73"/>
      <c r="B879" s="73"/>
      <c r="C879" s="80"/>
      <c r="D879" s="79"/>
      <c r="E879" s="79"/>
      <c r="F879" s="81"/>
      <c r="G879" s="81"/>
      <c r="H879" s="79"/>
      <c r="I879" s="79"/>
      <c r="J879" s="79"/>
      <c r="K879" s="79"/>
      <c r="L879" s="79"/>
      <c r="M879" s="79"/>
      <c r="N879" s="79"/>
      <c r="O879" s="79"/>
      <c r="P879" s="79"/>
      <c r="Q879" s="79"/>
      <c r="R879" s="79"/>
      <c r="S879" s="79"/>
      <c r="T879" s="79"/>
      <c r="U879" s="79"/>
      <c r="V879" s="79"/>
      <c r="W879" s="79"/>
      <c r="X879" s="79"/>
      <c r="Y879" s="79"/>
      <c r="Z879" s="79"/>
    </row>
    <row r="880" spans="1:26" ht="12.75" customHeight="1">
      <c r="A880" s="73"/>
      <c r="B880" s="73"/>
      <c r="C880" s="80"/>
      <c r="D880" s="79"/>
      <c r="E880" s="79"/>
      <c r="F880" s="81"/>
      <c r="G880" s="81"/>
      <c r="H880" s="79"/>
      <c r="I880" s="79"/>
      <c r="J880" s="79"/>
      <c r="K880" s="79"/>
      <c r="L880" s="79"/>
      <c r="M880" s="79"/>
      <c r="N880" s="79"/>
      <c r="O880" s="79"/>
      <c r="P880" s="79"/>
      <c r="Q880" s="79"/>
      <c r="R880" s="79"/>
      <c r="S880" s="79"/>
      <c r="T880" s="79"/>
      <c r="U880" s="79"/>
      <c r="V880" s="79"/>
      <c r="W880" s="79"/>
      <c r="X880" s="79"/>
      <c r="Y880" s="79"/>
      <c r="Z880" s="79"/>
    </row>
    <row r="881" spans="1:26" ht="12.75" customHeight="1">
      <c r="A881" s="73"/>
      <c r="B881" s="73"/>
      <c r="C881" s="80"/>
      <c r="D881" s="79"/>
      <c r="E881" s="79"/>
      <c r="F881" s="81"/>
      <c r="G881" s="81"/>
      <c r="H881" s="79"/>
      <c r="I881" s="79"/>
      <c r="J881" s="79"/>
      <c r="K881" s="79"/>
      <c r="L881" s="79"/>
      <c r="M881" s="79"/>
      <c r="N881" s="79"/>
      <c r="O881" s="79"/>
      <c r="P881" s="79"/>
      <c r="Q881" s="79"/>
      <c r="R881" s="79"/>
      <c r="S881" s="79"/>
      <c r="T881" s="79"/>
      <c r="U881" s="79"/>
      <c r="V881" s="79"/>
      <c r="W881" s="79"/>
      <c r="X881" s="79"/>
      <c r="Y881" s="79"/>
      <c r="Z881" s="79"/>
    </row>
    <row r="882" spans="1:26" ht="12.75" customHeight="1">
      <c r="A882" s="73"/>
      <c r="B882" s="73"/>
      <c r="C882" s="80"/>
      <c r="D882" s="79"/>
      <c r="E882" s="79"/>
      <c r="F882" s="81"/>
      <c r="G882" s="81"/>
      <c r="H882" s="79"/>
      <c r="I882" s="79"/>
      <c r="J882" s="79"/>
      <c r="K882" s="79"/>
      <c r="L882" s="79"/>
      <c r="M882" s="79"/>
      <c r="N882" s="79"/>
      <c r="O882" s="79"/>
      <c r="P882" s="79"/>
      <c r="Q882" s="79"/>
      <c r="R882" s="79"/>
      <c r="S882" s="79"/>
      <c r="T882" s="79"/>
      <c r="U882" s="79"/>
      <c r="V882" s="79"/>
      <c r="W882" s="79"/>
      <c r="X882" s="79"/>
      <c r="Y882" s="79"/>
      <c r="Z882" s="79"/>
    </row>
    <row r="883" spans="1:26" ht="12.75" customHeight="1">
      <c r="A883" s="73"/>
      <c r="B883" s="73"/>
      <c r="C883" s="80"/>
      <c r="D883" s="79"/>
      <c r="E883" s="79"/>
      <c r="F883" s="81"/>
      <c r="G883" s="81"/>
      <c r="H883" s="79"/>
      <c r="I883" s="79"/>
      <c r="J883" s="79"/>
      <c r="K883" s="79"/>
      <c r="L883" s="79"/>
      <c r="M883" s="79"/>
      <c r="N883" s="79"/>
      <c r="O883" s="79"/>
      <c r="P883" s="79"/>
      <c r="Q883" s="79"/>
      <c r="R883" s="79"/>
      <c r="S883" s="79"/>
      <c r="T883" s="79"/>
      <c r="U883" s="79"/>
      <c r="V883" s="79"/>
      <c r="W883" s="79"/>
      <c r="X883" s="79"/>
      <c r="Y883" s="79"/>
      <c r="Z883" s="79"/>
    </row>
    <row r="884" spans="1:26" ht="12.75" customHeight="1">
      <c r="A884" s="73"/>
      <c r="B884" s="73"/>
      <c r="C884" s="80"/>
      <c r="D884" s="79"/>
      <c r="E884" s="79"/>
      <c r="F884" s="81"/>
      <c r="G884" s="81"/>
      <c r="H884" s="79"/>
      <c r="I884" s="79"/>
      <c r="J884" s="79"/>
      <c r="K884" s="79"/>
      <c r="L884" s="79"/>
      <c r="M884" s="79"/>
      <c r="N884" s="79"/>
      <c r="O884" s="79"/>
      <c r="P884" s="79"/>
      <c r="Q884" s="79"/>
      <c r="R884" s="79"/>
      <c r="S884" s="79"/>
      <c r="T884" s="79"/>
      <c r="U884" s="79"/>
      <c r="V884" s="79"/>
      <c r="W884" s="79"/>
      <c r="X884" s="79"/>
      <c r="Y884" s="79"/>
      <c r="Z884" s="79"/>
    </row>
    <row r="885" spans="1:26" ht="12.75" customHeight="1">
      <c r="A885" s="73"/>
      <c r="B885" s="73"/>
      <c r="C885" s="80"/>
      <c r="D885" s="79"/>
      <c r="E885" s="79"/>
      <c r="F885" s="81"/>
      <c r="G885" s="81"/>
      <c r="H885" s="79"/>
      <c r="I885" s="79"/>
      <c r="J885" s="79"/>
      <c r="K885" s="79"/>
      <c r="L885" s="79"/>
      <c r="M885" s="79"/>
      <c r="N885" s="79"/>
      <c r="O885" s="79"/>
      <c r="P885" s="79"/>
      <c r="Q885" s="79"/>
      <c r="R885" s="79"/>
      <c r="S885" s="79"/>
      <c r="T885" s="79"/>
      <c r="U885" s="79"/>
      <c r="V885" s="79"/>
      <c r="W885" s="79"/>
      <c r="X885" s="79"/>
      <c r="Y885" s="79"/>
      <c r="Z885" s="79"/>
    </row>
    <row r="886" spans="1:26" ht="12.75" customHeight="1">
      <c r="A886" s="73"/>
      <c r="B886" s="73"/>
      <c r="C886" s="80"/>
      <c r="D886" s="79"/>
      <c r="E886" s="79"/>
      <c r="F886" s="81"/>
      <c r="G886" s="81"/>
      <c r="H886" s="79"/>
      <c r="I886" s="79"/>
      <c r="J886" s="79"/>
      <c r="K886" s="79"/>
      <c r="L886" s="79"/>
      <c r="M886" s="79"/>
      <c r="N886" s="79"/>
      <c r="O886" s="79"/>
      <c r="P886" s="79"/>
      <c r="Q886" s="79"/>
      <c r="R886" s="79"/>
      <c r="S886" s="79"/>
      <c r="T886" s="79"/>
      <c r="U886" s="79"/>
      <c r="V886" s="79"/>
      <c r="W886" s="79"/>
      <c r="X886" s="79"/>
      <c r="Y886" s="79"/>
      <c r="Z886" s="79"/>
    </row>
    <row r="887" spans="1:26" ht="12.75" customHeight="1">
      <c r="A887" s="73"/>
      <c r="B887" s="73"/>
      <c r="C887" s="80"/>
      <c r="D887" s="79"/>
      <c r="E887" s="79"/>
      <c r="F887" s="81"/>
      <c r="G887" s="81"/>
      <c r="H887" s="79"/>
      <c r="I887" s="79"/>
      <c r="J887" s="79"/>
      <c r="K887" s="79"/>
      <c r="L887" s="79"/>
      <c r="M887" s="79"/>
      <c r="N887" s="79"/>
      <c r="O887" s="79"/>
      <c r="P887" s="79"/>
      <c r="Q887" s="79"/>
      <c r="R887" s="79"/>
      <c r="S887" s="79"/>
      <c r="T887" s="79"/>
      <c r="U887" s="79"/>
      <c r="V887" s="79"/>
      <c r="W887" s="79"/>
      <c r="X887" s="79"/>
      <c r="Y887" s="79"/>
      <c r="Z887" s="79"/>
    </row>
    <row r="888" spans="1:26" ht="12.75" customHeight="1">
      <c r="A888" s="73"/>
      <c r="B888" s="73"/>
      <c r="C888" s="80"/>
      <c r="D888" s="79"/>
      <c r="E888" s="79"/>
      <c r="F888" s="81"/>
      <c r="G888" s="81"/>
      <c r="H888" s="79"/>
      <c r="I888" s="79"/>
      <c r="J888" s="79"/>
      <c r="K888" s="79"/>
      <c r="L888" s="79"/>
      <c r="M888" s="79"/>
      <c r="N888" s="79"/>
      <c r="O888" s="79"/>
      <c r="P888" s="79"/>
      <c r="Q888" s="79"/>
      <c r="R888" s="79"/>
      <c r="S888" s="79"/>
      <c r="T888" s="79"/>
      <c r="U888" s="79"/>
      <c r="V888" s="79"/>
      <c r="W888" s="79"/>
      <c r="X888" s="79"/>
      <c r="Y888" s="79"/>
      <c r="Z888" s="79"/>
    </row>
    <row r="889" spans="1:26" ht="12.75" customHeight="1">
      <c r="A889" s="73"/>
      <c r="B889" s="73"/>
      <c r="C889" s="80"/>
      <c r="D889" s="79"/>
      <c r="E889" s="79"/>
      <c r="F889" s="81"/>
      <c r="G889" s="81"/>
      <c r="H889" s="79"/>
      <c r="I889" s="79"/>
      <c r="J889" s="79"/>
      <c r="K889" s="79"/>
      <c r="L889" s="79"/>
      <c r="M889" s="79"/>
      <c r="N889" s="79"/>
      <c r="O889" s="79"/>
      <c r="P889" s="79"/>
      <c r="Q889" s="79"/>
      <c r="R889" s="79"/>
      <c r="S889" s="79"/>
      <c r="T889" s="79"/>
      <c r="U889" s="79"/>
      <c r="V889" s="79"/>
      <c r="W889" s="79"/>
      <c r="X889" s="79"/>
      <c r="Y889" s="79"/>
      <c r="Z889" s="79"/>
    </row>
    <row r="890" spans="1:26" ht="12.75" customHeight="1">
      <c r="A890" s="73"/>
      <c r="B890" s="73"/>
      <c r="C890" s="80"/>
      <c r="D890" s="79"/>
      <c r="E890" s="79"/>
      <c r="F890" s="81"/>
      <c r="G890" s="81"/>
      <c r="H890" s="79"/>
      <c r="I890" s="79"/>
      <c r="J890" s="79"/>
      <c r="K890" s="79"/>
      <c r="L890" s="79"/>
      <c r="M890" s="79"/>
      <c r="N890" s="79"/>
      <c r="O890" s="79"/>
      <c r="P890" s="79"/>
      <c r="Q890" s="79"/>
      <c r="R890" s="79"/>
      <c r="S890" s="79"/>
      <c r="T890" s="79"/>
      <c r="U890" s="79"/>
      <c r="V890" s="79"/>
      <c r="W890" s="79"/>
      <c r="X890" s="79"/>
      <c r="Y890" s="79"/>
      <c r="Z890" s="79"/>
    </row>
    <row r="891" spans="1:26" ht="12.75" customHeight="1">
      <c r="A891" s="73"/>
      <c r="B891" s="73"/>
      <c r="C891" s="80"/>
      <c r="D891" s="79"/>
      <c r="E891" s="79"/>
      <c r="F891" s="81"/>
      <c r="G891" s="81"/>
      <c r="H891" s="79"/>
      <c r="I891" s="79"/>
      <c r="J891" s="79"/>
      <c r="K891" s="79"/>
      <c r="L891" s="79"/>
      <c r="M891" s="79"/>
      <c r="N891" s="79"/>
      <c r="O891" s="79"/>
      <c r="P891" s="79"/>
      <c r="Q891" s="79"/>
      <c r="R891" s="79"/>
      <c r="S891" s="79"/>
      <c r="T891" s="79"/>
      <c r="U891" s="79"/>
      <c r="V891" s="79"/>
      <c r="W891" s="79"/>
      <c r="X891" s="79"/>
      <c r="Y891" s="79"/>
      <c r="Z891" s="79"/>
    </row>
    <row r="892" spans="1:26" ht="12.75" customHeight="1">
      <c r="A892" s="73"/>
      <c r="B892" s="73"/>
      <c r="C892" s="80"/>
      <c r="D892" s="79"/>
      <c r="E892" s="79"/>
      <c r="F892" s="81"/>
      <c r="G892" s="81"/>
      <c r="H892" s="79"/>
      <c r="I892" s="79"/>
      <c r="J892" s="79"/>
      <c r="K892" s="79"/>
      <c r="L892" s="79"/>
      <c r="M892" s="79"/>
      <c r="N892" s="79"/>
      <c r="O892" s="79"/>
      <c r="P892" s="79"/>
      <c r="Q892" s="79"/>
      <c r="R892" s="79"/>
      <c r="S892" s="79"/>
      <c r="T892" s="79"/>
      <c r="U892" s="79"/>
      <c r="V892" s="79"/>
      <c r="W892" s="79"/>
      <c r="X892" s="79"/>
      <c r="Y892" s="79"/>
      <c r="Z892" s="79"/>
    </row>
    <row r="893" spans="1:26" ht="12.75" customHeight="1">
      <c r="A893" s="73"/>
      <c r="B893" s="73"/>
      <c r="C893" s="80"/>
      <c r="D893" s="79"/>
      <c r="E893" s="79"/>
      <c r="F893" s="81"/>
      <c r="G893" s="81"/>
      <c r="H893" s="79"/>
      <c r="I893" s="79"/>
      <c r="J893" s="79"/>
      <c r="K893" s="79"/>
      <c r="L893" s="79"/>
      <c r="M893" s="79"/>
      <c r="N893" s="79"/>
      <c r="O893" s="79"/>
      <c r="P893" s="79"/>
      <c r="Q893" s="79"/>
      <c r="R893" s="79"/>
      <c r="S893" s="79"/>
      <c r="T893" s="79"/>
      <c r="U893" s="79"/>
      <c r="V893" s="79"/>
      <c r="W893" s="79"/>
      <c r="X893" s="79"/>
      <c r="Y893" s="79"/>
      <c r="Z893" s="79"/>
    </row>
    <row r="894" spans="1:26" ht="12.75" customHeight="1">
      <c r="A894" s="73"/>
      <c r="B894" s="73"/>
      <c r="C894" s="80"/>
      <c r="D894" s="79"/>
      <c r="E894" s="79"/>
      <c r="F894" s="81"/>
      <c r="G894" s="81"/>
      <c r="H894" s="79"/>
      <c r="I894" s="79"/>
      <c r="J894" s="79"/>
      <c r="K894" s="79"/>
      <c r="L894" s="79"/>
      <c r="M894" s="79"/>
      <c r="N894" s="79"/>
      <c r="O894" s="79"/>
      <c r="P894" s="79"/>
      <c r="Q894" s="79"/>
      <c r="R894" s="79"/>
      <c r="S894" s="79"/>
      <c r="T894" s="79"/>
      <c r="U894" s="79"/>
      <c r="V894" s="79"/>
      <c r="W894" s="79"/>
      <c r="X894" s="79"/>
      <c r="Y894" s="79"/>
      <c r="Z894" s="79"/>
    </row>
    <row r="895" spans="1:26" ht="12.75" customHeight="1">
      <c r="A895" s="73"/>
      <c r="B895" s="73"/>
      <c r="C895" s="80"/>
      <c r="D895" s="79"/>
      <c r="E895" s="79"/>
      <c r="F895" s="81"/>
      <c r="G895" s="81"/>
      <c r="H895" s="79"/>
      <c r="I895" s="79"/>
      <c r="J895" s="79"/>
      <c r="K895" s="79"/>
      <c r="L895" s="79"/>
      <c r="M895" s="79"/>
      <c r="N895" s="79"/>
      <c r="O895" s="79"/>
      <c r="P895" s="79"/>
      <c r="Q895" s="79"/>
      <c r="R895" s="79"/>
      <c r="S895" s="79"/>
      <c r="T895" s="79"/>
      <c r="U895" s="79"/>
      <c r="V895" s="79"/>
      <c r="W895" s="79"/>
      <c r="X895" s="79"/>
      <c r="Y895" s="79"/>
      <c r="Z895" s="79"/>
    </row>
    <row r="896" spans="1:26" ht="12.75" customHeight="1">
      <c r="A896" s="73"/>
      <c r="B896" s="73"/>
      <c r="C896" s="80"/>
      <c r="D896" s="79"/>
      <c r="E896" s="79"/>
      <c r="F896" s="81"/>
      <c r="G896" s="81"/>
      <c r="H896" s="79"/>
      <c r="I896" s="79"/>
      <c r="J896" s="79"/>
      <c r="K896" s="79"/>
      <c r="L896" s="79"/>
      <c r="M896" s="79"/>
      <c r="N896" s="79"/>
      <c r="O896" s="79"/>
      <c r="P896" s="79"/>
      <c r="Q896" s="79"/>
      <c r="R896" s="79"/>
      <c r="S896" s="79"/>
      <c r="T896" s="79"/>
      <c r="U896" s="79"/>
      <c r="V896" s="79"/>
      <c r="W896" s="79"/>
      <c r="X896" s="79"/>
      <c r="Y896" s="79"/>
      <c r="Z896" s="79"/>
    </row>
    <row r="897" spans="1:26" ht="12.75" customHeight="1">
      <c r="A897" s="73"/>
      <c r="B897" s="73"/>
      <c r="C897" s="80"/>
      <c r="D897" s="79"/>
      <c r="E897" s="79"/>
      <c r="F897" s="81"/>
      <c r="G897" s="81"/>
      <c r="H897" s="79"/>
      <c r="I897" s="79"/>
      <c r="J897" s="79"/>
      <c r="K897" s="79"/>
      <c r="L897" s="79"/>
      <c r="M897" s="79"/>
      <c r="N897" s="79"/>
      <c r="O897" s="79"/>
      <c r="P897" s="79"/>
      <c r="Q897" s="79"/>
      <c r="R897" s="79"/>
      <c r="S897" s="79"/>
      <c r="T897" s="79"/>
      <c r="U897" s="79"/>
      <c r="V897" s="79"/>
      <c r="W897" s="79"/>
      <c r="X897" s="79"/>
      <c r="Y897" s="79"/>
      <c r="Z897" s="79"/>
    </row>
    <row r="898" spans="1:26" ht="12.75" customHeight="1">
      <c r="A898" s="73"/>
      <c r="B898" s="73"/>
      <c r="C898" s="80"/>
      <c r="D898" s="79"/>
      <c r="E898" s="79"/>
      <c r="F898" s="81"/>
      <c r="G898" s="81"/>
      <c r="H898" s="79"/>
      <c r="I898" s="79"/>
      <c r="J898" s="79"/>
      <c r="K898" s="79"/>
      <c r="L898" s="79"/>
      <c r="M898" s="79"/>
      <c r="N898" s="79"/>
      <c r="O898" s="79"/>
      <c r="P898" s="79"/>
      <c r="Q898" s="79"/>
      <c r="R898" s="79"/>
      <c r="S898" s="79"/>
      <c r="T898" s="79"/>
      <c r="U898" s="79"/>
      <c r="V898" s="79"/>
      <c r="W898" s="79"/>
      <c r="X898" s="79"/>
      <c r="Y898" s="79"/>
      <c r="Z898" s="79"/>
    </row>
    <row r="899" spans="1:26" ht="12.75" customHeight="1">
      <c r="A899" s="73"/>
      <c r="B899" s="73"/>
      <c r="C899" s="80"/>
      <c r="D899" s="79"/>
      <c r="E899" s="79"/>
      <c r="F899" s="81"/>
      <c r="G899" s="81"/>
      <c r="H899" s="79"/>
      <c r="I899" s="79"/>
      <c r="J899" s="79"/>
      <c r="K899" s="79"/>
      <c r="L899" s="79"/>
      <c r="M899" s="79"/>
      <c r="N899" s="79"/>
      <c r="O899" s="79"/>
      <c r="P899" s="79"/>
      <c r="Q899" s="79"/>
      <c r="R899" s="79"/>
      <c r="S899" s="79"/>
      <c r="T899" s="79"/>
      <c r="U899" s="79"/>
      <c r="V899" s="79"/>
      <c r="W899" s="79"/>
      <c r="X899" s="79"/>
      <c r="Y899" s="79"/>
      <c r="Z899" s="79"/>
    </row>
    <row r="900" spans="1:26" ht="12.75" customHeight="1">
      <c r="A900" s="73"/>
      <c r="B900" s="73"/>
      <c r="C900" s="80"/>
      <c r="D900" s="79"/>
      <c r="E900" s="79"/>
      <c r="F900" s="81"/>
      <c r="G900" s="81"/>
      <c r="H900" s="79"/>
      <c r="I900" s="79"/>
      <c r="J900" s="79"/>
      <c r="K900" s="79"/>
      <c r="L900" s="79"/>
      <c r="M900" s="79"/>
      <c r="N900" s="79"/>
      <c r="O900" s="79"/>
      <c r="P900" s="79"/>
      <c r="Q900" s="79"/>
      <c r="R900" s="79"/>
      <c r="S900" s="79"/>
      <c r="T900" s="79"/>
      <c r="U900" s="79"/>
      <c r="V900" s="79"/>
      <c r="W900" s="79"/>
      <c r="X900" s="79"/>
      <c r="Y900" s="79"/>
      <c r="Z900" s="79"/>
    </row>
    <row r="901" spans="1:26" ht="12.75" customHeight="1">
      <c r="A901" s="73"/>
      <c r="B901" s="73"/>
      <c r="C901" s="80"/>
      <c r="D901" s="79"/>
      <c r="E901" s="79"/>
      <c r="F901" s="81"/>
      <c r="G901" s="81"/>
      <c r="H901" s="79"/>
      <c r="I901" s="79"/>
      <c r="J901" s="79"/>
      <c r="K901" s="79"/>
      <c r="L901" s="79"/>
      <c r="M901" s="79"/>
      <c r="N901" s="79"/>
      <c r="O901" s="79"/>
      <c r="P901" s="79"/>
      <c r="Q901" s="79"/>
      <c r="R901" s="79"/>
      <c r="S901" s="79"/>
      <c r="T901" s="79"/>
      <c r="U901" s="79"/>
      <c r="V901" s="79"/>
      <c r="W901" s="79"/>
      <c r="X901" s="79"/>
      <c r="Y901" s="79"/>
      <c r="Z901" s="79"/>
    </row>
    <row r="902" spans="1:26" ht="12.75" customHeight="1">
      <c r="A902" s="73"/>
      <c r="B902" s="73"/>
      <c r="C902" s="80"/>
      <c r="D902" s="79"/>
      <c r="E902" s="79"/>
      <c r="F902" s="81"/>
      <c r="G902" s="81"/>
      <c r="H902" s="79"/>
      <c r="I902" s="79"/>
      <c r="J902" s="79"/>
      <c r="K902" s="79"/>
      <c r="L902" s="79"/>
      <c r="M902" s="79"/>
      <c r="N902" s="79"/>
      <c r="O902" s="79"/>
      <c r="P902" s="79"/>
      <c r="Q902" s="79"/>
      <c r="R902" s="79"/>
      <c r="S902" s="79"/>
      <c r="T902" s="79"/>
      <c r="U902" s="79"/>
      <c r="V902" s="79"/>
      <c r="W902" s="79"/>
      <c r="X902" s="79"/>
      <c r="Y902" s="79"/>
      <c r="Z902" s="79"/>
    </row>
    <row r="903" spans="1:26" ht="12.75" customHeight="1">
      <c r="A903" s="73"/>
      <c r="B903" s="73"/>
      <c r="C903" s="80"/>
      <c r="D903" s="79"/>
      <c r="E903" s="79"/>
      <c r="F903" s="81"/>
      <c r="G903" s="81"/>
      <c r="H903" s="79"/>
      <c r="I903" s="79"/>
      <c r="J903" s="79"/>
      <c r="K903" s="79"/>
      <c r="L903" s="79"/>
      <c r="M903" s="79"/>
      <c r="N903" s="79"/>
      <c r="O903" s="79"/>
      <c r="P903" s="79"/>
      <c r="Q903" s="79"/>
      <c r="R903" s="79"/>
      <c r="S903" s="79"/>
      <c r="T903" s="79"/>
      <c r="U903" s="79"/>
      <c r="V903" s="79"/>
      <c r="W903" s="79"/>
      <c r="X903" s="79"/>
      <c r="Y903" s="79"/>
      <c r="Z903" s="79"/>
    </row>
    <row r="904" spans="1:26" ht="12.75" customHeight="1">
      <c r="A904" s="73"/>
      <c r="B904" s="73"/>
      <c r="C904" s="80"/>
      <c r="D904" s="79"/>
      <c r="E904" s="79"/>
      <c r="F904" s="81"/>
      <c r="G904" s="81"/>
      <c r="H904" s="79"/>
      <c r="I904" s="79"/>
      <c r="J904" s="79"/>
      <c r="K904" s="79"/>
      <c r="L904" s="79"/>
      <c r="M904" s="79"/>
      <c r="N904" s="79"/>
      <c r="O904" s="79"/>
      <c r="P904" s="79"/>
      <c r="Q904" s="79"/>
      <c r="R904" s="79"/>
      <c r="S904" s="79"/>
      <c r="T904" s="79"/>
      <c r="U904" s="79"/>
      <c r="V904" s="79"/>
      <c r="W904" s="79"/>
      <c r="X904" s="79"/>
      <c r="Y904" s="79"/>
      <c r="Z904" s="79"/>
    </row>
    <row r="905" spans="1:26" ht="12.75" customHeight="1">
      <c r="A905" s="73"/>
      <c r="B905" s="73"/>
      <c r="C905" s="80"/>
      <c r="D905" s="79"/>
      <c r="E905" s="79"/>
      <c r="F905" s="81"/>
      <c r="G905" s="81"/>
      <c r="H905" s="79"/>
      <c r="I905" s="79"/>
      <c r="J905" s="79"/>
      <c r="K905" s="79"/>
      <c r="L905" s="79"/>
      <c r="M905" s="79"/>
      <c r="N905" s="79"/>
      <c r="O905" s="79"/>
      <c r="P905" s="79"/>
      <c r="Q905" s="79"/>
      <c r="R905" s="79"/>
      <c r="S905" s="79"/>
      <c r="T905" s="79"/>
      <c r="U905" s="79"/>
      <c r="V905" s="79"/>
      <c r="W905" s="79"/>
      <c r="X905" s="79"/>
      <c r="Y905" s="79"/>
      <c r="Z905" s="79"/>
    </row>
    <row r="906" spans="1:26" ht="12.75" customHeight="1">
      <c r="A906" s="73"/>
      <c r="B906" s="73"/>
      <c r="C906" s="80"/>
      <c r="D906" s="79"/>
      <c r="E906" s="79"/>
      <c r="F906" s="81"/>
      <c r="G906" s="81"/>
      <c r="H906" s="79"/>
      <c r="I906" s="79"/>
      <c r="J906" s="79"/>
      <c r="K906" s="79"/>
      <c r="L906" s="79"/>
      <c r="M906" s="79"/>
      <c r="N906" s="79"/>
      <c r="O906" s="79"/>
      <c r="P906" s="79"/>
      <c r="Q906" s="79"/>
      <c r="R906" s="79"/>
      <c r="S906" s="79"/>
      <c r="T906" s="79"/>
      <c r="U906" s="79"/>
      <c r="V906" s="79"/>
      <c r="W906" s="79"/>
      <c r="X906" s="79"/>
      <c r="Y906" s="79"/>
      <c r="Z906" s="79"/>
    </row>
    <row r="907" spans="1:26" ht="12.75" customHeight="1">
      <c r="A907" s="73"/>
      <c r="B907" s="73"/>
      <c r="C907" s="80"/>
      <c r="D907" s="79"/>
      <c r="E907" s="79"/>
      <c r="F907" s="81"/>
      <c r="G907" s="81"/>
      <c r="H907" s="79"/>
      <c r="I907" s="79"/>
      <c r="J907" s="79"/>
      <c r="K907" s="79"/>
      <c r="L907" s="79"/>
      <c r="M907" s="79"/>
      <c r="N907" s="79"/>
      <c r="O907" s="79"/>
      <c r="P907" s="79"/>
      <c r="Q907" s="79"/>
      <c r="R907" s="79"/>
      <c r="S907" s="79"/>
      <c r="T907" s="79"/>
      <c r="U907" s="79"/>
      <c r="V907" s="79"/>
      <c r="W907" s="79"/>
      <c r="X907" s="79"/>
      <c r="Y907" s="79"/>
      <c r="Z907" s="79"/>
    </row>
    <row r="908" spans="1:26" ht="12.75" customHeight="1">
      <c r="A908" s="73"/>
      <c r="B908" s="73"/>
      <c r="C908" s="80"/>
      <c r="D908" s="79"/>
      <c r="E908" s="79"/>
      <c r="F908" s="81"/>
      <c r="G908" s="81"/>
      <c r="H908" s="79"/>
      <c r="I908" s="79"/>
      <c r="J908" s="79"/>
      <c r="K908" s="79"/>
      <c r="L908" s="79"/>
      <c r="M908" s="79"/>
      <c r="N908" s="79"/>
      <c r="O908" s="79"/>
      <c r="P908" s="79"/>
      <c r="Q908" s="79"/>
      <c r="R908" s="79"/>
      <c r="S908" s="79"/>
      <c r="T908" s="79"/>
      <c r="U908" s="79"/>
      <c r="V908" s="79"/>
      <c r="W908" s="79"/>
      <c r="X908" s="79"/>
      <c r="Y908" s="79"/>
      <c r="Z908" s="79"/>
    </row>
    <row r="909" spans="1:26" ht="12.75" customHeight="1">
      <c r="A909" s="73"/>
      <c r="B909" s="73"/>
      <c r="C909" s="80"/>
      <c r="D909" s="79"/>
      <c r="E909" s="79"/>
      <c r="F909" s="81"/>
      <c r="G909" s="81"/>
      <c r="H909" s="79"/>
      <c r="I909" s="79"/>
      <c r="J909" s="79"/>
      <c r="K909" s="79"/>
      <c r="L909" s="79"/>
      <c r="M909" s="79"/>
      <c r="N909" s="79"/>
      <c r="O909" s="79"/>
      <c r="P909" s="79"/>
      <c r="Q909" s="79"/>
      <c r="R909" s="79"/>
      <c r="S909" s="79"/>
      <c r="T909" s="79"/>
      <c r="U909" s="79"/>
      <c r="V909" s="79"/>
      <c r="W909" s="79"/>
      <c r="X909" s="79"/>
      <c r="Y909" s="79"/>
      <c r="Z909" s="79"/>
    </row>
    <row r="910" spans="1:26" ht="12.75" customHeight="1">
      <c r="A910" s="73"/>
      <c r="B910" s="73"/>
      <c r="C910" s="80"/>
      <c r="D910" s="79"/>
      <c r="E910" s="79"/>
      <c r="F910" s="81"/>
      <c r="G910" s="81"/>
      <c r="H910" s="79"/>
      <c r="I910" s="79"/>
      <c r="J910" s="79"/>
      <c r="K910" s="79"/>
      <c r="L910" s="79"/>
      <c r="M910" s="79"/>
      <c r="N910" s="79"/>
      <c r="O910" s="79"/>
      <c r="P910" s="79"/>
      <c r="Q910" s="79"/>
      <c r="R910" s="79"/>
      <c r="S910" s="79"/>
      <c r="T910" s="79"/>
      <c r="U910" s="79"/>
      <c r="V910" s="79"/>
      <c r="W910" s="79"/>
      <c r="X910" s="79"/>
      <c r="Y910" s="79"/>
      <c r="Z910" s="79"/>
    </row>
    <row r="911" spans="1:26" ht="12.75" customHeight="1">
      <c r="A911" s="73"/>
      <c r="B911" s="73"/>
      <c r="C911" s="80"/>
      <c r="D911" s="79"/>
      <c r="E911" s="79"/>
      <c r="F911" s="81"/>
      <c r="G911" s="81"/>
      <c r="H911" s="79"/>
      <c r="I911" s="79"/>
      <c r="J911" s="79"/>
      <c r="K911" s="79"/>
      <c r="L911" s="79"/>
      <c r="M911" s="79"/>
      <c r="N911" s="79"/>
      <c r="O911" s="79"/>
      <c r="P911" s="79"/>
      <c r="Q911" s="79"/>
      <c r="R911" s="79"/>
      <c r="S911" s="79"/>
      <c r="T911" s="79"/>
      <c r="U911" s="79"/>
      <c r="V911" s="79"/>
      <c r="W911" s="79"/>
      <c r="X911" s="79"/>
      <c r="Y911" s="79"/>
      <c r="Z911" s="79"/>
    </row>
    <row r="912" spans="1:26" ht="12.75" customHeight="1">
      <c r="A912" s="73"/>
      <c r="B912" s="73"/>
      <c r="C912" s="80"/>
      <c r="D912" s="79"/>
      <c r="E912" s="79"/>
      <c r="F912" s="81"/>
      <c r="G912" s="81"/>
      <c r="H912" s="79"/>
      <c r="I912" s="79"/>
      <c r="J912" s="79"/>
      <c r="K912" s="79"/>
      <c r="L912" s="79"/>
      <c r="M912" s="79"/>
      <c r="N912" s="79"/>
      <c r="O912" s="79"/>
      <c r="P912" s="79"/>
      <c r="Q912" s="79"/>
      <c r="R912" s="79"/>
      <c r="S912" s="79"/>
      <c r="T912" s="79"/>
      <c r="U912" s="79"/>
      <c r="V912" s="79"/>
      <c r="W912" s="79"/>
      <c r="X912" s="79"/>
      <c r="Y912" s="79"/>
      <c r="Z912" s="79"/>
    </row>
    <row r="913" spans="1:26" ht="12.75" customHeight="1">
      <c r="A913" s="73"/>
      <c r="B913" s="73"/>
      <c r="C913" s="80"/>
      <c r="D913" s="79"/>
      <c r="E913" s="79"/>
      <c r="F913" s="81"/>
      <c r="G913" s="81"/>
      <c r="H913" s="79"/>
      <c r="I913" s="79"/>
      <c r="J913" s="79"/>
      <c r="K913" s="79"/>
      <c r="L913" s="79"/>
      <c r="M913" s="79"/>
      <c r="N913" s="79"/>
      <c r="O913" s="79"/>
      <c r="P913" s="79"/>
      <c r="Q913" s="79"/>
      <c r="R913" s="79"/>
      <c r="S913" s="79"/>
      <c r="T913" s="79"/>
      <c r="U913" s="79"/>
      <c r="V913" s="79"/>
      <c r="W913" s="79"/>
      <c r="X913" s="79"/>
      <c r="Y913" s="79"/>
      <c r="Z913" s="79"/>
    </row>
    <row r="914" spans="1:26" ht="12.75" customHeight="1">
      <c r="A914" s="73"/>
      <c r="B914" s="73"/>
      <c r="C914" s="80"/>
      <c r="D914" s="79"/>
      <c r="E914" s="79"/>
      <c r="F914" s="81"/>
      <c r="G914" s="81"/>
      <c r="H914" s="79"/>
      <c r="I914" s="79"/>
      <c r="J914" s="79"/>
      <c r="K914" s="79"/>
      <c r="L914" s="79"/>
      <c r="M914" s="79"/>
      <c r="N914" s="79"/>
      <c r="O914" s="79"/>
      <c r="P914" s="79"/>
      <c r="Q914" s="79"/>
      <c r="R914" s="79"/>
      <c r="S914" s="79"/>
      <c r="T914" s="79"/>
      <c r="U914" s="79"/>
      <c r="V914" s="79"/>
      <c r="W914" s="79"/>
      <c r="X914" s="79"/>
      <c r="Y914" s="79"/>
      <c r="Z914" s="79"/>
    </row>
    <row r="915" spans="1:26" ht="12.75" customHeight="1">
      <c r="A915" s="73"/>
      <c r="B915" s="73"/>
      <c r="C915" s="80"/>
      <c r="D915" s="79"/>
      <c r="E915" s="79"/>
      <c r="F915" s="81"/>
      <c r="G915" s="81"/>
      <c r="H915" s="79"/>
      <c r="I915" s="79"/>
      <c r="J915" s="79"/>
      <c r="K915" s="79"/>
      <c r="L915" s="79"/>
      <c r="M915" s="79"/>
      <c r="N915" s="79"/>
      <c r="O915" s="79"/>
      <c r="P915" s="79"/>
      <c r="Q915" s="79"/>
      <c r="R915" s="79"/>
      <c r="S915" s="79"/>
      <c r="T915" s="79"/>
      <c r="U915" s="79"/>
      <c r="V915" s="79"/>
      <c r="W915" s="79"/>
      <c r="X915" s="79"/>
      <c r="Y915" s="79"/>
      <c r="Z915" s="79"/>
    </row>
    <row r="916" spans="1:26" ht="12.75" customHeight="1">
      <c r="A916" s="73"/>
      <c r="B916" s="73"/>
      <c r="C916" s="80"/>
      <c r="D916" s="79"/>
      <c r="E916" s="79"/>
      <c r="F916" s="81"/>
      <c r="G916" s="81"/>
      <c r="H916" s="79"/>
      <c r="I916" s="79"/>
      <c r="J916" s="79"/>
      <c r="K916" s="79"/>
      <c r="L916" s="79"/>
      <c r="M916" s="79"/>
      <c r="N916" s="79"/>
      <c r="O916" s="79"/>
      <c r="P916" s="79"/>
      <c r="Q916" s="79"/>
      <c r="R916" s="79"/>
      <c r="S916" s="79"/>
      <c r="T916" s="79"/>
      <c r="U916" s="79"/>
      <c r="V916" s="79"/>
      <c r="W916" s="79"/>
      <c r="X916" s="79"/>
      <c r="Y916" s="79"/>
      <c r="Z916" s="79"/>
    </row>
    <row r="917" spans="1:26" ht="12.75" customHeight="1">
      <c r="A917" s="73"/>
      <c r="B917" s="73"/>
      <c r="C917" s="80"/>
      <c r="D917" s="79"/>
      <c r="E917" s="79"/>
      <c r="F917" s="81"/>
      <c r="G917" s="81"/>
      <c r="H917" s="79"/>
      <c r="I917" s="79"/>
      <c r="J917" s="79"/>
      <c r="K917" s="79"/>
      <c r="L917" s="79"/>
      <c r="M917" s="79"/>
      <c r="N917" s="79"/>
      <c r="O917" s="79"/>
      <c r="P917" s="79"/>
      <c r="Q917" s="79"/>
      <c r="R917" s="79"/>
      <c r="S917" s="79"/>
      <c r="T917" s="79"/>
      <c r="U917" s="79"/>
      <c r="V917" s="79"/>
      <c r="W917" s="79"/>
      <c r="X917" s="79"/>
      <c r="Y917" s="79"/>
      <c r="Z917" s="79"/>
    </row>
    <row r="918" spans="1:26" ht="12.75" customHeight="1">
      <c r="A918" s="73"/>
      <c r="B918" s="73"/>
      <c r="C918" s="80"/>
      <c r="D918" s="79"/>
      <c r="E918" s="79"/>
      <c r="F918" s="81"/>
      <c r="G918" s="81"/>
      <c r="H918" s="79"/>
      <c r="I918" s="79"/>
      <c r="J918" s="79"/>
      <c r="K918" s="79"/>
      <c r="L918" s="79"/>
      <c r="M918" s="79"/>
      <c r="N918" s="79"/>
      <c r="O918" s="79"/>
      <c r="P918" s="79"/>
      <c r="Q918" s="79"/>
      <c r="R918" s="79"/>
      <c r="S918" s="79"/>
      <c r="T918" s="79"/>
      <c r="U918" s="79"/>
      <c r="V918" s="79"/>
      <c r="W918" s="79"/>
      <c r="X918" s="79"/>
      <c r="Y918" s="79"/>
      <c r="Z918" s="79"/>
    </row>
    <row r="919" spans="1:26" ht="12.75" customHeight="1">
      <c r="A919" s="73"/>
      <c r="B919" s="73"/>
      <c r="C919" s="80"/>
      <c r="D919" s="79"/>
      <c r="E919" s="79"/>
      <c r="F919" s="81"/>
      <c r="G919" s="81"/>
      <c r="H919" s="79"/>
      <c r="I919" s="79"/>
      <c r="J919" s="79"/>
      <c r="K919" s="79"/>
      <c r="L919" s="79"/>
      <c r="M919" s="79"/>
      <c r="N919" s="79"/>
      <c r="O919" s="79"/>
      <c r="P919" s="79"/>
      <c r="Q919" s="79"/>
      <c r="R919" s="79"/>
      <c r="S919" s="79"/>
      <c r="T919" s="79"/>
      <c r="U919" s="79"/>
      <c r="V919" s="79"/>
      <c r="W919" s="79"/>
      <c r="X919" s="79"/>
      <c r="Y919" s="79"/>
      <c r="Z919" s="79"/>
    </row>
    <row r="920" spans="1:26" ht="12.75" customHeight="1">
      <c r="A920" s="73"/>
      <c r="B920" s="73"/>
      <c r="C920" s="80"/>
      <c r="D920" s="79"/>
      <c r="E920" s="79"/>
      <c r="F920" s="81"/>
      <c r="G920" s="81"/>
      <c r="H920" s="79"/>
      <c r="I920" s="79"/>
      <c r="J920" s="79"/>
      <c r="K920" s="79"/>
      <c r="L920" s="79"/>
      <c r="M920" s="79"/>
      <c r="N920" s="79"/>
      <c r="O920" s="79"/>
      <c r="P920" s="79"/>
      <c r="Q920" s="79"/>
      <c r="R920" s="79"/>
      <c r="S920" s="79"/>
      <c r="T920" s="79"/>
      <c r="U920" s="79"/>
      <c r="V920" s="79"/>
      <c r="W920" s="79"/>
      <c r="X920" s="79"/>
      <c r="Y920" s="79"/>
      <c r="Z920" s="79"/>
    </row>
    <row r="921" spans="1:26" ht="12.75" customHeight="1">
      <c r="A921" s="73"/>
      <c r="B921" s="73"/>
      <c r="C921" s="80"/>
      <c r="D921" s="79"/>
      <c r="E921" s="79"/>
      <c r="F921" s="81"/>
      <c r="G921" s="81"/>
      <c r="H921" s="79"/>
      <c r="I921" s="79"/>
      <c r="J921" s="79"/>
      <c r="K921" s="79"/>
      <c r="L921" s="79"/>
      <c r="M921" s="79"/>
      <c r="N921" s="79"/>
      <c r="O921" s="79"/>
      <c r="P921" s="79"/>
      <c r="Q921" s="79"/>
      <c r="R921" s="79"/>
      <c r="S921" s="79"/>
      <c r="T921" s="79"/>
      <c r="U921" s="79"/>
      <c r="V921" s="79"/>
      <c r="W921" s="79"/>
      <c r="X921" s="79"/>
      <c r="Y921" s="79"/>
      <c r="Z921" s="79"/>
    </row>
    <row r="922" spans="1:26" ht="12.75" customHeight="1">
      <c r="A922" s="73"/>
      <c r="B922" s="73"/>
      <c r="C922" s="80"/>
      <c r="D922" s="79"/>
      <c r="E922" s="79"/>
      <c r="F922" s="81"/>
      <c r="G922" s="81"/>
      <c r="H922" s="79"/>
      <c r="I922" s="79"/>
      <c r="J922" s="79"/>
      <c r="K922" s="79"/>
      <c r="L922" s="79"/>
      <c r="M922" s="79"/>
      <c r="N922" s="79"/>
      <c r="O922" s="79"/>
      <c r="P922" s="79"/>
      <c r="Q922" s="79"/>
      <c r="R922" s="79"/>
      <c r="S922" s="79"/>
      <c r="T922" s="79"/>
      <c r="U922" s="79"/>
      <c r="V922" s="79"/>
      <c r="W922" s="79"/>
      <c r="X922" s="79"/>
      <c r="Y922" s="79"/>
      <c r="Z922" s="79"/>
    </row>
    <row r="923" spans="1:26" ht="12.75" customHeight="1">
      <c r="A923" s="73"/>
      <c r="B923" s="73"/>
      <c r="C923" s="80"/>
      <c r="D923" s="79"/>
      <c r="E923" s="79"/>
      <c r="F923" s="81"/>
      <c r="G923" s="81"/>
      <c r="H923" s="79"/>
      <c r="I923" s="79"/>
      <c r="J923" s="79"/>
      <c r="K923" s="79"/>
      <c r="L923" s="79"/>
      <c r="M923" s="79"/>
      <c r="N923" s="79"/>
      <c r="O923" s="79"/>
      <c r="P923" s="79"/>
      <c r="Q923" s="79"/>
      <c r="R923" s="79"/>
      <c r="S923" s="79"/>
      <c r="T923" s="79"/>
      <c r="U923" s="79"/>
      <c r="V923" s="79"/>
      <c r="W923" s="79"/>
      <c r="X923" s="79"/>
      <c r="Y923" s="79"/>
      <c r="Z923" s="79"/>
    </row>
    <row r="924" spans="1:26" ht="12.75" customHeight="1">
      <c r="A924" s="73"/>
      <c r="B924" s="73"/>
      <c r="C924" s="80"/>
      <c r="D924" s="79"/>
      <c r="E924" s="79"/>
      <c r="F924" s="81"/>
      <c r="G924" s="81"/>
      <c r="H924" s="79"/>
      <c r="I924" s="79"/>
      <c r="J924" s="79"/>
      <c r="K924" s="79"/>
      <c r="L924" s="79"/>
      <c r="M924" s="79"/>
      <c r="N924" s="79"/>
      <c r="O924" s="79"/>
      <c r="P924" s="79"/>
      <c r="Q924" s="79"/>
      <c r="R924" s="79"/>
      <c r="S924" s="79"/>
      <c r="T924" s="79"/>
      <c r="U924" s="79"/>
      <c r="V924" s="79"/>
      <c r="W924" s="79"/>
      <c r="X924" s="79"/>
      <c r="Y924" s="79"/>
      <c r="Z924" s="79"/>
    </row>
    <row r="925" spans="1:26" ht="12.75" customHeight="1">
      <c r="A925" s="73"/>
      <c r="B925" s="73"/>
      <c r="C925" s="80"/>
      <c r="D925" s="79"/>
      <c r="E925" s="79"/>
      <c r="F925" s="81"/>
      <c r="G925" s="81"/>
      <c r="H925" s="79"/>
      <c r="I925" s="79"/>
      <c r="J925" s="79"/>
      <c r="K925" s="79"/>
      <c r="L925" s="79"/>
      <c r="M925" s="79"/>
      <c r="N925" s="79"/>
      <c r="O925" s="79"/>
      <c r="P925" s="79"/>
      <c r="Q925" s="79"/>
      <c r="R925" s="79"/>
      <c r="S925" s="79"/>
      <c r="T925" s="79"/>
      <c r="U925" s="79"/>
      <c r="V925" s="79"/>
      <c r="W925" s="79"/>
      <c r="X925" s="79"/>
      <c r="Y925" s="79"/>
      <c r="Z925" s="79"/>
    </row>
    <row r="926" spans="1:26" ht="12.75" customHeight="1">
      <c r="A926" s="73"/>
      <c r="B926" s="73"/>
      <c r="C926" s="80"/>
      <c r="D926" s="79"/>
      <c r="E926" s="79"/>
      <c r="F926" s="81"/>
      <c r="G926" s="81"/>
      <c r="H926" s="79"/>
      <c r="I926" s="79"/>
      <c r="J926" s="79"/>
      <c r="K926" s="79"/>
      <c r="L926" s="79"/>
      <c r="M926" s="79"/>
      <c r="N926" s="79"/>
      <c r="O926" s="79"/>
      <c r="P926" s="79"/>
      <c r="Q926" s="79"/>
      <c r="R926" s="79"/>
      <c r="S926" s="79"/>
      <c r="T926" s="79"/>
      <c r="U926" s="79"/>
      <c r="V926" s="79"/>
      <c r="W926" s="79"/>
      <c r="X926" s="79"/>
      <c r="Y926" s="79"/>
      <c r="Z926" s="79"/>
    </row>
    <row r="927" spans="1:26" ht="12.75" customHeight="1">
      <c r="A927" s="73"/>
      <c r="B927" s="73"/>
      <c r="C927" s="80"/>
      <c r="D927" s="79"/>
      <c r="E927" s="79"/>
      <c r="F927" s="81"/>
      <c r="G927" s="81"/>
      <c r="H927" s="79"/>
      <c r="I927" s="79"/>
      <c r="J927" s="79"/>
      <c r="K927" s="79"/>
      <c r="L927" s="79"/>
      <c r="M927" s="79"/>
      <c r="N927" s="79"/>
      <c r="O927" s="79"/>
      <c r="P927" s="79"/>
      <c r="Q927" s="79"/>
      <c r="R927" s="79"/>
      <c r="S927" s="79"/>
      <c r="T927" s="79"/>
      <c r="U927" s="79"/>
      <c r="V927" s="79"/>
      <c r="W927" s="79"/>
      <c r="X927" s="79"/>
      <c r="Y927" s="79"/>
      <c r="Z927" s="79"/>
    </row>
    <row r="928" spans="1:26" ht="12.75" customHeight="1">
      <c r="A928" s="73"/>
      <c r="B928" s="73"/>
      <c r="C928" s="80"/>
      <c r="D928" s="79"/>
      <c r="E928" s="79"/>
      <c r="F928" s="81"/>
      <c r="G928" s="81"/>
      <c r="H928" s="79"/>
      <c r="I928" s="79"/>
      <c r="J928" s="79"/>
      <c r="K928" s="79"/>
      <c r="L928" s="79"/>
      <c r="M928" s="79"/>
      <c r="N928" s="79"/>
      <c r="O928" s="79"/>
      <c r="P928" s="79"/>
      <c r="Q928" s="79"/>
      <c r="R928" s="79"/>
      <c r="S928" s="79"/>
      <c r="T928" s="79"/>
      <c r="U928" s="79"/>
      <c r="V928" s="79"/>
      <c r="W928" s="79"/>
      <c r="X928" s="79"/>
      <c r="Y928" s="79"/>
      <c r="Z928" s="79"/>
    </row>
    <row r="929" spans="1:26" ht="12.75" customHeight="1">
      <c r="A929" s="73"/>
      <c r="B929" s="73"/>
      <c r="C929" s="80"/>
      <c r="D929" s="79"/>
      <c r="E929" s="79"/>
      <c r="F929" s="81"/>
      <c r="G929" s="81"/>
      <c r="H929" s="79"/>
      <c r="I929" s="79"/>
      <c r="J929" s="79"/>
      <c r="K929" s="79"/>
      <c r="L929" s="79"/>
      <c r="M929" s="79"/>
      <c r="N929" s="79"/>
      <c r="O929" s="79"/>
      <c r="P929" s="79"/>
      <c r="Q929" s="79"/>
      <c r="R929" s="79"/>
      <c r="S929" s="79"/>
      <c r="T929" s="79"/>
      <c r="U929" s="79"/>
      <c r="V929" s="79"/>
      <c r="W929" s="79"/>
      <c r="X929" s="79"/>
      <c r="Y929" s="79"/>
      <c r="Z929" s="79"/>
    </row>
    <row r="930" spans="1:26" ht="12.75" customHeight="1">
      <c r="A930" s="73"/>
      <c r="B930" s="73"/>
      <c r="C930" s="80"/>
      <c r="D930" s="79"/>
      <c r="E930" s="79"/>
      <c r="F930" s="81"/>
      <c r="G930" s="81"/>
      <c r="H930" s="79"/>
      <c r="I930" s="79"/>
      <c r="J930" s="79"/>
      <c r="K930" s="79"/>
      <c r="L930" s="79"/>
      <c r="M930" s="79"/>
      <c r="N930" s="79"/>
      <c r="O930" s="79"/>
      <c r="P930" s="79"/>
      <c r="Q930" s="79"/>
      <c r="R930" s="79"/>
      <c r="S930" s="79"/>
      <c r="T930" s="79"/>
      <c r="U930" s="79"/>
      <c r="V930" s="79"/>
      <c r="W930" s="79"/>
      <c r="X930" s="79"/>
      <c r="Y930" s="79"/>
      <c r="Z930" s="79"/>
    </row>
    <row r="931" spans="1:26" ht="12.75" customHeight="1">
      <c r="A931" s="73"/>
      <c r="B931" s="73"/>
      <c r="C931" s="80"/>
      <c r="D931" s="79"/>
      <c r="E931" s="79"/>
      <c r="F931" s="81"/>
      <c r="G931" s="81"/>
      <c r="H931" s="79"/>
      <c r="I931" s="79"/>
      <c r="J931" s="79"/>
      <c r="K931" s="79"/>
      <c r="L931" s="79"/>
      <c r="M931" s="79"/>
      <c r="N931" s="79"/>
      <c r="O931" s="79"/>
      <c r="P931" s="79"/>
      <c r="Q931" s="79"/>
      <c r="R931" s="79"/>
      <c r="S931" s="79"/>
      <c r="T931" s="79"/>
      <c r="U931" s="79"/>
      <c r="V931" s="79"/>
      <c r="W931" s="79"/>
      <c r="X931" s="79"/>
      <c r="Y931" s="79"/>
      <c r="Z931" s="79"/>
    </row>
    <row r="932" spans="1:26" ht="12.75" customHeight="1">
      <c r="A932" s="73"/>
      <c r="B932" s="73"/>
      <c r="C932" s="80"/>
      <c r="D932" s="79"/>
      <c r="E932" s="79"/>
      <c r="F932" s="81"/>
      <c r="G932" s="81"/>
      <c r="H932" s="79"/>
      <c r="I932" s="79"/>
      <c r="J932" s="79"/>
      <c r="K932" s="79"/>
      <c r="L932" s="79"/>
      <c r="M932" s="79"/>
      <c r="N932" s="79"/>
      <c r="O932" s="79"/>
      <c r="P932" s="79"/>
      <c r="Q932" s="79"/>
      <c r="R932" s="79"/>
      <c r="S932" s="79"/>
      <c r="T932" s="79"/>
      <c r="U932" s="79"/>
      <c r="V932" s="79"/>
      <c r="W932" s="79"/>
      <c r="X932" s="79"/>
      <c r="Y932" s="79"/>
      <c r="Z932" s="79"/>
    </row>
    <row r="933" spans="1:26" ht="12.75" customHeight="1">
      <c r="A933" s="73"/>
      <c r="B933" s="73"/>
      <c r="C933" s="80"/>
      <c r="D933" s="79"/>
      <c r="E933" s="79"/>
      <c r="F933" s="81"/>
      <c r="G933" s="81"/>
      <c r="H933" s="79"/>
      <c r="I933" s="79"/>
      <c r="J933" s="79"/>
      <c r="K933" s="79"/>
      <c r="L933" s="79"/>
      <c r="M933" s="79"/>
      <c r="N933" s="79"/>
      <c r="O933" s="79"/>
      <c r="P933" s="79"/>
      <c r="Q933" s="79"/>
      <c r="R933" s="79"/>
      <c r="S933" s="79"/>
      <c r="T933" s="79"/>
      <c r="U933" s="79"/>
      <c r="V933" s="79"/>
      <c r="W933" s="79"/>
      <c r="X933" s="79"/>
      <c r="Y933" s="79"/>
      <c r="Z933" s="79"/>
    </row>
    <row r="934" spans="1:26" ht="12.75" customHeight="1">
      <c r="A934" s="73"/>
      <c r="B934" s="73"/>
      <c r="C934" s="80"/>
      <c r="D934" s="79"/>
      <c r="E934" s="79"/>
      <c r="F934" s="81"/>
      <c r="G934" s="81"/>
      <c r="H934" s="79"/>
      <c r="I934" s="79"/>
      <c r="J934" s="79"/>
      <c r="K934" s="79"/>
      <c r="L934" s="79"/>
      <c r="M934" s="79"/>
      <c r="N934" s="79"/>
      <c r="O934" s="79"/>
      <c r="P934" s="79"/>
      <c r="Q934" s="79"/>
      <c r="R934" s="79"/>
      <c r="S934" s="79"/>
      <c r="T934" s="79"/>
      <c r="U934" s="79"/>
      <c r="V934" s="79"/>
      <c r="W934" s="79"/>
      <c r="X934" s="79"/>
      <c r="Y934" s="79"/>
      <c r="Z934" s="79"/>
    </row>
    <row r="935" spans="1:26" ht="12.75" customHeight="1">
      <c r="A935" s="73"/>
      <c r="B935" s="73"/>
      <c r="C935" s="80"/>
      <c r="D935" s="79"/>
      <c r="E935" s="79"/>
      <c r="F935" s="81"/>
      <c r="G935" s="81"/>
      <c r="H935" s="79"/>
      <c r="I935" s="79"/>
      <c r="J935" s="79"/>
      <c r="K935" s="79"/>
      <c r="L935" s="79"/>
      <c r="M935" s="79"/>
      <c r="N935" s="79"/>
      <c r="O935" s="79"/>
      <c r="P935" s="79"/>
      <c r="Q935" s="79"/>
      <c r="R935" s="79"/>
      <c r="S935" s="79"/>
      <c r="T935" s="79"/>
      <c r="U935" s="79"/>
      <c r="V935" s="79"/>
      <c r="W935" s="79"/>
      <c r="X935" s="79"/>
      <c r="Y935" s="79"/>
      <c r="Z935" s="79"/>
    </row>
    <row r="936" spans="1:26" ht="12.75" customHeight="1">
      <c r="A936" s="73"/>
      <c r="B936" s="73"/>
      <c r="C936" s="80"/>
      <c r="D936" s="79"/>
      <c r="E936" s="79"/>
      <c r="F936" s="81"/>
      <c r="G936" s="81"/>
      <c r="H936" s="79"/>
      <c r="I936" s="79"/>
      <c r="J936" s="79"/>
      <c r="K936" s="79"/>
      <c r="L936" s="79"/>
      <c r="M936" s="79"/>
      <c r="N936" s="79"/>
      <c r="O936" s="79"/>
      <c r="P936" s="79"/>
      <c r="Q936" s="79"/>
      <c r="R936" s="79"/>
      <c r="S936" s="79"/>
      <c r="T936" s="79"/>
      <c r="U936" s="79"/>
      <c r="V936" s="79"/>
      <c r="W936" s="79"/>
      <c r="X936" s="79"/>
      <c r="Y936" s="79"/>
      <c r="Z936" s="79"/>
    </row>
    <row r="937" spans="1:26" ht="12.75" customHeight="1">
      <c r="A937" s="73"/>
      <c r="B937" s="73"/>
      <c r="C937" s="80"/>
      <c r="D937" s="79"/>
      <c r="E937" s="79"/>
      <c r="F937" s="81"/>
      <c r="G937" s="81"/>
      <c r="H937" s="79"/>
      <c r="I937" s="79"/>
      <c r="J937" s="79"/>
      <c r="K937" s="79"/>
      <c r="L937" s="79"/>
      <c r="M937" s="79"/>
      <c r="N937" s="79"/>
      <c r="O937" s="79"/>
      <c r="P937" s="79"/>
      <c r="Q937" s="79"/>
      <c r="R937" s="79"/>
      <c r="S937" s="79"/>
      <c r="T937" s="79"/>
      <c r="U937" s="79"/>
      <c r="V937" s="79"/>
      <c r="W937" s="79"/>
      <c r="X937" s="79"/>
      <c r="Y937" s="79"/>
      <c r="Z937" s="79"/>
    </row>
    <row r="938" spans="1:26" ht="12.75" customHeight="1">
      <c r="A938" s="73"/>
      <c r="B938" s="73"/>
      <c r="C938" s="80"/>
      <c r="D938" s="79"/>
      <c r="E938" s="79"/>
      <c r="F938" s="81"/>
      <c r="G938" s="81"/>
      <c r="H938" s="79"/>
      <c r="I938" s="79"/>
      <c r="J938" s="79"/>
      <c r="K938" s="79"/>
      <c r="L938" s="79"/>
      <c r="M938" s="79"/>
      <c r="N938" s="79"/>
      <c r="O938" s="79"/>
      <c r="P938" s="79"/>
      <c r="Q938" s="79"/>
      <c r="R938" s="79"/>
      <c r="S938" s="79"/>
      <c r="T938" s="79"/>
      <c r="U938" s="79"/>
      <c r="V938" s="79"/>
      <c r="W938" s="79"/>
      <c r="X938" s="79"/>
      <c r="Y938" s="79"/>
      <c r="Z938" s="79"/>
    </row>
    <row r="939" spans="1:26" ht="12.75" customHeight="1">
      <c r="A939" s="73"/>
      <c r="B939" s="73"/>
      <c r="C939" s="80"/>
      <c r="D939" s="79"/>
      <c r="E939" s="79"/>
      <c r="F939" s="81"/>
      <c r="G939" s="81"/>
      <c r="H939" s="79"/>
      <c r="I939" s="79"/>
      <c r="J939" s="79"/>
      <c r="K939" s="79"/>
      <c r="L939" s="79"/>
      <c r="M939" s="79"/>
      <c r="N939" s="79"/>
      <c r="O939" s="79"/>
      <c r="P939" s="79"/>
      <c r="Q939" s="79"/>
      <c r="R939" s="79"/>
      <c r="S939" s="79"/>
      <c r="T939" s="79"/>
      <c r="U939" s="79"/>
      <c r="V939" s="79"/>
      <c r="W939" s="79"/>
      <c r="X939" s="79"/>
      <c r="Y939" s="79"/>
      <c r="Z939" s="79"/>
    </row>
    <row r="940" spans="1:26" ht="12.75" customHeight="1">
      <c r="A940" s="73"/>
      <c r="B940" s="73"/>
      <c r="C940" s="80"/>
      <c r="D940" s="79"/>
      <c r="E940" s="79"/>
      <c r="F940" s="81"/>
      <c r="G940" s="81"/>
      <c r="H940" s="79"/>
      <c r="I940" s="79"/>
      <c r="J940" s="79"/>
      <c r="K940" s="79"/>
      <c r="L940" s="79"/>
      <c r="M940" s="79"/>
      <c r="N940" s="79"/>
      <c r="O940" s="79"/>
      <c r="P940" s="79"/>
      <c r="Q940" s="79"/>
      <c r="R940" s="79"/>
      <c r="S940" s="79"/>
      <c r="T940" s="79"/>
      <c r="U940" s="79"/>
      <c r="V940" s="79"/>
      <c r="W940" s="79"/>
      <c r="X940" s="79"/>
      <c r="Y940" s="79"/>
      <c r="Z940" s="79"/>
    </row>
    <row r="941" spans="1:26" ht="12.75" customHeight="1">
      <c r="A941" s="73"/>
      <c r="B941" s="73"/>
      <c r="C941" s="80"/>
      <c r="D941" s="79"/>
      <c r="E941" s="79"/>
      <c r="F941" s="81"/>
      <c r="G941" s="81"/>
      <c r="H941" s="79"/>
      <c r="I941" s="79"/>
      <c r="J941" s="79"/>
      <c r="K941" s="79"/>
      <c r="L941" s="79"/>
      <c r="M941" s="79"/>
      <c r="N941" s="79"/>
      <c r="O941" s="79"/>
      <c r="P941" s="79"/>
      <c r="Q941" s="79"/>
      <c r="R941" s="79"/>
      <c r="S941" s="79"/>
      <c r="T941" s="79"/>
      <c r="U941" s="79"/>
      <c r="V941" s="79"/>
      <c r="W941" s="79"/>
      <c r="X941" s="79"/>
      <c r="Y941" s="79"/>
      <c r="Z941" s="79"/>
    </row>
    <row r="942" spans="1:26" ht="12.75" customHeight="1">
      <c r="A942" s="73"/>
      <c r="B942" s="73"/>
      <c r="C942" s="80"/>
      <c r="D942" s="79"/>
      <c r="E942" s="79"/>
      <c r="F942" s="81"/>
      <c r="G942" s="81"/>
      <c r="H942" s="79"/>
      <c r="I942" s="79"/>
      <c r="J942" s="79"/>
      <c r="K942" s="79"/>
      <c r="L942" s="79"/>
      <c r="M942" s="79"/>
      <c r="N942" s="79"/>
      <c r="O942" s="79"/>
      <c r="P942" s="79"/>
      <c r="Q942" s="79"/>
      <c r="R942" s="79"/>
      <c r="S942" s="79"/>
      <c r="T942" s="79"/>
      <c r="U942" s="79"/>
      <c r="V942" s="79"/>
      <c r="W942" s="79"/>
      <c r="X942" s="79"/>
      <c r="Y942" s="79"/>
      <c r="Z942" s="79"/>
    </row>
    <row r="943" spans="1:26" ht="12.75" customHeight="1">
      <c r="A943" s="73"/>
      <c r="B943" s="73"/>
      <c r="C943" s="80"/>
      <c r="D943" s="79"/>
      <c r="E943" s="79"/>
      <c r="F943" s="81"/>
      <c r="G943" s="81"/>
      <c r="H943" s="79"/>
      <c r="I943" s="79"/>
      <c r="J943" s="79"/>
      <c r="K943" s="79"/>
      <c r="L943" s="79"/>
      <c r="M943" s="79"/>
      <c r="N943" s="79"/>
      <c r="O943" s="79"/>
      <c r="P943" s="79"/>
      <c r="Q943" s="79"/>
      <c r="R943" s="79"/>
      <c r="S943" s="79"/>
      <c r="T943" s="79"/>
      <c r="U943" s="79"/>
      <c r="V943" s="79"/>
      <c r="W943" s="79"/>
      <c r="X943" s="79"/>
      <c r="Y943" s="79"/>
      <c r="Z943" s="79"/>
    </row>
    <row r="944" spans="1:26" ht="12.75" customHeight="1">
      <c r="A944" s="73"/>
      <c r="B944" s="73"/>
      <c r="C944" s="80"/>
      <c r="D944" s="79"/>
      <c r="E944" s="79"/>
      <c r="F944" s="81"/>
      <c r="G944" s="81"/>
      <c r="H944" s="79"/>
      <c r="I944" s="79"/>
      <c r="J944" s="79"/>
      <c r="K944" s="79"/>
      <c r="L944" s="79"/>
      <c r="M944" s="79"/>
      <c r="N944" s="79"/>
      <c r="O944" s="79"/>
      <c r="P944" s="79"/>
      <c r="Q944" s="79"/>
      <c r="R944" s="79"/>
      <c r="S944" s="79"/>
      <c r="T944" s="79"/>
      <c r="U944" s="79"/>
      <c r="V944" s="79"/>
      <c r="W944" s="79"/>
      <c r="X944" s="79"/>
      <c r="Y944" s="79"/>
      <c r="Z944" s="79"/>
    </row>
    <row r="945" spans="1:26" ht="12.75" customHeight="1">
      <c r="A945" s="73"/>
      <c r="B945" s="73"/>
      <c r="C945" s="80"/>
      <c r="D945" s="79"/>
      <c r="E945" s="79"/>
      <c r="F945" s="81"/>
      <c r="G945" s="81"/>
      <c r="H945" s="79"/>
      <c r="I945" s="79"/>
      <c r="J945" s="79"/>
      <c r="K945" s="79"/>
      <c r="L945" s="79"/>
      <c r="M945" s="79"/>
      <c r="N945" s="79"/>
      <c r="O945" s="79"/>
      <c r="P945" s="79"/>
      <c r="Q945" s="79"/>
      <c r="R945" s="79"/>
      <c r="S945" s="79"/>
      <c r="T945" s="79"/>
      <c r="U945" s="79"/>
      <c r="V945" s="79"/>
      <c r="W945" s="79"/>
      <c r="X945" s="79"/>
      <c r="Y945" s="79"/>
      <c r="Z945" s="79"/>
    </row>
    <row r="946" spans="1:26" ht="12.75" customHeight="1">
      <c r="A946" s="73"/>
      <c r="B946" s="73"/>
      <c r="C946" s="80"/>
      <c r="D946" s="79"/>
      <c r="E946" s="79"/>
      <c r="F946" s="81"/>
      <c r="G946" s="81"/>
      <c r="H946" s="79"/>
      <c r="I946" s="79"/>
      <c r="J946" s="79"/>
      <c r="K946" s="79"/>
      <c r="L946" s="79"/>
      <c r="M946" s="79"/>
      <c r="N946" s="79"/>
      <c r="O946" s="79"/>
      <c r="P946" s="79"/>
      <c r="Q946" s="79"/>
      <c r="R946" s="79"/>
      <c r="S946" s="79"/>
      <c r="T946" s="79"/>
      <c r="U946" s="79"/>
      <c r="V946" s="79"/>
      <c r="W946" s="79"/>
      <c r="X946" s="79"/>
      <c r="Y946" s="79"/>
      <c r="Z946" s="79"/>
    </row>
    <row r="947" spans="1:26" ht="12.75" customHeight="1">
      <c r="A947" s="73"/>
      <c r="B947" s="73"/>
      <c r="C947" s="80"/>
      <c r="D947" s="79"/>
      <c r="E947" s="79"/>
      <c r="F947" s="81"/>
      <c r="G947" s="81"/>
      <c r="H947" s="79"/>
      <c r="I947" s="79"/>
      <c r="J947" s="79"/>
      <c r="K947" s="79"/>
      <c r="L947" s="79"/>
      <c r="M947" s="79"/>
      <c r="N947" s="79"/>
      <c r="O947" s="79"/>
      <c r="P947" s="79"/>
      <c r="Q947" s="79"/>
      <c r="R947" s="79"/>
      <c r="S947" s="79"/>
      <c r="T947" s="79"/>
      <c r="U947" s="79"/>
      <c r="V947" s="79"/>
      <c r="W947" s="79"/>
      <c r="X947" s="79"/>
      <c r="Y947" s="79"/>
      <c r="Z947" s="79"/>
    </row>
    <row r="948" spans="1:26" ht="12.75" customHeight="1">
      <c r="A948" s="73"/>
      <c r="B948" s="73"/>
      <c r="C948" s="80"/>
      <c r="D948" s="79"/>
      <c r="E948" s="79"/>
      <c r="F948" s="81"/>
      <c r="G948" s="81"/>
      <c r="H948" s="79"/>
      <c r="I948" s="79"/>
      <c r="J948" s="79"/>
      <c r="K948" s="79"/>
      <c r="L948" s="79"/>
      <c r="M948" s="79"/>
      <c r="N948" s="79"/>
      <c r="O948" s="79"/>
      <c r="P948" s="79"/>
      <c r="Q948" s="79"/>
      <c r="R948" s="79"/>
      <c r="S948" s="79"/>
      <c r="T948" s="79"/>
      <c r="U948" s="79"/>
      <c r="V948" s="79"/>
      <c r="W948" s="79"/>
      <c r="X948" s="79"/>
      <c r="Y948" s="79"/>
      <c r="Z948" s="79"/>
    </row>
    <row r="949" spans="1:26" ht="12.75" customHeight="1">
      <c r="A949" s="73"/>
      <c r="B949" s="73"/>
      <c r="C949" s="80"/>
      <c r="D949" s="79"/>
      <c r="E949" s="79"/>
      <c r="F949" s="81"/>
      <c r="G949" s="81"/>
      <c r="H949" s="79"/>
      <c r="I949" s="79"/>
      <c r="J949" s="79"/>
      <c r="K949" s="79"/>
      <c r="L949" s="79"/>
      <c r="M949" s="79"/>
      <c r="N949" s="79"/>
      <c r="O949" s="79"/>
      <c r="P949" s="79"/>
      <c r="Q949" s="79"/>
      <c r="R949" s="79"/>
      <c r="S949" s="79"/>
      <c r="T949" s="79"/>
      <c r="U949" s="79"/>
      <c r="V949" s="79"/>
      <c r="W949" s="79"/>
      <c r="X949" s="79"/>
      <c r="Y949" s="79"/>
      <c r="Z949" s="79"/>
    </row>
    <row r="950" spans="1:26" ht="12.75" customHeight="1">
      <c r="A950" s="73"/>
      <c r="B950" s="73"/>
      <c r="C950" s="80"/>
      <c r="D950" s="79"/>
      <c r="E950" s="79"/>
      <c r="F950" s="81"/>
      <c r="G950" s="81"/>
      <c r="H950" s="79"/>
      <c r="I950" s="79"/>
      <c r="J950" s="79"/>
      <c r="K950" s="79"/>
      <c r="L950" s="79"/>
      <c r="M950" s="79"/>
      <c r="N950" s="79"/>
      <c r="O950" s="79"/>
      <c r="P950" s="79"/>
      <c r="Q950" s="79"/>
      <c r="R950" s="79"/>
      <c r="S950" s="79"/>
      <c r="T950" s="79"/>
      <c r="U950" s="79"/>
      <c r="V950" s="79"/>
      <c r="W950" s="79"/>
      <c r="X950" s="79"/>
      <c r="Y950" s="79"/>
      <c r="Z950" s="79"/>
    </row>
    <row r="951" spans="1:26" ht="12.75" customHeight="1">
      <c r="A951" s="73"/>
      <c r="B951" s="73"/>
      <c r="C951" s="80"/>
      <c r="D951" s="79"/>
      <c r="E951" s="79"/>
      <c r="F951" s="81"/>
      <c r="G951" s="81"/>
      <c r="H951" s="79"/>
      <c r="I951" s="79"/>
      <c r="J951" s="79"/>
      <c r="K951" s="79"/>
      <c r="L951" s="79"/>
      <c r="M951" s="79"/>
      <c r="N951" s="79"/>
      <c r="O951" s="79"/>
      <c r="P951" s="79"/>
      <c r="Q951" s="79"/>
      <c r="R951" s="79"/>
      <c r="S951" s="79"/>
      <c r="T951" s="79"/>
      <c r="U951" s="79"/>
      <c r="V951" s="79"/>
      <c r="W951" s="79"/>
      <c r="X951" s="79"/>
      <c r="Y951" s="79"/>
      <c r="Z951" s="79"/>
    </row>
    <row r="952" spans="1:26" ht="12.75" customHeight="1">
      <c r="A952" s="73"/>
      <c r="B952" s="73"/>
      <c r="C952" s="80"/>
      <c r="D952" s="79"/>
      <c r="E952" s="79"/>
      <c r="F952" s="81"/>
      <c r="G952" s="81"/>
      <c r="H952" s="79"/>
      <c r="I952" s="79"/>
      <c r="J952" s="79"/>
      <c r="K952" s="79"/>
      <c r="L952" s="79"/>
      <c r="M952" s="79"/>
      <c r="N952" s="79"/>
      <c r="O952" s="79"/>
      <c r="P952" s="79"/>
      <c r="Q952" s="79"/>
      <c r="R952" s="79"/>
      <c r="S952" s="79"/>
      <c r="T952" s="79"/>
      <c r="U952" s="79"/>
      <c r="V952" s="79"/>
      <c r="W952" s="79"/>
      <c r="X952" s="79"/>
      <c r="Y952" s="79"/>
      <c r="Z952" s="79"/>
    </row>
    <row r="953" spans="1:26" ht="12.75" customHeight="1">
      <c r="A953" s="73"/>
      <c r="B953" s="73"/>
      <c r="C953" s="80"/>
      <c r="D953" s="79"/>
      <c r="E953" s="79"/>
      <c r="F953" s="81"/>
      <c r="G953" s="81"/>
      <c r="H953" s="79"/>
      <c r="I953" s="79"/>
      <c r="J953" s="79"/>
      <c r="K953" s="79"/>
      <c r="L953" s="79"/>
      <c r="M953" s="79"/>
      <c r="N953" s="79"/>
      <c r="O953" s="79"/>
      <c r="P953" s="79"/>
      <c r="Q953" s="79"/>
      <c r="R953" s="79"/>
      <c r="S953" s="79"/>
      <c r="T953" s="79"/>
      <c r="U953" s="79"/>
      <c r="V953" s="79"/>
      <c r="W953" s="79"/>
      <c r="X953" s="79"/>
      <c r="Y953" s="79"/>
      <c r="Z953" s="79"/>
    </row>
    <row r="954" spans="1:26" ht="12.75" customHeight="1">
      <c r="A954" s="73"/>
      <c r="B954" s="73"/>
      <c r="C954" s="80"/>
      <c r="D954" s="79"/>
      <c r="E954" s="79"/>
      <c r="F954" s="81"/>
      <c r="G954" s="81"/>
      <c r="H954" s="79"/>
      <c r="I954" s="79"/>
      <c r="J954" s="79"/>
      <c r="K954" s="79"/>
      <c r="L954" s="79"/>
      <c r="M954" s="79"/>
      <c r="N954" s="79"/>
      <c r="O954" s="79"/>
      <c r="P954" s="79"/>
      <c r="Q954" s="79"/>
      <c r="R954" s="79"/>
      <c r="S954" s="79"/>
      <c r="T954" s="79"/>
      <c r="U954" s="79"/>
      <c r="V954" s="79"/>
      <c r="W954" s="79"/>
      <c r="X954" s="79"/>
      <c r="Y954" s="79"/>
      <c r="Z954" s="79"/>
    </row>
    <row r="955" spans="1:26" ht="12.75" customHeight="1">
      <c r="A955" s="73"/>
      <c r="B955" s="73"/>
      <c r="C955" s="80"/>
      <c r="D955" s="79"/>
      <c r="E955" s="79"/>
      <c r="F955" s="81"/>
      <c r="G955" s="81"/>
      <c r="H955" s="79"/>
      <c r="I955" s="79"/>
      <c r="J955" s="79"/>
      <c r="K955" s="79"/>
      <c r="L955" s="79"/>
      <c r="M955" s="79"/>
      <c r="N955" s="79"/>
      <c r="O955" s="79"/>
      <c r="P955" s="79"/>
      <c r="Q955" s="79"/>
      <c r="R955" s="79"/>
      <c r="S955" s="79"/>
      <c r="T955" s="79"/>
      <c r="U955" s="79"/>
      <c r="V955" s="79"/>
      <c r="W955" s="79"/>
      <c r="X955" s="79"/>
      <c r="Y955" s="79"/>
      <c r="Z955" s="79"/>
    </row>
    <row r="956" spans="1:26" ht="12.75" customHeight="1">
      <c r="A956" s="73"/>
      <c r="B956" s="73"/>
      <c r="C956" s="80"/>
      <c r="D956" s="79"/>
      <c r="E956" s="79"/>
      <c r="F956" s="81"/>
      <c r="G956" s="81"/>
      <c r="H956" s="79"/>
      <c r="I956" s="79"/>
      <c r="J956" s="79"/>
      <c r="K956" s="79"/>
      <c r="L956" s="79"/>
      <c r="M956" s="79"/>
      <c r="N956" s="79"/>
      <c r="O956" s="79"/>
      <c r="P956" s="79"/>
      <c r="Q956" s="79"/>
      <c r="R956" s="79"/>
      <c r="S956" s="79"/>
      <c r="T956" s="79"/>
      <c r="U956" s="79"/>
      <c r="V956" s="79"/>
      <c r="W956" s="79"/>
      <c r="X956" s="79"/>
      <c r="Y956" s="79"/>
      <c r="Z956" s="79"/>
    </row>
    <row r="957" spans="1:26" ht="12.75" customHeight="1">
      <c r="A957" s="73"/>
      <c r="B957" s="73"/>
      <c r="C957" s="80"/>
      <c r="D957" s="79"/>
      <c r="E957" s="79"/>
      <c r="F957" s="81"/>
      <c r="G957" s="81"/>
      <c r="H957" s="79"/>
      <c r="I957" s="79"/>
      <c r="J957" s="79"/>
      <c r="K957" s="79"/>
      <c r="L957" s="79"/>
      <c r="M957" s="79"/>
      <c r="N957" s="79"/>
      <c r="O957" s="79"/>
      <c r="P957" s="79"/>
      <c r="Q957" s="79"/>
      <c r="R957" s="79"/>
      <c r="S957" s="79"/>
      <c r="T957" s="79"/>
      <c r="U957" s="79"/>
      <c r="V957" s="79"/>
      <c r="W957" s="79"/>
      <c r="X957" s="79"/>
      <c r="Y957" s="79"/>
      <c r="Z957" s="79"/>
    </row>
    <row r="958" spans="1:26" ht="12.75" customHeight="1">
      <c r="A958" s="73"/>
      <c r="B958" s="73"/>
      <c r="C958" s="80"/>
      <c r="D958" s="79"/>
      <c r="E958" s="79"/>
      <c r="F958" s="81"/>
      <c r="G958" s="81"/>
      <c r="H958" s="79"/>
      <c r="I958" s="79"/>
      <c r="J958" s="79"/>
      <c r="K958" s="79"/>
      <c r="L958" s="79"/>
      <c r="M958" s="79"/>
      <c r="N958" s="79"/>
      <c r="O958" s="79"/>
      <c r="P958" s="79"/>
      <c r="Q958" s="79"/>
      <c r="R958" s="79"/>
      <c r="S958" s="79"/>
      <c r="T958" s="79"/>
      <c r="U958" s="79"/>
      <c r="V958" s="79"/>
      <c r="W958" s="79"/>
      <c r="X958" s="79"/>
      <c r="Y958" s="79"/>
      <c r="Z958" s="79"/>
    </row>
    <row r="959" spans="1:26" ht="12.75" customHeight="1">
      <c r="A959" s="73"/>
      <c r="B959" s="73"/>
      <c r="C959" s="80"/>
      <c r="D959" s="79"/>
      <c r="E959" s="79"/>
      <c r="F959" s="81"/>
      <c r="G959" s="81"/>
      <c r="H959" s="79"/>
      <c r="I959" s="79"/>
      <c r="J959" s="79"/>
      <c r="K959" s="79"/>
      <c r="L959" s="79"/>
      <c r="M959" s="79"/>
      <c r="N959" s="79"/>
      <c r="O959" s="79"/>
      <c r="P959" s="79"/>
      <c r="Q959" s="79"/>
      <c r="R959" s="79"/>
      <c r="S959" s="79"/>
      <c r="T959" s="79"/>
      <c r="U959" s="79"/>
      <c r="V959" s="79"/>
      <c r="W959" s="79"/>
      <c r="X959" s="79"/>
      <c r="Y959" s="79"/>
      <c r="Z959" s="79"/>
    </row>
    <row r="960" spans="1:26" ht="12.75" customHeight="1">
      <c r="A960" s="73"/>
      <c r="B960" s="73"/>
      <c r="C960" s="80"/>
      <c r="D960" s="79"/>
      <c r="E960" s="79"/>
      <c r="F960" s="81"/>
      <c r="G960" s="81"/>
      <c r="H960" s="79"/>
      <c r="I960" s="79"/>
      <c r="J960" s="79"/>
      <c r="K960" s="79"/>
      <c r="L960" s="79"/>
      <c r="M960" s="79"/>
      <c r="N960" s="79"/>
      <c r="O960" s="79"/>
      <c r="P960" s="79"/>
      <c r="Q960" s="79"/>
      <c r="R960" s="79"/>
      <c r="S960" s="79"/>
      <c r="T960" s="79"/>
      <c r="U960" s="79"/>
      <c r="V960" s="79"/>
      <c r="W960" s="79"/>
      <c r="X960" s="79"/>
      <c r="Y960" s="79"/>
      <c r="Z960" s="79"/>
    </row>
    <row r="961" spans="1:26" ht="12.75" customHeight="1">
      <c r="A961" s="73"/>
      <c r="B961" s="73"/>
      <c r="C961" s="80"/>
      <c r="D961" s="79"/>
      <c r="E961" s="79"/>
      <c r="F961" s="81"/>
      <c r="G961" s="81"/>
      <c r="H961" s="79"/>
      <c r="I961" s="79"/>
      <c r="J961" s="79"/>
      <c r="K961" s="79"/>
      <c r="L961" s="79"/>
      <c r="M961" s="79"/>
      <c r="N961" s="79"/>
      <c r="O961" s="79"/>
      <c r="P961" s="79"/>
      <c r="Q961" s="79"/>
      <c r="R961" s="79"/>
      <c r="S961" s="79"/>
      <c r="T961" s="79"/>
      <c r="U961" s="79"/>
      <c r="V961" s="79"/>
      <c r="W961" s="79"/>
      <c r="X961" s="79"/>
      <c r="Y961" s="79"/>
      <c r="Z961" s="79"/>
    </row>
    <row r="962" spans="1:26" ht="12.75" customHeight="1">
      <c r="A962" s="73"/>
      <c r="B962" s="73"/>
      <c r="C962" s="80"/>
      <c r="D962" s="79"/>
      <c r="E962" s="79"/>
      <c r="F962" s="81"/>
      <c r="G962" s="81"/>
      <c r="H962" s="79"/>
      <c r="I962" s="79"/>
      <c r="J962" s="79"/>
      <c r="K962" s="79"/>
      <c r="L962" s="79"/>
      <c r="M962" s="79"/>
      <c r="N962" s="79"/>
      <c r="O962" s="79"/>
      <c r="P962" s="79"/>
      <c r="Q962" s="79"/>
      <c r="R962" s="79"/>
      <c r="S962" s="79"/>
      <c r="T962" s="79"/>
      <c r="U962" s="79"/>
      <c r="V962" s="79"/>
      <c r="W962" s="79"/>
      <c r="X962" s="79"/>
      <c r="Y962" s="79"/>
      <c r="Z962" s="79"/>
    </row>
    <row r="963" spans="1:26" ht="12.75" customHeight="1">
      <c r="A963" s="73"/>
      <c r="B963" s="73"/>
      <c r="C963" s="80"/>
      <c r="D963" s="79"/>
      <c r="E963" s="79"/>
      <c r="F963" s="81"/>
      <c r="G963" s="81"/>
      <c r="H963" s="79"/>
      <c r="I963" s="79"/>
      <c r="J963" s="79"/>
      <c r="K963" s="79"/>
      <c r="L963" s="79"/>
      <c r="M963" s="79"/>
      <c r="N963" s="79"/>
      <c r="O963" s="79"/>
      <c r="P963" s="79"/>
      <c r="Q963" s="79"/>
      <c r="R963" s="79"/>
      <c r="S963" s="79"/>
      <c r="T963" s="79"/>
      <c r="U963" s="79"/>
      <c r="V963" s="79"/>
      <c r="W963" s="79"/>
      <c r="X963" s="79"/>
      <c r="Y963" s="79"/>
      <c r="Z963" s="79"/>
    </row>
    <row r="964" spans="1:26" ht="12.75" customHeight="1">
      <c r="A964" s="73"/>
      <c r="B964" s="73"/>
      <c r="C964" s="80"/>
      <c r="D964" s="79"/>
      <c r="E964" s="79"/>
      <c r="F964" s="81"/>
      <c r="G964" s="81"/>
      <c r="H964" s="79"/>
      <c r="I964" s="79"/>
      <c r="J964" s="79"/>
      <c r="K964" s="79"/>
      <c r="L964" s="79"/>
      <c r="M964" s="79"/>
      <c r="N964" s="79"/>
      <c r="O964" s="79"/>
      <c r="P964" s="79"/>
      <c r="Q964" s="79"/>
      <c r="R964" s="79"/>
      <c r="S964" s="79"/>
      <c r="T964" s="79"/>
      <c r="U964" s="79"/>
      <c r="V964" s="79"/>
      <c r="W964" s="79"/>
      <c r="X964" s="79"/>
      <c r="Y964" s="79"/>
      <c r="Z964" s="79"/>
    </row>
    <row r="965" spans="1:26" ht="12.75" customHeight="1">
      <c r="A965" s="73"/>
      <c r="B965" s="73"/>
      <c r="C965" s="80"/>
      <c r="D965" s="79"/>
      <c r="E965" s="79"/>
      <c r="F965" s="81"/>
      <c r="G965" s="81"/>
      <c r="H965" s="79"/>
      <c r="I965" s="79"/>
      <c r="J965" s="79"/>
      <c r="K965" s="79"/>
      <c r="L965" s="79"/>
      <c r="M965" s="79"/>
      <c r="N965" s="79"/>
      <c r="O965" s="79"/>
      <c r="P965" s="79"/>
      <c r="Q965" s="79"/>
      <c r="R965" s="79"/>
      <c r="S965" s="79"/>
      <c r="T965" s="79"/>
      <c r="U965" s="79"/>
      <c r="V965" s="79"/>
      <c r="W965" s="79"/>
      <c r="X965" s="79"/>
      <c r="Y965" s="79"/>
      <c r="Z965" s="79"/>
    </row>
    <row r="966" spans="1:26" ht="12.75" customHeight="1">
      <c r="A966" s="73"/>
      <c r="B966" s="73"/>
      <c r="C966" s="80"/>
      <c r="D966" s="79"/>
      <c r="E966" s="79"/>
      <c r="F966" s="81"/>
      <c r="G966" s="81"/>
      <c r="H966" s="79"/>
      <c r="I966" s="79"/>
      <c r="J966" s="79"/>
      <c r="K966" s="79"/>
      <c r="L966" s="79"/>
      <c r="M966" s="79"/>
      <c r="N966" s="79"/>
      <c r="O966" s="79"/>
      <c r="P966" s="79"/>
      <c r="Q966" s="79"/>
      <c r="R966" s="79"/>
      <c r="S966" s="79"/>
      <c r="T966" s="79"/>
      <c r="U966" s="79"/>
      <c r="V966" s="79"/>
      <c r="W966" s="79"/>
      <c r="X966" s="79"/>
      <c r="Y966" s="79"/>
      <c r="Z966" s="79"/>
    </row>
    <row r="967" spans="1:26" ht="12.75" customHeight="1">
      <c r="A967" s="73"/>
      <c r="B967" s="73"/>
      <c r="C967" s="80"/>
      <c r="D967" s="79"/>
      <c r="E967" s="79"/>
      <c r="F967" s="81"/>
      <c r="G967" s="81"/>
      <c r="H967" s="79"/>
      <c r="I967" s="79"/>
      <c r="J967" s="79"/>
      <c r="K967" s="79"/>
      <c r="L967" s="79"/>
      <c r="M967" s="79"/>
      <c r="N967" s="79"/>
      <c r="O967" s="79"/>
      <c r="P967" s="79"/>
      <c r="Q967" s="79"/>
      <c r="R967" s="79"/>
      <c r="S967" s="79"/>
      <c r="T967" s="79"/>
      <c r="U967" s="79"/>
      <c r="V967" s="79"/>
      <c r="W967" s="79"/>
      <c r="X967" s="79"/>
      <c r="Y967" s="79"/>
      <c r="Z967" s="79"/>
    </row>
    <row r="968" spans="1:26" ht="12.75" customHeight="1">
      <c r="A968" s="73"/>
      <c r="B968" s="73"/>
      <c r="C968" s="80"/>
      <c r="D968" s="79"/>
      <c r="E968" s="79"/>
      <c r="F968" s="81"/>
      <c r="G968" s="81"/>
      <c r="H968" s="79"/>
      <c r="I968" s="79"/>
      <c r="J968" s="79"/>
      <c r="K968" s="79"/>
      <c r="L968" s="79"/>
      <c r="M968" s="79"/>
      <c r="N968" s="79"/>
      <c r="O968" s="79"/>
      <c r="P968" s="79"/>
      <c r="Q968" s="79"/>
      <c r="R968" s="79"/>
      <c r="S968" s="79"/>
      <c r="T968" s="79"/>
      <c r="U968" s="79"/>
      <c r="V968" s="79"/>
      <c r="W968" s="79"/>
      <c r="X968" s="79"/>
      <c r="Y968" s="79"/>
      <c r="Z968" s="79"/>
    </row>
    <row r="969" spans="1:26" ht="12.75" customHeight="1">
      <c r="A969" s="73"/>
      <c r="B969" s="73"/>
      <c r="C969" s="80"/>
      <c r="D969" s="79"/>
      <c r="E969" s="79"/>
      <c r="F969" s="81"/>
      <c r="G969" s="81"/>
      <c r="H969" s="79"/>
      <c r="I969" s="79"/>
      <c r="J969" s="79"/>
      <c r="K969" s="79"/>
      <c r="L969" s="79"/>
      <c r="M969" s="79"/>
      <c r="N969" s="79"/>
      <c r="O969" s="79"/>
      <c r="P969" s="79"/>
      <c r="Q969" s="79"/>
      <c r="R969" s="79"/>
      <c r="S969" s="79"/>
      <c r="T969" s="79"/>
      <c r="U969" s="79"/>
      <c r="V969" s="79"/>
      <c r="W969" s="79"/>
      <c r="X969" s="79"/>
      <c r="Y969" s="79"/>
      <c r="Z969" s="79"/>
    </row>
    <row r="970" spans="1:26" ht="12.75" customHeight="1">
      <c r="A970" s="73"/>
      <c r="B970" s="73"/>
      <c r="C970" s="80"/>
      <c r="D970" s="79"/>
      <c r="E970" s="79"/>
      <c r="F970" s="81"/>
      <c r="G970" s="81"/>
      <c r="H970" s="79"/>
      <c r="I970" s="79"/>
      <c r="J970" s="79"/>
      <c r="K970" s="79"/>
      <c r="L970" s="79"/>
      <c r="M970" s="79"/>
      <c r="N970" s="79"/>
      <c r="O970" s="79"/>
      <c r="P970" s="79"/>
      <c r="Q970" s="79"/>
      <c r="R970" s="79"/>
      <c r="S970" s="79"/>
      <c r="T970" s="79"/>
      <c r="U970" s="79"/>
      <c r="V970" s="79"/>
      <c r="W970" s="79"/>
      <c r="X970" s="79"/>
      <c r="Y970" s="79"/>
      <c r="Z970" s="79"/>
    </row>
    <row r="971" spans="1:26" ht="12.75" customHeight="1">
      <c r="A971" s="73"/>
      <c r="B971" s="73"/>
      <c r="C971" s="80"/>
      <c r="D971" s="79"/>
      <c r="E971" s="79"/>
      <c r="F971" s="81"/>
      <c r="G971" s="81"/>
      <c r="H971" s="79"/>
      <c r="I971" s="79"/>
      <c r="J971" s="79"/>
      <c r="K971" s="79"/>
      <c r="L971" s="79"/>
      <c r="M971" s="79"/>
      <c r="N971" s="79"/>
      <c r="O971" s="79"/>
      <c r="P971" s="79"/>
      <c r="Q971" s="79"/>
      <c r="R971" s="79"/>
      <c r="S971" s="79"/>
      <c r="T971" s="79"/>
      <c r="U971" s="79"/>
      <c r="V971" s="79"/>
      <c r="W971" s="79"/>
      <c r="X971" s="79"/>
      <c r="Y971" s="79"/>
      <c r="Z971" s="79"/>
    </row>
    <row r="972" spans="1:26" ht="12.75" customHeight="1">
      <c r="A972" s="73"/>
      <c r="B972" s="73"/>
      <c r="C972" s="80"/>
      <c r="D972" s="79"/>
      <c r="E972" s="79"/>
      <c r="F972" s="81"/>
      <c r="G972" s="81"/>
      <c r="H972" s="79"/>
      <c r="I972" s="79"/>
      <c r="J972" s="79"/>
      <c r="K972" s="79"/>
      <c r="L972" s="79"/>
      <c r="M972" s="79"/>
      <c r="N972" s="79"/>
      <c r="O972" s="79"/>
      <c r="P972" s="79"/>
      <c r="Q972" s="79"/>
      <c r="R972" s="79"/>
      <c r="S972" s="79"/>
      <c r="T972" s="79"/>
      <c r="U972" s="79"/>
      <c r="V972" s="79"/>
      <c r="W972" s="79"/>
      <c r="X972" s="79"/>
      <c r="Y972" s="79"/>
      <c r="Z972" s="79"/>
    </row>
    <row r="973" spans="1:26" ht="12.75" customHeight="1">
      <c r="A973" s="73"/>
      <c r="B973" s="73"/>
      <c r="C973" s="80"/>
      <c r="D973" s="79"/>
      <c r="E973" s="79"/>
      <c r="F973" s="81"/>
      <c r="G973" s="81"/>
      <c r="H973" s="79"/>
      <c r="I973" s="79"/>
      <c r="J973" s="79"/>
      <c r="K973" s="79"/>
      <c r="L973" s="79"/>
      <c r="M973" s="79"/>
      <c r="N973" s="79"/>
      <c r="O973" s="79"/>
      <c r="P973" s="79"/>
      <c r="Q973" s="79"/>
      <c r="R973" s="79"/>
      <c r="S973" s="79"/>
      <c r="T973" s="79"/>
      <c r="U973" s="79"/>
      <c r="V973" s="79"/>
      <c r="W973" s="79"/>
      <c r="X973" s="79"/>
      <c r="Y973" s="79"/>
      <c r="Z973" s="79"/>
    </row>
    <row r="974" spans="1:26" ht="12.75" customHeight="1">
      <c r="A974" s="73"/>
      <c r="B974" s="73"/>
      <c r="C974" s="80"/>
      <c r="D974" s="79"/>
      <c r="E974" s="79"/>
      <c r="F974" s="81"/>
      <c r="G974" s="81"/>
      <c r="H974" s="79"/>
      <c r="I974" s="79"/>
      <c r="J974" s="79"/>
      <c r="K974" s="79"/>
      <c r="L974" s="79"/>
      <c r="M974" s="79"/>
      <c r="N974" s="79"/>
      <c r="O974" s="79"/>
      <c r="P974" s="79"/>
      <c r="Q974" s="79"/>
      <c r="R974" s="79"/>
      <c r="S974" s="79"/>
      <c r="T974" s="79"/>
      <c r="U974" s="79"/>
      <c r="V974" s="79"/>
      <c r="W974" s="79"/>
      <c r="X974" s="79"/>
      <c r="Y974" s="79"/>
      <c r="Z974" s="79"/>
    </row>
    <row r="975" spans="1:26" ht="12.75" customHeight="1">
      <c r="A975" s="73"/>
      <c r="B975" s="73"/>
      <c r="C975" s="80"/>
      <c r="D975" s="79"/>
      <c r="E975" s="79"/>
      <c r="F975" s="81"/>
      <c r="G975" s="81"/>
      <c r="H975" s="79"/>
      <c r="I975" s="79"/>
      <c r="J975" s="79"/>
      <c r="K975" s="79"/>
      <c r="L975" s="79"/>
      <c r="M975" s="79"/>
      <c r="N975" s="79"/>
      <c r="O975" s="79"/>
      <c r="P975" s="79"/>
      <c r="Q975" s="79"/>
      <c r="R975" s="79"/>
      <c r="S975" s="79"/>
      <c r="T975" s="79"/>
      <c r="U975" s="79"/>
      <c r="V975" s="79"/>
      <c r="W975" s="79"/>
      <c r="X975" s="79"/>
      <c r="Y975" s="79"/>
      <c r="Z975" s="79"/>
    </row>
    <row r="976" spans="1:26" ht="12.75" customHeight="1">
      <c r="A976" s="73"/>
      <c r="B976" s="73"/>
      <c r="C976" s="80"/>
      <c r="D976" s="79"/>
      <c r="E976" s="79"/>
      <c r="F976" s="81"/>
      <c r="G976" s="81"/>
      <c r="H976" s="79"/>
      <c r="I976" s="79"/>
      <c r="J976" s="79"/>
      <c r="K976" s="79"/>
      <c r="L976" s="79"/>
      <c r="M976" s="79"/>
      <c r="N976" s="79"/>
      <c r="O976" s="79"/>
      <c r="P976" s="79"/>
      <c r="Q976" s="79"/>
      <c r="R976" s="79"/>
      <c r="S976" s="79"/>
      <c r="T976" s="79"/>
      <c r="U976" s="79"/>
      <c r="V976" s="79"/>
      <c r="W976" s="79"/>
      <c r="X976" s="79"/>
      <c r="Y976" s="79"/>
      <c r="Z976" s="79"/>
    </row>
    <row r="977" spans="1:26" ht="12.75" customHeight="1">
      <c r="A977" s="73"/>
      <c r="B977" s="73"/>
      <c r="C977" s="80"/>
      <c r="D977" s="79"/>
      <c r="E977" s="79"/>
      <c r="F977" s="81"/>
      <c r="G977" s="81"/>
      <c r="H977" s="79"/>
      <c r="I977" s="79"/>
      <c r="J977" s="79"/>
      <c r="K977" s="79"/>
      <c r="L977" s="79"/>
      <c r="M977" s="79"/>
      <c r="N977" s="79"/>
      <c r="O977" s="79"/>
      <c r="P977" s="79"/>
      <c r="Q977" s="79"/>
      <c r="R977" s="79"/>
      <c r="S977" s="79"/>
      <c r="T977" s="79"/>
      <c r="U977" s="79"/>
      <c r="V977" s="79"/>
      <c r="W977" s="79"/>
      <c r="X977" s="79"/>
      <c r="Y977" s="79"/>
      <c r="Z977" s="79"/>
    </row>
    <row r="978" spans="1:26" ht="12.75" customHeight="1">
      <c r="A978" s="73"/>
      <c r="B978" s="73"/>
      <c r="C978" s="80"/>
      <c r="D978" s="79"/>
      <c r="E978" s="79"/>
      <c r="F978" s="81"/>
      <c r="G978" s="81"/>
      <c r="H978" s="79"/>
      <c r="I978" s="79"/>
      <c r="J978" s="79"/>
      <c r="K978" s="79"/>
      <c r="L978" s="79"/>
      <c r="M978" s="79"/>
      <c r="N978" s="79"/>
      <c r="O978" s="79"/>
      <c r="P978" s="79"/>
      <c r="Q978" s="79"/>
      <c r="R978" s="79"/>
      <c r="S978" s="79"/>
      <c r="T978" s="79"/>
      <c r="U978" s="79"/>
      <c r="V978" s="79"/>
      <c r="W978" s="79"/>
      <c r="X978" s="79"/>
      <c r="Y978" s="79"/>
      <c r="Z978" s="79"/>
    </row>
    <row r="979" spans="1:26" ht="12.75" customHeight="1">
      <c r="A979" s="73"/>
      <c r="B979" s="73"/>
      <c r="C979" s="80"/>
      <c r="D979" s="79"/>
      <c r="E979" s="79"/>
      <c r="F979" s="81"/>
      <c r="G979" s="81"/>
      <c r="H979" s="79"/>
      <c r="I979" s="79"/>
      <c r="J979" s="79"/>
      <c r="K979" s="79"/>
      <c r="L979" s="79"/>
      <c r="M979" s="79"/>
      <c r="N979" s="79"/>
      <c r="O979" s="79"/>
      <c r="P979" s="79"/>
      <c r="Q979" s="79"/>
      <c r="R979" s="79"/>
      <c r="S979" s="79"/>
      <c r="T979" s="79"/>
      <c r="U979" s="79"/>
      <c r="V979" s="79"/>
      <c r="W979" s="79"/>
      <c r="X979" s="79"/>
      <c r="Y979" s="79"/>
      <c r="Z979" s="79"/>
    </row>
    <row r="980" spans="1:26" ht="12.75" customHeight="1">
      <c r="A980" s="73"/>
      <c r="B980" s="73"/>
      <c r="C980" s="80"/>
      <c r="D980" s="79"/>
      <c r="E980" s="79"/>
      <c r="F980" s="81"/>
      <c r="G980" s="81"/>
      <c r="H980" s="79"/>
      <c r="I980" s="79"/>
      <c r="J980" s="79"/>
      <c r="K980" s="79"/>
      <c r="L980" s="79"/>
      <c r="M980" s="79"/>
      <c r="N980" s="79"/>
      <c r="O980" s="79"/>
      <c r="P980" s="79"/>
      <c r="Q980" s="79"/>
      <c r="R980" s="79"/>
      <c r="S980" s="79"/>
      <c r="T980" s="79"/>
      <c r="U980" s="79"/>
      <c r="V980" s="79"/>
      <c r="W980" s="79"/>
      <c r="X980" s="79"/>
      <c r="Y980" s="79"/>
      <c r="Z980" s="79"/>
    </row>
    <row r="981" spans="1:26" ht="12.75" customHeight="1">
      <c r="A981" s="73"/>
      <c r="B981" s="73"/>
      <c r="C981" s="80"/>
      <c r="D981" s="79"/>
      <c r="E981" s="79"/>
      <c r="F981" s="81"/>
      <c r="G981" s="81"/>
      <c r="H981" s="79"/>
      <c r="I981" s="79"/>
      <c r="J981" s="79"/>
      <c r="K981" s="79"/>
      <c r="L981" s="79"/>
      <c r="M981" s="79"/>
      <c r="N981" s="79"/>
      <c r="O981" s="79"/>
      <c r="P981" s="79"/>
      <c r="Q981" s="79"/>
      <c r="R981" s="79"/>
      <c r="S981" s="79"/>
      <c r="T981" s="79"/>
      <c r="U981" s="79"/>
      <c r="V981" s="79"/>
      <c r="W981" s="79"/>
      <c r="X981" s="79"/>
      <c r="Y981" s="79"/>
      <c r="Z981" s="79"/>
    </row>
    <row r="982" spans="1:26" ht="12.75" customHeight="1">
      <c r="A982" s="73"/>
      <c r="B982" s="73"/>
      <c r="C982" s="80"/>
      <c r="D982" s="79"/>
      <c r="E982" s="79"/>
      <c r="F982" s="81"/>
      <c r="G982" s="81"/>
      <c r="H982" s="79"/>
      <c r="I982" s="79"/>
      <c r="J982" s="79"/>
      <c r="K982" s="79"/>
      <c r="L982" s="79"/>
      <c r="M982" s="79"/>
      <c r="N982" s="79"/>
      <c r="O982" s="79"/>
      <c r="P982" s="79"/>
      <c r="Q982" s="79"/>
      <c r="R982" s="79"/>
      <c r="S982" s="79"/>
      <c r="T982" s="79"/>
      <c r="U982" s="79"/>
      <c r="V982" s="79"/>
      <c r="W982" s="79"/>
      <c r="X982" s="79"/>
      <c r="Y982" s="79"/>
      <c r="Z982" s="79"/>
    </row>
    <row r="983" spans="1:26" ht="12.75" customHeight="1">
      <c r="A983" s="73"/>
      <c r="B983" s="73"/>
      <c r="C983" s="80"/>
      <c r="D983" s="79"/>
      <c r="E983" s="79"/>
      <c r="F983" s="81"/>
      <c r="G983" s="81"/>
      <c r="H983" s="79"/>
      <c r="I983" s="79"/>
      <c r="J983" s="79"/>
      <c r="K983" s="79"/>
      <c r="L983" s="79"/>
      <c r="M983" s="79"/>
      <c r="N983" s="79"/>
      <c r="O983" s="79"/>
      <c r="P983" s="79"/>
      <c r="Q983" s="79"/>
      <c r="R983" s="79"/>
      <c r="S983" s="79"/>
      <c r="T983" s="79"/>
      <c r="U983" s="79"/>
      <c r="V983" s="79"/>
      <c r="W983" s="79"/>
      <c r="X983" s="79"/>
      <c r="Y983" s="79"/>
      <c r="Z983" s="79"/>
    </row>
    <row r="984" spans="1:26" ht="12.75" customHeight="1">
      <c r="A984" s="73"/>
      <c r="B984" s="73"/>
      <c r="C984" s="80"/>
      <c r="D984" s="79"/>
      <c r="E984" s="79"/>
      <c r="F984" s="81"/>
      <c r="G984" s="81"/>
      <c r="H984" s="79"/>
      <c r="I984" s="79"/>
      <c r="J984" s="79"/>
      <c r="K984" s="79"/>
      <c r="L984" s="79"/>
      <c r="M984" s="79"/>
      <c r="N984" s="79"/>
      <c r="O984" s="79"/>
      <c r="P984" s="79"/>
      <c r="Q984" s="79"/>
      <c r="R984" s="79"/>
      <c r="S984" s="79"/>
      <c r="T984" s="79"/>
      <c r="U984" s="79"/>
      <c r="V984" s="79"/>
      <c r="W984" s="79"/>
      <c r="X984" s="79"/>
      <c r="Y984" s="79"/>
      <c r="Z984" s="79"/>
    </row>
    <row r="985" spans="1:26" ht="12.75" customHeight="1">
      <c r="A985" s="73"/>
      <c r="B985" s="73"/>
      <c r="C985" s="80"/>
      <c r="D985" s="79"/>
      <c r="E985" s="79"/>
      <c r="F985" s="81"/>
      <c r="G985" s="81"/>
      <c r="H985" s="79"/>
      <c r="I985" s="79"/>
      <c r="J985" s="79"/>
      <c r="K985" s="79"/>
      <c r="L985" s="79"/>
      <c r="M985" s="79"/>
      <c r="N985" s="79"/>
      <c r="O985" s="79"/>
      <c r="P985" s="79"/>
      <c r="Q985" s="79"/>
      <c r="R985" s="79"/>
      <c r="S985" s="79"/>
      <c r="T985" s="79"/>
      <c r="U985" s="79"/>
      <c r="V985" s="79"/>
      <c r="W985" s="79"/>
      <c r="X985" s="79"/>
      <c r="Y985" s="79"/>
      <c r="Z985" s="79"/>
    </row>
    <row r="986" spans="1:26" ht="12.75" customHeight="1">
      <c r="A986" s="73"/>
      <c r="B986" s="73"/>
      <c r="C986" s="80"/>
      <c r="D986" s="79"/>
      <c r="E986" s="79"/>
      <c r="F986" s="81"/>
      <c r="G986" s="81"/>
      <c r="H986" s="79"/>
      <c r="I986" s="79"/>
      <c r="J986" s="79"/>
      <c r="K986" s="79"/>
      <c r="L986" s="79"/>
      <c r="M986" s="79"/>
      <c r="N986" s="79"/>
      <c r="O986" s="79"/>
      <c r="P986" s="79"/>
      <c r="Q986" s="79"/>
      <c r="R986" s="79"/>
      <c r="S986" s="79"/>
      <c r="T986" s="79"/>
      <c r="U986" s="79"/>
      <c r="V986" s="79"/>
      <c r="W986" s="79"/>
      <c r="X986" s="79"/>
      <c r="Y986" s="79"/>
      <c r="Z986" s="79"/>
    </row>
    <row r="987" spans="1:26" ht="12.75" customHeight="1">
      <c r="A987" s="73"/>
      <c r="B987" s="73"/>
      <c r="C987" s="80"/>
      <c r="D987" s="79"/>
      <c r="E987" s="79"/>
      <c r="F987" s="81"/>
      <c r="G987" s="81"/>
      <c r="H987" s="79"/>
      <c r="I987" s="79"/>
      <c r="J987" s="79"/>
      <c r="K987" s="79"/>
      <c r="L987" s="79"/>
      <c r="M987" s="79"/>
      <c r="N987" s="79"/>
      <c r="O987" s="79"/>
      <c r="P987" s="79"/>
      <c r="Q987" s="79"/>
      <c r="R987" s="79"/>
      <c r="S987" s="79"/>
      <c r="T987" s="79"/>
      <c r="U987" s="79"/>
      <c r="V987" s="79"/>
      <c r="W987" s="79"/>
      <c r="X987" s="79"/>
      <c r="Y987" s="79"/>
      <c r="Z987" s="79"/>
    </row>
    <row r="988" spans="1:26" ht="12.75" customHeight="1">
      <c r="A988" s="73"/>
      <c r="B988" s="73"/>
      <c r="C988" s="80"/>
      <c r="D988" s="79"/>
      <c r="E988" s="79"/>
      <c r="F988" s="81"/>
      <c r="G988" s="81"/>
      <c r="H988" s="79"/>
      <c r="I988" s="79"/>
      <c r="J988" s="79"/>
      <c r="K988" s="79"/>
      <c r="L988" s="79"/>
      <c r="M988" s="79"/>
      <c r="N988" s="79"/>
      <c r="O988" s="79"/>
      <c r="P988" s="79"/>
      <c r="Q988" s="79"/>
      <c r="R988" s="79"/>
      <c r="S988" s="79"/>
      <c r="T988" s="79"/>
      <c r="U988" s="79"/>
      <c r="V988" s="79"/>
      <c r="W988" s="79"/>
      <c r="X988" s="79"/>
      <c r="Y988" s="79"/>
      <c r="Z988" s="79"/>
    </row>
    <row r="989" spans="1:26" ht="12.75" customHeight="1">
      <c r="A989" s="73"/>
      <c r="B989" s="73"/>
      <c r="C989" s="80"/>
      <c r="D989" s="79"/>
      <c r="E989" s="79"/>
      <c r="F989" s="81"/>
      <c r="G989" s="81"/>
      <c r="H989" s="79"/>
      <c r="I989" s="79"/>
      <c r="J989" s="79"/>
      <c r="K989" s="79"/>
      <c r="L989" s="79"/>
      <c r="M989" s="79"/>
      <c r="N989" s="79"/>
      <c r="O989" s="79"/>
      <c r="P989" s="79"/>
      <c r="Q989" s="79"/>
      <c r="R989" s="79"/>
      <c r="S989" s="79"/>
      <c r="T989" s="79"/>
      <c r="U989" s="79"/>
      <c r="V989" s="79"/>
      <c r="W989" s="79"/>
      <c r="X989" s="79"/>
      <c r="Y989" s="79"/>
      <c r="Z989" s="79"/>
    </row>
    <row r="990" spans="1:26" ht="12.75" customHeight="1">
      <c r="A990" s="73"/>
      <c r="B990" s="73"/>
      <c r="C990" s="80"/>
      <c r="D990" s="79"/>
      <c r="E990" s="79"/>
      <c r="F990" s="81"/>
      <c r="G990" s="81"/>
      <c r="H990" s="79"/>
      <c r="I990" s="79"/>
      <c r="J990" s="79"/>
      <c r="K990" s="79"/>
      <c r="L990" s="79"/>
      <c r="M990" s="79"/>
      <c r="N990" s="79"/>
      <c r="O990" s="79"/>
      <c r="P990" s="79"/>
      <c r="Q990" s="79"/>
      <c r="R990" s="79"/>
      <c r="S990" s="79"/>
      <c r="T990" s="79"/>
      <c r="U990" s="79"/>
      <c r="V990" s="79"/>
      <c r="W990" s="79"/>
      <c r="X990" s="79"/>
      <c r="Y990" s="79"/>
      <c r="Z990" s="79"/>
    </row>
    <row r="991" spans="1:26" ht="12.75" customHeight="1">
      <c r="A991" s="73"/>
      <c r="B991" s="73"/>
      <c r="C991" s="80"/>
      <c r="D991" s="79"/>
      <c r="E991" s="79"/>
      <c r="F991" s="81"/>
      <c r="G991" s="81"/>
      <c r="H991" s="79"/>
      <c r="I991" s="79"/>
      <c r="J991" s="79"/>
      <c r="K991" s="79"/>
      <c r="L991" s="79"/>
      <c r="M991" s="79"/>
      <c r="N991" s="79"/>
      <c r="O991" s="79"/>
      <c r="P991" s="79"/>
      <c r="Q991" s="79"/>
      <c r="R991" s="79"/>
      <c r="S991" s="79"/>
      <c r="T991" s="79"/>
      <c r="U991" s="79"/>
      <c r="V991" s="79"/>
      <c r="W991" s="79"/>
      <c r="X991" s="79"/>
      <c r="Y991" s="79"/>
      <c r="Z991" s="79"/>
    </row>
    <row r="992" spans="1:26" ht="12.75" customHeight="1">
      <c r="A992" s="73"/>
      <c r="B992" s="73"/>
      <c r="C992" s="80"/>
      <c r="D992" s="79"/>
      <c r="E992" s="79"/>
      <c r="F992" s="81"/>
      <c r="G992" s="81"/>
      <c r="H992" s="79"/>
      <c r="I992" s="79"/>
      <c r="J992" s="79"/>
      <c r="K992" s="79"/>
      <c r="L992" s="79"/>
      <c r="M992" s="79"/>
      <c r="N992" s="79"/>
      <c r="O992" s="79"/>
      <c r="P992" s="79"/>
      <c r="Q992" s="79"/>
      <c r="R992" s="79"/>
      <c r="S992" s="79"/>
      <c r="T992" s="79"/>
      <c r="U992" s="79"/>
      <c r="V992" s="79"/>
      <c r="W992" s="79"/>
      <c r="X992" s="79"/>
      <c r="Y992" s="79"/>
      <c r="Z992" s="79"/>
    </row>
    <row r="993" spans="1:26" ht="12.75" customHeight="1">
      <c r="A993" s="73"/>
      <c r="B993" s="73"/>
      <c r="C993" s="80"/>
      <c r="D993" s="79"/>
      <c r="E993" s="79"/>
      <c r="F993" s="81"/>
      <c r="G993" s="81"/>
      <c r="H993" s="79"/>
      <c r="I993" s="79"/>
      <c r="J993" s="79"/>
      <c r="K993" s="79"/>
      <c r="L993" s="79"/>
      <c r="M993" s="79"/>
      <c r="N993" s="79"/>
      <c r="O993" s="79"/>
      <c r="P993" s="79"/>
      <c r="Q993" s="79"/>
      <c r="R993" s="79"/>
      <c r="S993" s="79"/>
      <c r="T993" s="79"/>
      <c r="U993" s="79"/>
      <c r="V993" s="79"/>
      <c r="W993" s="79"/>
      <c r="X993" s="79"/>
      <c r="Y993" s="79"/>
      <c r="Z993" s="79"/>
    </row>
    <row r="994" spans="1:26" ht="12.75" customHeight="1">
      <c r="A994" s="73"/>
      <c r="B994" s="73"/>
      <c r="C994" s="80"/>
      <c r="D994" s="79"/>
      <c r="E994" s="79"/>
      <c r="F994" s="81"/>
      <c r="G994" s="81"/>
      <c r="H994" s="79"/>
      <c r="I994" s="79"/>
      <c r="J994" s="79"/>
      <c r="K994" s="79"/>
      <c r="L994" s="79"/>
      <c r="M994" s="79"/>
      <c r="N994" s="79"/>
      <c r="O994" s="79"/>
      <c r="P994" s="79"/>
      <c r="Q994" s="79"/>
      <c r="R994" s="79"/>
      <c r="S994" s="79"/>
      <c r="T994" s="79"/>
      <c r="U994" s="79"/>
      <c r="V994" s="79"/>
      <c r="W994" s="79"/>
      <c r="X994" s="79"/>
      <c r="Y994" s="79"/>
      <c r="Z994" s="79"/>
    </row>
    <row r="995" spans="1:26" ht="12.75" customHeight="1">
      <c r="A995" s="73"/>
      <c r="B995" s="73"/>
      <c r="C995" s="80"/>
      <c r="D995" s="79"/>
      <c r="E995" s="79"/>
      <c r="F995" s="81"/>
      <c r="G995" s="81"/>
      <c r="H995" s="79"/>
      <c r="I995" s="79"/>
      <c r="J995" s="79"/>
      <c r="K995" s="79"/>
      <c r="L995" s="79"/>
      <c r="M995" s="79"/>
      <c r="N995" s="79"/>
      <c r="O995" s="79"/>
      <c r="P995" s="79"/>
      <c r="Q995" s="79"/>
      <c r="R995" s="79"/>
      <c r="S995" s="79"/>
      <c r="T995" s="79"/>
      <c r="U995" s="79"/>
      <c r="V995" s="79"/>
      <c r="W995" s="79"/>
      <c r="X995" s="79"/>
      <c r="Y995" s="79"/>
      <c r="Z995" s="79"/>
    </row>
    <row r="996" spans="1:26" ht="12.75" customHeight="1">
      <c r="A996" s="73"/>
      <c r="B996" s="73"/>
      <c r="C996" s="80"/>
      <c r="D996" s="79"/>
      <c r="E996" s="79"/>
      <c r="F996" s="81"/>
      <c r="G996" s="81"/>
      <c r="H996" s="79"/>
      <c r="I996" s="79"/>
      <c r="J996" s="79"/>
      <c r="K996" s="79"/>
      <c r="L996" s="79"/>
      <c r="M996" s="79"/>
      <c r="N996" s="79"/>
      <c r="O996" s="79"/>
      <c r="P996" s="79"/>
      <c r="Q996" s="79"/>
      <c r="R996" s="79"/>
      <c r="S996" s="79"/>
      <c r="T996" s="79"/>
      <c r="U996" s="79"/>
      <c r="V996" s="79"/>
      <c r="W996" s="79"/>
      <c r="X996" s="79"/>
      <c r="Y996" s="79"/>
      <c r="Z996" s="79"/>
    </row>
    <row r="997" spans="1:26" ht="12.75" customHeight="1">
      <c r="A997" s="73"/>
      <c r="B997" s="73"/>
      <c r="C997" s="80"/>
      <c r="D997" s="79"/>
      <c r="E997" s="79"/>
      <c r="F997" s="81"/>
      <c r="G997" s="81"/>
      <c r="H997" s="79"/>
      <c r="I997" s="79"/>
      <c r="J997" s="79"/>
      <c r="K997" s="79"/>
      <c r="L997" s="79"/>
      <c r="M997" s="79"/>
      <c r="N997" s="79"/>
      <c r="O997" s="79"/>
      <c r="P997" s="79"/>
      <c r="Q997" s="79"/>
      <c r="R997" s="79"/>
      <c r="S997" s="79"/>
      <c r="T997" s="79"/>
      <c r="U997" s="79"/>
      <c r="V997" s="79"/>
      <c r="W997" s="79"/>
      <c r="X997" s="79"/>
      <c r="Y997" s="79"/>
      <c r="Z997" s="79"/>
    </row>
    <row r="998" spans="1:26" ht="12.75" customHeight="1">
      <c r="A998" s="73"/>
      <c r="B998" s="73"/>
      <c r="C998" s="80"/>
      <c r="D998" s="79"/>
      <c r="E998" s="79"/>
      <c r="F998" s="81"/>
      <c r="G998" s="81"/>
      <c r="H998" s="79"/>
      <c r="I998" s="79"/>
      <c r="J998" s="79"/>
      <c r="K998" s="79"/>
      <c r="L998" s="79"/>
      <c r="M998" s="79"/>
      <c r="N998" s="79"/>
      <c r="O998" s="79"/>
      <c r="P998" s="79"/>
      <c r="Q998" s="79"/>
      <c r="R998" s="79"/>
      <c r="S998" s="79"/>
      <c r="T998" s="79"/>
      <c r="U998" s="79"/>
      <c r="V998" s="79"/>
      <c r="W998" s="79"/>
      <c r="X998" s="79"/>
      <c r="Y998" s="79"/>
      <c r="Z998" s="79"/>
    </row>
    <row r="999" spans="1:26" ht="12.75" customHeight="1">
      <c r="A999" s="73"/>
      <c r="B999" s="73"/>
      <c r="C999" s="80"/>
      <c r="D999" s="79"/>
      <c r="E999" s="79"/>
      <c r="F999" s="81"/>
      <c r="G999" s="81"/>
      <c r="H999" s="79"/>
      <c r="I999" s="79"/>
      <c r="J999" s="79"/>
      <c r="K999" s="79"/>
      <c r="L999" s="79"/>
      <c r="M999" s="79"/>
      <c r="N999" s="79"/>
      <c r="O999" s="79"/>
      <c r="P999" s="79"/>
      <c r="Q999" s="79"/>
      <c r="R999" s="79"/>
      <c r="S999" s="79"/>
      <c r="T999" s="79"/>
      <c r="U999" s="79"/>
      <c r="V999" s="79"/>
      <c r="W999" s="79"/>
      <c r="X999" s="79"/>
      <c r="Y999" s="79"/>
      <c r="Z999" s="79"/>
    </row>
    <row r="1000" spans="1:26" ht="12.75" customHeight="1">
      <c r="A1000" s="73"/>
      <c r="B1000" s="73"/>
      <c r="C1000" s="80"/>
      <c r="D1000" s="79"/>
      <c r="E1000" s="79"/>
      <c r="F1000" s="81"/>
      <c r="G1000" s="81"/>
      <c r="H1000" s="79"/>
      <c r="I1000" s="79"/>
      <c r="J1000" s="79"/>
      <c r="K1000" s="79"/>
      <c r="L1000" s="79"/>
      <c r="M1000" s="79"/>
      <c r="N1000" s="79"/>
      <c r="O1000" s="79"/>
      <c r="P1000" s="79"/>
      <c r="Q1000" s="79"/>
      <c r="R1000" s="79"/>
      <c r="S1000" s="79"/>
      <c r="T1000" s="79"/>
      <c r="U1000" s="79"/>
      <c r="V1000" s="79"/>
      <c r="W1000" s="79"/>
      <c r="X1000" s="79"/>
      <c r="Y1000" s="79"/>
      <c r="Z1000" s="79"/>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CB371"/>
  <sheetViews>
    <sheetView topLeftCell="AY1" workbookViewId="0">
      <selection activeCell="BC20" sqref="BC20"/>
    </sheetView>
  </sheetViews>
  <sheetFormatPr baseColWidth="10" defaultColWidth="14.42578125" defaultRowHeight="15" customHeight="1"/>
  <cols>
    <col min="1" max="1" width="48.42578125" customWidth="1"/>
    <col min="2" max="5" width="11" customWidth="1"/>
    <col min="6" max="6" width="3.42578125" customWidth="1"/>
    <col min="7" max="7" width="34.42578125" customWidth="1"/>
    <col min="8" max="17" width="1.85546875" customWidth="1"/>
    <col min="18" max="36" width="2.5703125" customWidth="1"/>
    <col min="37" max="37" width="6.5703125" customWidth="1"/>
    <col min="38" max="38" width="11" customWidth="1"/>
    <col min="39" max="40" width="11.42578125" customWidth="1"/>
    <col min="41" max="42" width="12.5703125" customWidth="1"/>
    <col min="43" max="43" width="11.42578125" customWidth="1"/>
    <col min="44" max="44" width="13.85546875" customWidth="1"/>
    <col min="45" max="53" width="11.42578125" customWidth="1"/>
    <col min="54" max="54" width="12.5703125" customWidth="1"/>
    <col min="55" max="55" width="15.140625" customWidth="1"/>
    <col min="56" max="56" width="12.5703125" customWidth="1"/>
    <col min="57" max="69" width="13.85546875" customWidth="1"/>
    <col min="70" max="80" width="7.42578125" customWidth="1"/>
  </cols>
  <sheetData>
    <row r="1" spans="1:80" ht="12.75" customHeight="1">
      <c r="A1" s="92"/>
      <c r="B1" s="92"/>
      <c r="C1" s="92"/>
      <c r="D1" s="92"/>
      <c r="E1" s="92"/>
      <c r="F1" s="92"/>
      <c r="G1" s="93"/>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t="s">
        <v>266</v>
      </c>
      <c r="BT1" s="92"/>
      <c r="BU1" s="92"/>
      <c r="BV1" s="92"/>
      <c r="BW1" s="92"/>
      <c r="BX1" s="92"/>
      <c r="BY1" s="92"/>
      <c r="BZ1" s="92"/>
      <c r="CA1" s="92"/>
      <c r="CB1" s="92"/>
    </row>
    <row r="2" spans="1:80" ht="12.75" customHeight="1">
      <c r="A2" s="92"/>
      <c r="B2" s="92"/>
      <c r="C2" s="92"/>
      <c r="D2" s="92"/>
      <c r="E2" s="92"/>
      <c r="F2" s="92"/>
      <c r="G2" s="93"/>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v>1</v>
      </c>
      <c r="BF2" s="92">
        <v>2</v>
      </c>
      <c r="BG2" s="92">
        <v>3</v>
      </c>
      <c r="BH2" s="92">
        <v>4</v>
      </c>
      <c r="BI2" s="92">
        <v>5</v>
      </c>
      <c r="BJ2" s="92">
        <v>6</v>
      </c>
      <c r="BK2" s="92">
        <v>7</v>
      </c>
      <c r="BL2" s="92">
        <v>8</v>
      </c>
      <c r="BM2" s="92">
        <v>9</v>
      </c>
      <c r="BN2" s="92">
        <v>10</v>
      </c>
      <c r="BO2" s="92">
        <v>11</v>
      </c>
      <c r="BP2" s="92">
        <v>12</v>
      </c>
      <c r="BQ2" s="92">
        <v>13</v>
      </c>
      <c r="BR2" s="92">
        <v>14</v>
      </c>
      <c r="BS2" s="92">
        <v>15</v>
      </c>
      <c r="BT2" s="92">
        <v>16</v>
      </c>
      <c r="BU2" s="92">
        <v>17</v>
      </c>
      <c r="BV2" s="92"/>
      <c r="BW2" s="92"/>
      <c r="BX2" s="92"/>
      <c r="BY2" s="92"/>
      <c r="BZ2" s="92"/>
      <c r="CA2" s="92"/>
      <c r="CB2" s="92"/>
    </row>
    <row r="3" spans="1:80" ht="12.75" customHeight="1">
      <c r="A3" s="92"/>
      <c r="B3" s="92"/>
      <c r="C3" s="92"/>
      <c r="D3" s="92"/>
      <c r="E3" s="92"/>
      <c r="F3" s="92"/>
      <c r="G3" s="93"/>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t="s">
        <v>267</v>
      </c>
      <c r="BE3" s="92">
        <f>'PTI-16'!$F$7*0.07+'PTI-16'!$F$8*0.02-'PTI-16'!$F$9*0.31-'PTI-16'!$F$10*0.04+'PTI-16'!$F$11*0.01+'PTI-16'!$F$12*0.05-'PTI-16'!$F$13*0.16+'PTI-16'!$F$14*0.08+'PTI-16'!$F$15*0.19-'PTI-16'!$F$16*0.12+'PTI-16'!$F$18*0.3-'PTI-16'!$F$19*0.03-'PTI-16'!$F$20*0.04-'PTI-16'!$F$21*0.12+'PTI-16'!$F$22*0.27+4.57</f>
        <v>5.3100000000000005</v>
      </c>
      <c r="BF3" s="92">
        <f>'PTI-16'!$F$7*-0.01+'PTI-16'!$F$8*0.05+'PTI-16'!$F$9*-0.29+'PTI-16'!$F$10*-0.02+'PTI-16'!$F$11*-0.03+'PTI-16'!$F$12*0.06+'PTI-16'!$F$13*-0.19+'PTI-16'!$F$14*0.01+'PTI-16'!$F$15*0.2+'PTI-16'!$F$16*-0.11+'PTI-16'!$F$17*-0.01+'PTI-16'!$F$18*0.3+'PTI-16'!$F$19*0.02+'PTI-16'!$F$20*-0.04+'PTI-16'!$F$21*-0.12+'PTI-16'!$F$22*0.25+5.12</f>
        <v>5.74</v>
      </c>
      <c r="BG3" s="92">
        <f>'PTI-16'!$F$7*0.07+'PTI-16'!$F$8*0.02-'PTI-16'!$F$9*0.31-'PTI-16'!$F$10*0.04+'PTI-16'!$F$11*0.01+'PTI-16'!$F$12*0.05-'PTI-16'!$F$13*0.16+'PTI-16'!$F$14*0.08+'PTI-16'!$F$15*0.19-'PTI-16'!$F$16*0.12+'PTI-16'!$F$18*0.3-'PTI-16'!$F$19*0.03-'PTI-16'!$F$20*0.04-'PTI-16'!$F$21*0.12+'PTI-16'!$F$22*0.27+4.57</f>
        <v>5.3100000000000005</v>
      </c>
      <c r="BH3" s="92">
        <f>'PTI-16'!$F$7*-0.01+'PTI-16'!$F$8*0.05+'PTI-16'!$F$9*-0.29+'PTI-16'!$F$10*-0.02+'PTI-16'!$F$11*-0.03+'PTI-16'!$F$12*0.06+'PTI-16'!$F$13*-0.19+'PTI-16'!$F$14*0.01+'PTI-16'!$F$15*0.2+'PTI-16'!$F$16*-0.11+'PTI-16'!$F$17*-0.01+'PTI-16'!$F$18*0.3+'PTI-16'!$F$19*0.02+'PTI-16'!$F$20*-0.04+'PTI-16'!$F$21*-0.12+'PTI-16'!$F$22*0.25+5.12</f>
        <v>5.74</v>
      </c>
      <c r="BI3" s="92">
        <f>'PTI-16'!$F$7*0.07+'PTI-16'!$F$8*0.02-'PTI-16'!$F$9*0.31-'PTI-16'!$F$10*0.04+'PTI-16'!$F$11*0.01+'PTI-16'!$F$12*0.05-'PTI-16'!$F$13*0.16+'PTI-16'!$F$14*0.08+'PTI-16'!$F$15*0.19-'PTI-16'!$F$16*0.12+'PTI-16'!$F$18*0.3-'PTI-16'!$F$19*0.03-'PTI-16'!$F$20*0.04-'PTI-16'!$F$21*0.12+'PTI-16'!$F$22*0.27+4.57</f>
        <v>5.3100000000000005</v>
      </c>
      <c r="BJ3" s="92">
        <f>'PTI-16'!$F$7*-0.01+'PTI-16'!$F$8*0.05+'PTI-16'!$F$9*-0.29+'PTI-16'!$F$10*-0.02+'PTI-16'!$F$11*-0.03+'PTI-16'!$F$12*0.06+'PTI-16'!$F$13*-0.19+'PTI-16'!$F$14*0.01+'PTI-16'!$F$15*0.2+'PTI-16'!$F$16*-0.11+'PTI-16'!$F$17*-0.01+'PTI-16'!$F$18*0.3+'PTI-16'!$F$19*0.02+'PTI-16'!$F$20*-0.04+'PTI-16'!$F$21*-0.12+'PTI-16'!$F$22*0.25+5.12</f>
        <v>5.74</v>
      </c>
      <c r="BK3" s="92">
        <f>'PTI-16'!$F$7*0.07+'PTI-16'!$F$8*0.02-'PTI-16'!$F$9*0.31-'PTI-16'!$F$10*0.04+'PTI-16'!$F$11*0.01+'PTI-16'!$F$12*0.05-'PTI-16'!$F$13*0.16+'PTI-16'!$F$14*0.08+'PTI-16'!$F$15*0.19-'PTI-16'!$F$16*0.12+'PTI-16'!$F$18*0.3-'PTI-16'!$F$19*0.03-'PTI-16'!$F$20*0.04-'PTI-16'!$F$21*0.12+'PTI-16'!$F$22*0.27+4.57</f>
        <v>5.3100000000000005</v>
      </c>
      <c r="BL3" s="92">
        <f>'PTI-16'!$F$7*-0.01+'PTI-16'!$F$8*0.05+'PTI-16'!$F$9*-0.29+'PTI-16'!$F$10*-0.02+'PTI-16'!$F$11*-0.03+'PTI-16'!$F$12*0.06+'PTI-16'!$F$13*-0.19+'PTI-16'!$F$14*0.01+'PTI-16'!$F$15*0.2+'PTI-16'!$F$16*-0.11+'PTI-16'!$F$17*-0.01+'PTI-16'!$F$18*0.3+'PTI-16'!$F$19*0.02+'PTI-16'!$F$20*-0.04+'PTI-16'!$F$21*-0.12+'PTI-16'!$F$22*0.25+5.12</f>
        <v>5.74</v>
      </c>
      <c r="BM3" s="92">
        <f>'PTI-16'!$F$7*0.07+'PTI-16'!$F$8*0.02-'PTI-16'!$F$9*0.31-'PTI-16'!$F$10*0.04+'PTI-16'!$F$11*0.01+'PTI-16'!$F$12*0.05-'PTI-16'!$F$13*0.16+'PTI-16'!$F$14*0.08+'PTI-16'!$F$15*0.19-'PTI-16'!$F$16*0.12+'PTI-16'!$F$18*0.3-'PTI-16'!$F$19*0.03-'PTI-16'!$F$20*0.04-'PTI-16'!$F$21*0.12+'PTI-16'!$F$22*0.27+4.57</f>
        <v>5.3100000000000005</v>
      </c>
      <c r="BN3" s="92">
        <f>'PTI-16'!$F$7*-0.01+'PTI-16'!$F$8*0.05+'PTI-16'!$F$9*-0.29+'PTI-16'!$F$10*-0.02+'PTI-16'!$F$11*-0.03+'PTI-16'!$F$12*0.06+'PTI-16'!$F$13*-0.19+'PTI-16'!$F$14*0.01+'PTI-16'!$F$15*0.2+'PTI-16'!$F$16*-0.11+'PTI-16'!$F$17*-0.01+'PTI-16'!$F$18*0.3+'PTI-16'!$F$19*0.02+'PTI-16'!$F$20*-0.04+'PTI-16'!$F$21*-0.12+'PTI-16'!$F$22*0.25+5.12</f>
        <v>5.74</v>
      </c>
      <c r="BO3" s="92">
        <f>'PTI-16'!$F$7*0.07+'PTI-16'!$F$8*0.02-'PTI-16'!$F$9*0.31-'PTI-16'!$F$10*0.04+'PTI-16'!$F$11*0.01+'PTI-16'!$F$12*0.05-'PTI-16'!$F$13*0.16+'PTI-16'!$F$14*0.08+'PTI-16'!$F$15*0.19-'PTI-16'!$F$16*0.12+'PTI-16'!$F$18*0.3-'PTI-16'!$F$19*0.03-'PTI-16'!$F$20*0.04-'PTI-16'!$F$21*0.12+'PTI-16'!$F$22*0.27+4.57</f>
        <v>5.3100000000000005</v>
      </c>
      <c r="BP3" s="92">
        <f>'PTI-16'!$F$7*-0.01+'PTI-16'!$F$8*0.05+'PTI-16'!$F$9*-0.29+'PTI-16'!$F$10*-0.02+'PTI-16'!$F$11*-0.03+'PTI-16'!$F$12*0.06+'PTI-16'!$F$13*-0.19+'PTI-16'!$F$14*0.01+'PTI-16'!$F$15*0.2+'PTI-16'!$F$16*-0.11+'PTI-16'!$F$17*-0.01+'PTI-16'!$F$18*0.3+'PTI-16'!$F$19*0.02+'PTI-16'!$F$20*-0.04+'PTI-16'!$F$21*-0.12+'PTI-16'!$F$22*0.25+5.12</f>
        <v>5.74</v>
      </c>
      <c r="BQ3" s="92">
        <f>'PTI-16'!$F$7*0.07+'PTI-16'!$F$8*0.02-'PTI-16'!$F$9*0.31-'PTI-16'!$F$10*0.04+'PTI-16'!$F$11*0.01+'PTI-16'!$F$12*0.05-'PTI-16'!$F$13*0.16+'PTI-16'!$F$14*0.08+'PTI-16'!$F$15*0.19-'PTI-16'!$F$16*0.12+'PTI-16'!$F$18*0.3-'PTI-16'!$F$19*0.03-'PTI-16'!$F$20*0.04-'PTI-16'!$F$21*0.12+'PTI-16'!$F$22*0.27+4.57</f>
        <v>5.3100000000000005</v>
      </c>
      <c r="BR3" s="92">
        <f>'PTI-16'!$F$7*-0.01+'PTI-16'!$F$8*0.05+'PTI-16'!$F$9*-0.29+'PTI-16'!$F$10*-0.02+'PTI-16'!$F$11*-0.03+'PTI-16'!$F$12*0.06+'PTI-16'!$F$13*-0.19+'PTI-16'!$F$14*0.01+'PTI-16'!$F$15*0.2+'PTI-16'!$F$16*-0.11+'PTI-16'!$F$17*-0.01+'PTI-16'!$F$18*0.3+'PTI-16'!$F$19*0.02+'PTI-16'!$F$20*-0.04+'PTI-16'!$F$21*-0.12+'PTI-16'!$F$22*0.25+5.12</f>
        <v>5.74</v>
      </c>
      <c r="BS3" s="92">
        <f t="shared" ref="BS3:BU3" si="0">+$BT$29</f>
        <v>1</v>
      </c>
      <c r="BT3" s="92">
        <f t="shared" si="0"/>
        <v>1</v>
      </c>
      <c r="BU3" s="92">
        <f t="shared" si="0"/>
        <v>1</v>
      </c>
      <c r="BV3" s="92"/>
      <c r="BW3" s="92"/>
      <c r="BX3" s="92"/>
      <c r="BY3" s="92"/>
      <c r="BZ3" s="92"/>
      <c r="CA3" s="92"/>
      <c r="CB3" s="92"/>
    </row>
    <row r="4" spans="1:80" ht="12.75" customHeight="1">
      <c r="A4" s="92"/>
      <c r="B4" s="92"/>
      <c r="C4" s="92"/>
      <c r="D4" s="92"/>
      <c r="E4" s="92"/>
      <c r="F4" s="92"/>
      <c r="G4" s="93"/>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t="s">
        <v>268</v>
      </c>
      <c r="BE4" s="92">
        <f>'PTI-16'!$F$7*0.4-'PTI-16'!$F$8*0.07-'PTI-16'!$F$9*0.05+'PTI-16'!$F$10*0.05+'PTI-16'!$F$11*0.31+'PTI-16'!$F$12*0.24+'PTI-16'!$F$13*0.26+'PTI-16'!$F$14*0.08+'PTI-16'!$F$15*0.1-'PTI-16'!$F$16*0.06+'PTI-16'!$F$18*0.05-'PTI-16'!$F$19*0.05-'PTI-16'!$F$20*0.42+'PTI-16'!$F$21*0.08+'PTI-16'!$F$22*0.05+0.17</f>
        <v>1.2400000000000002</v>
      </c>
      <c r="BF4" s="92">
        <f>'PTI-16'!$F$7*0.48+'PTI-16'!$F$8*-0.05+'PTI-16'!$F$9*-0.09+'PTI-16'!$F$10*0.26+'PTI-16'!$F$11*0.26+'PTI-16'!$F$12*0.13+'PTI-16'!$F$13*0.3+'PTI-16'!$F$14*-0.07+'PTI-16'!$F$15*0.46+'PTI-16'!$F$16*-0.07+'PTI-16'!$F$18*-0.03+'PTI-16'!$F$20*0.1+'PTI-16'!$F$21*0.11+'PTI-16'!$F$22*0.07-4.73</f>
        <v>-2.8300000000000005</v>
      </c>
      <c r="BG4" s="92">
        <f>'PTI-16'!$F$7*0.4-'PTI-16'!$F$8*0.07-'PTI-16'!$F$9*0.05+'PTI-16'!$F$10*0.05+'PTI-16'!$F$11*0.31+'PTI-16'!$F$12*0.24+'PTI-16'!$F$13*0.26+'PTI-16'!$F$14*0.08+'PTI-16'!$F$15*0.1-'PTI-16'!$F$16*0.06+'PTI-16'!$F$18*0.05-'PTI-16'!$F$19*0.05-'PTI-16'!$F$20*0.42+'PTI-16'!$F$21*0.08+'PTI-16'!$F$22*0.05+0.17</f>
        <v>1.2400000000000002</v>
      </c>
      <c r="BH4" s="92">
        <f>'PTI-16'!$F$7*0.48+'PTI-16'!$F$8*-0.05+'PTI-16'!$F$9*-0.09+'PTI-16'!$F$10*0.26+'PTI-16'!$F$11*0.26+'PTI-16'!$F$12*0.13+'PTI-16'!$F$13*0.3+'PTI-16'!$F$14*-0.07+'PTI-16'!$F$15*0.46+'PTI-16'!$F$16*-0.07+'PTI-16'!$F$18*-0.03+'PTI-16'!$F$20*0.1+'PTI-16'!$F$21*0.11+'PTI-16'!$F$22*0.07-4.73</f>
        <v>-2.8300000000000005</v>
      </c>
      <c r="BI4" s="92">
        <f>'PTI-16'!$F$7*0.4-'PTI-16'!$F$8*0.07-'PTI-16'!$F$9*0.05+'PTI-16'!$F$10*0.05+'PTI-16'!$F$11*0.31+'PTI-16'!$F$12*0.24+'PTI-16'!$F$13*0.26+'PTI-16'!$F$14*0.08+'PTI-16'!$F$15*0.1-'PTI-16'!$F$16*0.06+'PTI-16'!$F$18*0.05-'PTI-16'!$F$19*0.05-'PTI-16'!$F$20*0.42+'PTI-16'!$F$21*0.08+'PTI-16'!$F$22*0.05+0.17</f>
        <v>1.2400000000000002</v>
      </c>
      <c r="BJ4" s="92">
        <f>'PTI-16'!$F$7*0.48+'PTI-16'!$F$8*-0.05+'PTI-16'!$F$9*-0.09+'PTI-16'!$F$10*0.26+'PTI-16'!$F$11*0.26+'PTI-16'!$F$12*0.13+'PTI-16'!$F$13*0.3+'PTI-16'!$F$14*-0.07+'PTI-16'!$F$15*0.46+'PTI-16'!$F$16*-0.07+'PTI-16'!$F$18*-0.03+'PTI-16'!$F$20*0.1+'PTI-16'!$F$21*0.11+'PTI-16'!$F$22*0.07-4.73</f>
        <v>-2.8300000000000005</v>
      </c>
      <c r="BK4" s="92">
        <f>'PTI-16'!$F$7*0.4-'PTI-16'!$F$8*0.07-'PTI-16'!$F$9*0.05+'PTI-16'!$F$10*0.05+'PTI-16'!$F$11*0.31+'PTI-16'!$F$12*0.24+'PTI-16'!$F$13*0.26+'PTI-16'!$F$14*0.08+'PTI-16'!$F$15*0.1-'PTI-16'!$F$16*0.06+'PTI-16'!$F$18*0.05-'PTI-16'!$F$19*0.05-'PTI-16'!$F$20*0.42+'PTI-16'!$F$21*0.08+'PTI-16'!$F$22*0.05+0.17</f>
        <v>1.2400000000000002</v>
      </c>
      <c r="BL4" s="92">
        <f>'PTI-16'!$F$7*0.48+'PTI-16'!$F$8*-0.05+'PTI-16'!$F$9*-0.09+'PTI-16'!$F$10*0.26+'PTI-16'!$F$11*0.26+'PTI-16'!$F$12*0.13+'PTI-16'!$F$13*0.3+'PTI-16'!$F$14*-0.07+'PTI-16'!$F$15*0.46+'PTI-16'!$F$16*-0.07+'PTI-16'!$F$18*-0.03+'PTI-16'!$F$20*0.1+'PTI-16'!$F$21*0.11+'PTI-16'!$F$22*0.07-4.73</f>
        <v>-2.8300000000000005</v>
      </c>
      <c r="BM4" s="92">
        <f>'PTI-16'!$F$7*0.4-'PTI-16'!$F$8*0.07-'PTI-16'!$F$9*0.05+'PTI-16'!$F$10*0.05+'PTI-16'!$F$11*0.31+'PTI-16'!$F$12*0.24+'PTI-16'!$F$13*0.26+'PTI-16'!$F$14*0.08+'PTI-16'!$F$15*0.1-'PTI-16'!$F$16*0.06+'PTI-16'!$F$18*0.05-'PTI-16'!$F$19*0.05-'PTI-16'!$F$20*0.42+'PTI-16'!$F$21*0.08+'PTI-16'!$F$22*0.05+0.17</f>
        <v>1.2400000000000002</v>
      </c>
      <c r="BN4" s="92">
        <f>'PTI-16'!$F$7*0.48+'PTI-16'!$F$8*-0.05+'PTI-16'!$F$9*-0.09+'PTI-16'!$F$10*0.26+'PTI-16'!$F$11*0.26+'PTI-16'!$F$12*0.13+'PTI-16'!$F$13*0.3+'PTI-16'!$F$14*-0.07+'PTI-16'!$F$15*0.46+'PTI-16'!$F$16*-0.07+'PTI-16'!$F$18*-0.03+'PTI-16'!$F$20*0.1+'PTI-16'!$F$21*0.11+'PTI-16'!$F$22*0.07-4.73</f>
        <v>-2.8300000000000005</v>
      </c>
      <c r="BO4" s="92">
        <f>'PTI-16'!$F$7*0.4-'PTI-16'!$F$8*0.07-'PTI-16'!$F$9*0.05+'PTI-16'!$F$10*0.05+'PTI-16'!$F$11*0.31+'PTI-16'!$F$12*0.24+'PTI-16'!$F$13*0.26+'PTI-16'!$F$14*0.08+'PTI-16'!$F$15*0.1-'PTI-16'!$F$16*0.06+'PTI-16'!$F$18*0.05-'PTI-16'!$F$19*0.05-'PTI-16'!$F$20*0.42+'PTI-16'!$F$21*0.08+'PTI-16'!$F$22*0.05+0.17</f>
        <v>1.2400000000000002</v>
      </c>
      <c r="BP4" s="92">
        <f>'PTI-16'!$F$7*0.48+'PTI-16'!$F$8*-0.05+'PTI-16'!$F$9*-0.09+'PTI-16'!$F$10*0.26+'PTI-16'!$F$11*0.26+'PTI-16'!$F$12*0.13+'PTI-16'!$F$13*0.3+'PTI-16'!$F$14*-0.07+'PTI-16'!$F$15*0.46+'PTI-16'!$F$16*-0.07+'PTI-16'!$F$18*-0.03+'PTI-16'!$F$20*0.1+'PTI-16'!$F$21*0.11+'PTI-16'!$F$22*0.07-4.73</f>
        <v>-2.8300000000000005</v>
      </c>
      <c r="BQ4" s="92">
        <f>'PTI-16'!$F$7*0.4-'PTI-16'!$F$8*0.07-'PTI-16'!$F$9*0.05+'PTI-16'!$F$10*0.05+'PTI-16'!$F$11*0.31+'PTI-16'!$F$12*0.24+'PTI-16'!$F$13*0.26+'PTI-16'!$F$14*0.08+'PTI-16'!$F$15*0.1-'PTI-16'!$F$16*0.06+'PTI-16'!$F$18*0.05-'PTI-16'!$F$19*0.05-'PTI-16'!$F$20*0.42+'PTI-16'!$F$21*0.08+'PTI-16'!$F$22*0.05+0.17</f>
        <v>1.2400000000000002</v>
      </c>
      <c r="BR4" s="92">
        <f>'PTI-16'!$F$7*0.48+'PTI-16'!$F$8*-0.05+'PTI-16'!$F$9*-0.09+'PTI-16'!$F$10*0.26+'PTI-16'!$F$11*0.26+'PTI-16'!$F$12*0.13+'PTI-16'!$F$13*0.3+'PTI-16'!$F$14*-0.07+'PTI-16'!$F$15*0.46+'PTI-16'!$F$16*-0.07+'PTI-16'!$F$18*-0.03+'PTI-16'!$F$20*0.1+'PTI-16'!$F$21*0.11+'PTI-16'!$F$22*0.07-4.73</f>
        <v>-2.8300000000000005</v>
      </c>
      <c r="BS4" s="92">
        <f t="shared" ref="BS4:BU4" si="1">+$BV$29</f>
        <v>2.5999999999999996</v>
      </c>
      <c r="BT4" s="92">
        <f t="shared" si="1"/>
        <v>2.5999999999999996</v>
      </c>
      <c r="BU4" s="92">
        <f t="shared" si="1"/>
        <v>2.5999999999999996</v>
      </c>
      <c r="BV4" s="92"/>
      <c r="BW4" s="92"/>
      <c r="BX4" s="92"/>
      <c r="BY4" s="92"/>
      <c r="BZ4" s="92"/>
      <c r="CA4" s="92"/>
      <c r="CB4" s="92"/>
    </row>
    <row r="5" spans="1:80" ht="12.75" customHeight="1">
      <c r="A5" s="92"/>
      <c r="B5" s="92"/>
      <c r="C5" s="92"/>
      <c r="D5" s="92"/>
      <c r="E5" s="92"/>
      <c r="F5" s="92"/>
      <c r="G5" s="93"/>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t="s">
        <v>269</v>
      </c>
      <c r="BE5" s="92">
        <f>'PTI-16'!$F$7*0.1+'PTI-16'!$F$8*0.3-'PTI-16'!$F$9*0.08-'PTI-16'!$F$10*0.18-'PTI-16'!$F$11*0.3+'PTI-16'!$F$12*0.35-'PTI-16'!$F$13*0.11+'PTI-16'!$F$14*0.05+'PTI-16'!$F$15*0.02-'PTI-16'!$F$16*0.11+'PTI-16'!$F$17*0.4-'PTI-16'!$F$18*0.04-'PTI-16'!$F$19*0.05-'PTI-16'!$F$20*0.03+'PTI-16'!$F$21*0.26+'PTI-16'!$F$22*0.08+2.31</f>
        <v>3.0100000000000002</v>
      </c>
      <c r="BF5" s="92">
        <f>'PTI-16'!$F$7*0.07+'PTI-16'!$F$8*0.19+'PTI-16'!$F$9*-0.06+'PTI-16'!$F$10*-0.18+'PTI-16'!$F$11*-0.19+'PTI-16'!$F$12*0.39+'PTI-16'!$F$13*-0.07+'PTI-16'!$F$14*-0.02+'PTI-16'!$F$15*0.15+'PTI-16'!$F$16*-0.14+'PTI-16'!$F$17*0.28+'PTI-16'!$F$18*0.03+'PTI-16'!$F$19*-0.1+'PTI-16'!$F$20*0.02+'PTI-16'!$F$21*0.31+'PTI-16'!$F$22*-0.08+2.2</f>
        <v>2.75</v>
      </c>
      <c r="BG5" s="92">
        <f>'PTI-16'!$F$7*0.1+'PTI-16'!$F$8*0.3-'PTI-16'!$F$9*0.08-'PTI-16'!$F$10*0.18-'PTI-16'!$F$11*0.3+'PTI-16'!$F$12*0.35-'PTI-16'!$F$13*0.11+'PTI-16'!$F$14*0.05+'PTI-16'!$F$15*0.02-'PTI-16'!$F$16*0.11+'PTI-16'!$F$17*0.4-'PTI-16'!$F$18*0.04-'PTI-16'!$F$19*0.05-'PTI-16'!$F$20*0.03+'PTI-16'!$F$21*0.26+'PTI-16'!$F$22*0.08+2.31</f>
        <v>3.0100000000000002</v>
      </c>
      <c r="BH5" s="92">
        <f>'PTI-16'!$F$7*0.07+'PTI-16'!$F$8*0.19+'PTI-16'!$F$9*-0.06+'PTI-16'!$F$10*-0.18+'PTI-16'!$F$11*-0.19+'PTI-16'!$F$12*0.39+'PTI-16'!$F$13*-0.07+'PTI-16'!$F$14*-0.02+'PTI-16'!$F$15*0.15+'PTI-16'!$F$16*-0.14+'PTI-16'!$F$17*0.28+'PTI-16'!$F$18*0.03+'PTI-16'!$F$19*-0.1+'PTI-16'!$F$20*0.02+'PTI-16'!$F$21*0.31+'PTI-16'!$F$22*-0.08+2.2</f>
        <v>2.75</v>
      </c>
      <c r="BI5" s="92">
        <f>'PTI-16'!$F$7*0.1+'PTI-16'!$F$8*0.3-'PTI-16'!$F$9*0.08-'PTI-16'!$F$10*0.18-'PTI-16'!$F$11*0.3+'PTI-16'!$F$12*0.35-'PTI-16'!$F$13*0.11+'PTI-16'!$F$14*0.05+'PTI-16'!$F$15*0.02-'PTI-16'!$F$16*0.11+'PTI-16'!$F$17*0.4-'PTI-16'!$F$18*0.04-'PTI-16'!$F$19*0.05-'PTI-16'!$F$20*0.03+'PTI-16'!$F$21*0.26+'PTI-16'!$F$22*0.08+2.31</f>
        <v>3.0100000000000002</v>
      </c>
      <c r="BJ5" s="92">
        <f>'PTI-16'!$F$7*0.07+'PTI-16'!$F$8*0.19+'PTI-16'!$F$9*-0.06+'PTI-16'!$F$10*-0.18+'PTI-16'!$F$11*-0.19+'PTI-16'!$F$12*0.39+'PTI-16'!$F$13*-0.07+'PTI-16'!$F$14*-0.02+'PTI-16'!$F$15*0.15+'PTI-16'!$F$16*-0.14+'PTI-16'!$F$17*0.28+'PTI-16'!$F$18*0.03+'PTI-16'!$F$19*-0.1+'PTI-16'!$F$20*0.02+'PTI-16'!$F$21*0.31+'PTI-16'!$F$22*-0.08+2.2</f>
        <v>2.75</v>
      </c>
      <c r="BK5" s="92">
        <f>'PTI-16'!$F$7*0.1+'PTI-16'!$F$8*0.3-'PTI-16'!$F$9*0.08-'PTI-16'!$F$10*0.18-'PTI-16'!$F$11*0.3+'PTI-16'!$F$12*0.35-'PTI-16'!$F$13*0.11+'PTI-16'!$F$14*0.05+'PTI-16'!$F$15*0.02-'PTI-16'!$F$16*0.11+'PTI-16'!$F$17*0.4-'PTI-16'!$F$18*0.04-'PTI-16'!$F$19*0.05-'PTI-16'!$F$20*0.03+'PTI-16'!$F$21*0.26+'PTI-16'!$F$22*0.08+2.31</f>
        <v>3.0100000000000002</v>
      </c>
      <c r="BL5" s="92">
        <f>'PTI-16'!$F$7*0.07+'PTI-16'!$F$8*0.19+'PTI-16'!$F$9*-0.06+'PTI-16'!$F$10*-0.18+'PTI-16'!$F$11*-0.19+'PTI-16'!$F$12*0.39+'PTI-16'!$F$13*-0.07+'PTI-16'!$F$14*-0.02+'PTI-16'!$F$15*0.15+'PTI-16'!$F$16*-0.14+'PTI-16'!$F$17*0.28+'PTI-16'!$F$18*0.03+'PTI-16'!$F$19*-0.1+'PTI-16'!$F$20*0.02+'PTI-16'!$F$21*0.31+'PTI-16'!$F$22*-0.08+2.2</f>
        <v>2.75</v>
      </c>
      <c r="BM5" s="92">
        <f>'PTI-16'!$F$7*0.1+'PTI-16'!$F$8*0.3-'PTI-16'!$F$9*0.08-'PTI-16'!$F$10*0.18-'PTI-16'!$F$11*0.3+'PTI-16'!$F$12*0.35-'PTI-16'!$F$13*0.11+'PTI-16'!$F$14*0.05+'PTI-16'!$F$15*0.02-'PTI-16'!$F$16*0.11+'PTI-16'!$F$17*0.4-'PTI-16'!$F$18*0.04-'PTI-16'!$F$19*0.05-'PTI-16'!$F$20*0.03+'PTI-16'!$F$21*0.26+'PTI-16'!$F$22*0.08+2.31</f>
        <v>3.0100000000000002</v>
      </c>
      <c r="BN5" s="92">
        <f>'PTI-16'!$F$7*0.07+'PTI-16'!$F$8*0.19+'PTI-16'!$F$9*-0.06+'PTI-16'!$F$10*-0.18+'PTI-16'!$F$11*-0.19+'PTI-16'!$F$12*0.39+'PTI-16'!$F$13*-0.07+'PTI-16'!$F$14*-0.02+'PTI-16'!$F$15*0.15+'PTI-16'!$F$16*-0.14+'PTI-16'!$F$17*0.28+'PTI-16'!$F$18*0.03+'PTI-16'!$F$19*-0.1+'PTI-16'!$F$20*0.02+'PTI-16'!$F$21*0.31+'PTI-16'!$F$22*-0.08+2.2</f>
        <v>2.75</v>
      </c>
      <c r="BO5" s="92">
        <f>'PTI-16'!$F$7*0.1+'PTI-16'!$F$8*0.3-'PTI-16'!$F$9*0.08-'PTI-16'!$F$10*0.18-'PTI-16'!$F$11*0.3+'PTI-16'!$F$12*0.35-'PTI-16'!$F$13*0.11+'PTI-16'!$F$14*0.05+'PTI-16'!$F$15*0.02-'PTI-16'!$F$16*0.11+'PTI-16'!$F$17*0.4-'PTI-16'!$F$18*0.04-'PTI-16'!$F$19*0.05-'PTI-16'!$F$20*0.03+'PTI-16'!$F$21*0.26+'PTI-16'!$F$22*0.08+2.31</f>
        <v>3.0100000000000002</v>
      </c>
      <c r="BP5" s="92">
        <f>'PTI-16'!$F$7*0.07+'PTI-16'!$F$8*0.19+'PTI-16'!$F$9*-0.06+'PTI-16'!$F$10*-0.18+'PTI-16'!$F$11*-0.19+'PTI-16'!$F$12*0.39+'PTI-16'!$F$13*-0.07+'PTI-16'!$F$14*-0.02+'PTI-16'!$F$15*0.15+'PTI-16'!$F$16*-0.14+'PTI-16'!$F$17*0.28+'PTI-16'!$F$18*0.03+'PTI-16'!$F$19*-0.1+'PTI-16'!$F$20*0.02+'PTI-16'!$F$21*0.31+'PTI-16'!$F$22*-0.08+2.2</f>
        <v>2.75</v>
      </c>
      <c r="BQ5" s="92">
        <f>'PTI-16'!$F$7*0.1+'PTI-16'!$F$8*0.3-'PTI-16'!$F$9*0.08-'PTI-16'!$F$10*0.18-'PTI-16'!$F$11*0.3+'PTI-16'!$F$12*0.35-'PTI-16'!$F$13*0.11+'PTI-16'!$F$14*0.05+'PTI-16'!$F$15*0.02-'PTI-16'!$F$16*0.11+'PTI-16'!$F$17*0.4-'PTI-16'!$F$18*0.04-'PTI-16'!$F$19*0.05-'PTI-16'!$F$20*0.03+'PTI-16'!$F$21*0.26+'PTI-16'!$F$22*0.08+2.31</f>
        <v>3.0100000000000002</v>
      </c>
      <c r="BR5" s="92">
        <f>'PTI-16'!$F$7*0.07+'PTI-16'!$F$8*0.19+'PTI-16'!$F$9*-0.06+'PTI-16'!$F$10*-0.18+'PTI-16'!$F$11*-0.19+'PTI-16'!$F$12*0.39+'PTI-16'!$F$13*-0.07+'PTI-16'!$F$14*-0.02+'PTI-16'!$F$15*0.15+'PTI-16'!$F$16*-0.14+'PTI-16'!$F$17*0.28+'PTI-16'!$F$18*0.03+'PTI-16'!$F$19*-0.1+'PTI-16'!$F$20*0.02+'PTI-16'!$F$21*0.31+'PTI-16'!$F$22*-0.08+2.2</f>
        <v>2.75</v>
      </c>
      <c r="BS5" s="92">
        <f t="shared" ref="BS5:BU5" si="2">+$CB$29</f>
        <v>1</v>
      </c>
      <c r="BT5" s="92">
        <f t="shared" si="2"/>
        <v>1</v>
      </c>
      <c r="BU5" s="92">
        <f t="shared" si="2"/>
        <v>1</v>
      </c>
      <c r="BV5" s="92"/>
      <c r="BW5" s="92"/>
      <c r="BX5" s="92"/>
      <c r="BY5" s="92"/>
      <c r="BZ5" s="92"/>
      <c r="CA5" s="92"/>
      <c r="CB5" s="92"/>
    </row>
    <row r="6" spans="1:80" ht="12.75" customHeight="1">
      <c r="A6" s="92"/>
      <c r="B6" s="92"/>
      <c r="C6" s="92"/>
      <c r="D6" s="92"/>
      <c r="E6" s="92"/>
      <c r="F6" s="92"/>
      <c r="G6" s="93"/>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t="s">
        <v>270</v>
      </c>
      <c r="BE6" s="92">
        <f>'PTI-16'!$F$7*0.03+'PTI-16'!$F$8*0.48-'PTI-16'!$F$9*0.02+'PTI-16'!$F$10*0.31+'PTI-16'!$F$11*0.03-'PTI-16'!$F$12*0.02+'PTI-16'!$F$13*0.04-'PTI-16'!$F$14*0.04+'PTI-16'!$F$15*0.34+'PTI-16'!$F$16*0.13+'PTI-16'!$F$17*0.07-'PTI-16'!$F$18*0.06+'PTI-16'!$F$19*0.42+'PTI-16'!$F$20*0.1+'PTI-16'!$F$21*0.01+'PTI-16'!$F$22*0.02-4.62</f>
        <v>-2.8199999999999994</v>
      </c>
      <c r="BF6" s="92">
        <f>'PTI-16'!$F$7*-0.18+'PTI-16'!$F$8*0.58+'PTI-16'!$F$9*-0.01+'PTI-16'!$F$10*0.15+'PTI-16'!$F$11*0.05+'PTI-16'!$F$12*0.1+'PTI-16'!$F$13*0.01+'PTI-16'!$F$14*0.08+'PTI-16'!$F$15*0.12+'PTI-16'!$F$16*0.31+'PTI-16'!$F$17*-0.08+'PTI-16'!$F$18*0.03+'PTI-16'!$F$19*0.36+'PTI-16'!$F$20*-0.08+'PTI-16'!$F$21*0.11-3.14</f>
        <v>-1.5600000000000003</v>
      </c>
      <c r="BG6" s="92">
        <f>'PTI-16'!$F$7*0.03+'PTI-16'!$F$8*0.48-'PTI-16'!$F$9*0.02+'PTI-16'!$F$10*0.31+'PTI-16'!$F$11*0.03-'PTI-16'!$F$12*0.02+'PTI-16'!$F$13*0.04-'PTI-16'!$F$14*0.04+'PTI-16'!$F$15*0.34+'PTI-16'!$F$16*0.13+'PTI-16'!$F$17*0.07-'PTI-16'!$F$18*0.06+'PTI-16'!$F$19*0.42+'PTI-16'!$F$20*0.1+'PTI-16'!$F$21*0.01+'PTI-16'!$F$22*0.02-4.62</f>
        <v>-2.8199999999999994</v>
      </c>
      <c r="BH6" s="92">
        <f>'PTI-16'!$F$7*-0.18+'PTI-16'!$F$8*0.58+'PTI-16'!$F$9*-0.01+'PTI-16'!$F$10*0.15+'PTI-16'!$F$11*0.05+'PTI-16'!$F$12*0.1+'PTI-16'!$F$13*0.01+'PTI-16'!$F$14*0.08+'PTI-16'!$F$15*0.12+'PTI-16'!$F$16*0.31+'PTI-16'!$F$17*-0.08+'PTI-16'!$F$18*0.03+'PTI-16'!$F$19*0.36+'PTI-16'!$F$20*-0.08+'PTI-16'!$F$21*0.11-3.14</f>
        <v>-1.5600000000000003</v>
      </c>
      <c r="BI6" s="92">
        <f>'PTI-16'!$F$7*0.03+'PTI-16'!$F$8*0.48-'PTI-16'!$F$9*0.02+'PTI-16'!$F$10*0.31+'PTI-16'!$F$11*0.03-'PTI-16'!$F$12*0.02+'PTI-16'!$F$13*0.04-'PTI-16'!$F$14*0.04+'PTI-16'!$F$15*0.34+'PTI-16'!$F$16*0.13+'PTI-16'!$F$17*0.07-'PTI-16'!$F$18*0.06+'PTI-16'!$F$19*0.42+'PTI-16'!$F$20*0.1+'PTI-16'!$F$21*0.01+'PTI-16'!$F$22*0.02-4.62</f>
        <v>-2.8199999999999994</v>
      </c>
      <c r="BJ6" s="92">
        <f>'PTI-16'!$F$7*-0.18+'PTI-16'!$F$8*0.58+'PTI-16'!$F$9*-0.01+'PTI-16'!$F$10*0.15+'PTI-16'!$F$11*0.05+'PTI-16'!$F$12*0.1+'PTI-16'!$F$13*0.01+'PTI-16'!$F$14*0.08+'PTI-16'!$F$15*0.12+'PTI-16'!$F$16*0.31+'PTI-16'!$F$17*-0.08+'PTI-16'!$F$18*0.03+'PTI-16'!$F$19*0.36+'PTI-16'!$F$20*-0.08+'PTI-16'!$F$21*0.11-3.14</f>
        <v>-1.5600000000000003</v>
      </c>
      <c r="BK6" s="92">
        <f>'PTI-16'!$F$7*0.03+'PTI-16'!$F$8*0.48-'PTI-16'!$F$9*0.02+'PTI-16'!$F$10*0.31+'PTI-16'!$F$11*0.03-'PTI-16'!$F$12*0.02+'PTI-16'!$F$13*0.04-'PTI-16'!$F$14*0.04+'PTI-16'!$F$15*0.34+'PTI-16'!$F$16*0.13+'PTI-16'!$F$17*0.07-'PTI-16'!$F$18*0.06+'PTI-16'!$F$19*0.42+'PTI-16'!$F$20*0.1+'PTI-16'!$F$21*0.01+'PTI-16'!$F$22*0.02-4.62</f>
        <v>-2.8199999999999994</v>
      </c>
      <c r="BL6" s="92">
        <f>'PTI-16'!$F$7*-0.18+'PTI-16'!$F$8*0.58+'PTI-16'!$F$9*-0.01+'PTI-16'!$F$10*0.15+'PTI-16'!$F$11*0.05+'PTI-16'!$F$12*0.1+'PTI-16'!$F$13*0.01+'PTI-16'!$F$14*0.08+'PTI-16'!$F$15*0.12+'PTI-16'!$F$16*0.31+'PTI-16'!$F$17*-0.08+'PTI-16'!$F$18*0.03+'PTI-16'!$F$19*0.36+'PTI-16'!$F$20*-0.08+'PTI-16'!$F$21*0.11-3.14</f>
        <v>-1.5600000000000003</v>
      </c>
      <c r="BM6" s="92">
        <f>'PTI-16'!$F$7*0.03+'PTI-16'!$F$8*0.48-'PTI-16'!$F$9*0.02+'PTI-16'!$F$10*0.31+'PTI-16'!$F$11*0.03-'PTI-16'!$F$12*0.02+'PTI-16'!$F$13*0.04-'PTI-16'!$F$14*0.04+'PTI-16'!$F$15*0.34+'PTI-16'!$F$16*0.13+'PTI-16'!$F$17*0.07-'PTI-16'!$F$18*0.06+'PTI-16'!$F$19*0.42+'PTI-16'!$F$20*0.1+'PTI-16'!$F$21*0.01+'PTI-16'!$F$22*0.02-4.62</f>
        <v>-2.8199999999999994</v>
      </c>
      <c r="BN6" s="92">
        <f>'PTI-16'!$F$7*-0.18+'PTI-16'!$F$8*0.58+'PTI-16'!$F$9*-0.01+'PTI-16'!$F$10*0.15+'PTI-16'!$F$11*0.05+'PTI-16'!$F$12*0.1+'PTI-16'!$F$13*0.01+'PTI-16'!$F$14*0.08+'PTI-16'!$F$15*0.12+'PTI-16'!$F$16*0.31+'PTI-16'!$F$17*-0.08+'PTI-16'!$F$18*0.03+'PTI-16'!$F$19*0.36+'PTI-16'!$F$20*-0.08+'PTI-16'!$F$21*0.11-3.14</f>
        <v>-1.5600000000000003</v>
      </c>
      <c r="BO6" s="92">
        <f>'PTI-16'!$F$7*0.03+'PTI-16'!$F$8*0.48-'PTI-16'!$F$9*0.02+'PTI-16'!$F$10*0.31+'PTI-16'!$F$11*0.03-'PTI-16'!$F$12*0.02+'PTI-16'!$F$13*0.04-'PTI-16'!$F$14*0.04+'PTI-16'!$F$15*0.34+'PTI-16'!$F$16*0.13+'PTI-16'!$F$17*0.07-'PTI-16'!$F$18*0.06+'PTI-16'!$F$19*0.42+'PTI-16'!$F$20*0.1+'PTI-16'!$F$21*0.01+'PTI-16'!$F$22*0.02-4.62</f>
        <v>-2.8199999999999994</v>
      </c>
      <c r="BP6" s="92">
        <f>'PTI-16'!$F$7*-0.18+'PTI-16'!$F$8*0.58+'PTI-16'!$F$9*-0.01+'PTI-16'!$F$10*0.15+'PTI-16'!$F$11*0.05+'PTI-16'!$F$12*0.1+'PTI-16'!$F$13*0.01+'PTI-16'!$F$14*0.08+'PTI-16'!$F$15*0.12+'PTI-16'!$F$16*0.31+'PTI-16'!$F$17*-0.08+'PTI-16'!$F$18*0.03+'PTI-16'!$F$19*0.36+'PTI-16'!$F$20*-0.08+'PTI-16'!$F$21*0.11-3.14</f>
        <v>-1.5600000000000003</v>
      </c>
      <c r="BQ6" s="92">
        <f>'PTI-16'!$F$7*0.03+'PTI-16'!$F$8*0.48-'PTI-16'!$F$9*0.02+'PTI-16'!$F$10*0.31+'PTI-16'!$F$11*0.03-'PTI-16'!$F$12*0.02+'PTI-16'!$F$13*0.04-'PTI-16'!$F$14*0.04+'PTI-16'!$F$15*0.34+'PTI-16'!$F$16*0.13+'PTI-16'!$F$17*0.07-'PTI-16'!$F$18*0.06+'PTI-16'!$F$19*0.42+'PTI-16'!$F$20*0.1+'PTI-16'!$F$21*0.01+'PTI-16'!$F$22*0.02-4.62</f>
        <v>-2.8199999999999994</v>
      </c>
      <c r="BR6" s="92">
        <f>'PTI-16'!$F$7*-0.18+'PTI-16'!$F$8*0.58+'PTI-16'!$F$9*-0.01+'PTI-16'!$F$10*0.15+'PTI-16'!$F$11*0.05+'PTI-16'!$F$12*0.1+'PTI-16'!$F$13*0.01+'PTI-16'!$F$14*0.08+'PTI-16'!$F$15*0.12+'PTI-16'!$F$16*0.31+'PTI-16'!$F$17*-0.08+'PTI-16'!$F$18*0.03+'PTI-16'!$F$19*0.36+'PTI-16'!$F$20*-0.08+'PTI-16'!$F$21*0.11-3.14</f>
        <v>-1.5600000000000003</v>
      </c>
      <c r="BS6" s="92">
        <f t="shared" ref="BS6:BU6" si="3">+$BZ$29</f>
        <v>1</v>
      </c>
      <c r="BT6" s="92">
        <f t="shared" si="3"/>
        <v>1</v>
      </c>
      <c r="BU6" s="92">
        <f t="shared" si="3"/>
        <v>1</v>
      </c>
      <c r="BV6" s="92"/>
      <c r="BW6" s="92"/>
      <c r="BX6" s="92"/>
      <c r="BY6" s="92"/>
      <c r="BZ6" s="92"/>
      <c r="CA6" s="92"/>
      <c r="CB6" s="92"/>
    </row>
    <row r="7" spans="1:80" ht="12.75" customHeight="1">
      <c r="A7" s="92"/>
      <c r="B7" s="92"/>
      <c r="C7" s="92"/>
      <c r="D7" s="92"/>
      <c r="E7" s="92"/>
      <c r="F7" s="92"/>
      <c r="G7" s="93"/>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t="s">
        <v>271</v>
      </c>
      <c r="BE7" s="92">
        <f>-'PTI-16'!$F$7*0.08+'PTI-16'!$F$8*0.14-'PTI-16'!$F$9*0.02-'PTI-16'!$F$10*0.22+'PTI-16'!$F$11*0.08+'PTI-16'!$F$12*0.06-'PTI-16'!$F$13*0.04+'PTI-16'!$F$14*0.64-'PTI-16'!$F$15*0.18+'PTI-16'!$F$16*0.54-'PTI-16'!$F$17*0.08+'PTI-16'!$F$18*0.05+'PTI-16'!$F$19*0.07-'PTI-16'!$F$20*0.09-'PTI-16'!$F$21*0.01-'PTI-16'!$F$22*0.04+0.99</f>
        <v>1.8200000000000003</v>
      </c>
      <c r="BF7" s="92">
        <f>'PTI-16'!$F$7*-0.06+'PTI-16'!$F$8*0.08+'PTI-16'!$F$9*0.02+'PTI-16'!$F$10*0.09+'PTI-16'!$F$11*-0.16+'PTI-16'!$F$12*-0.18+'PTI-16'!$F$13*-0.07+'PTI-16'!$F$14*0.4+'PTI-16'!$F$15*0.2+'PTI-16'!$F$16*0.15+'PTI-16'!$F$17*0.14+'PTI-16'!$F$18*-0.08+'PTI-16'!$F$19*-0.12+'PTI-16'!$F$20*0.61+'PTI-16'!$F$21*0.04+'PTI-16'!$F$22*0.03-0.11</f>
        <v>0.93</v>
      </c>
      <c r="BG7" s="92">
        <f>-'PTI-16'!$F$7*0.08+'PTI-16'!$F$8*0.14-'PTI-16'!$F$9*0.02-'PTI-16'!$F$10*0.22+'PTI-16'!$F$11*0.08+'PTI-16'!$F$12*0.06-'PTI-16'!$F$13*0.04+'PTI-16'!$F$14*0.64-'PTI-16'!$F$15*0.18+'PTI-16'!$F$16*0.54-'PTI-16'!$F$17*0.08+'PTI-16'!$F$18*0.05+'PTI-16'!$F$19*0.07-'PTI-16'!$F$20*0.09-'PTI-16'!$F$21*0.01-'PTI-16'!$F$22*0.04+0.99</f>
        <v>1.8200000000000003</v>
      </c>
      <c r="BH7" s="92">
        <f>'PTI-16'!$F$7*-0.06+'PTI-16'!$F$8*0.08+'PTI-16'!$F$9*0.02+'PTI-16'!$F$10*0.09+'PTI-16'!$F$11*-0.16+'PTI-16'!$F$12*-0.18+'PTI-16'!$F$13*-0.07+'PTI-16'!$F$14*0.4+'PTI-16'!$F$15*0.2+'PTI-16'!$F$16*0.15+'PTI-16'!$F$17*0.14+'PTI-16'!$F$18*-0.08+'PTI-16'!$F$19*-0.12+'PTI-16'!$F$20*0.61+'PTI-16'!$F$21*0.04+'PTI-16'!$F$22*0.03-0.11</f>
        <v>0.93</v>
      </c>
      <c r="BI7" s="92">
        <f>-'PTI-16'!$F$7*0.08+'PTI-16'!$F$8*0.14-'PTI-16'!$F$9*0.02-'PTI-16'!$F$10*0.22+'PTI-16'!$F$11*0.08+'PTI-16'!$F$12*0.06-'PTI-16'!$F$13*0.04+'PTI-16'!$F$14*0.64-'PTI-16'!$F$15*0.18+'PTI-16'!$F$16*0.54-'PTI-16'!$F$17*0.08+'PTI-16'!$F$18*0.05+'PTI-16'!$F$19*0.07-'PTI-16'!$F$20*0.09-'PTI-16'!$F$21*0.01-'PTI-16'!$F$22*0.04+0.99</f>
        <v>1.8200000000000003</v>
      </c>
      <c r="BJ7" s="92">
        <f>'PTI-16'!$F$7*-0.06+'PTI-16'!$F$8*0.08+'PTI-16'!$F$9*0.02+'PTI-16'!$F$10*0.09+'PTI-16'!$F$11*-0.16+'PTI-16'!$F$12*-0.18+'PTI-16'!$F$13*-0.07+'PTI-16'!$F$14*0.4+'PTI-16'!$F$15*0.2+'PTI-16'!$F$16*0.15+'PTI-16'!$F$17*0.14+'PTI-16'!$F$18*-0.08+'PTI-16'!$F$19*-0.12+'PTI-16'!$F$20*0.61+'PTI-16'!$F$21*0.04+'PTI-16'!$F$22*0.03-0.11</f>
        <v>0.93</v>
      </c>
      <c r="BK7" s="92">
        <f>-'PTI-16'!$F$7*0.08+'PTI-16'!$F$8*0.14-'PTI-16'!$F$9*0.02-'PTI-16'!$F$10*0.22+'PTI-16'!$F$11*0.08+'PTI-16'!$F$12*0.06-'PTI-16'!$F$13*0.04+'PTI-16'!$F$14*0.64-'PTI-16'!$F$15*0.18+'PTI-16'!$F$16*0.54-'PTI-16'!$F$17*0.08+'PTI-16'!$F$18*0.05+'PTI-16'!$F$19*0.07-'PTI-16'!$F$20*0.09-'PTI-16'!$F$21*0.01-'PTI-16'!$F$22*0.04+0.99</f>
        <v>1.8200000000000003</v>
      </c>
      <c r="BL7" s="92">
        <f>'PTI-16'!$F$7*-0.06+'PTI-16'!$F$8*0.08+'PTI-16'!$F$9*0.02+'PTI-16'!$F$10*0.09+'PTI-16'!$F$11*-0.16+'PTI-16'!$F$12*-0.18+'PTI-16'!$F$13*-0.07+'PTI-16'!$F$14*0.4+'PTI-16'!$F$15*0.2+'PTI-16'!$F$16*0.15+'PTI-16'!$F$17*0.14+'PTI-16'!$F$18*-0.08+'PTI-16'!$F$19*-0.12+'PTI-16'!$F$20*0.61+'PTI-16'!$F$21*0.04+'PTI-16'!$F$22*0.03-0.11</f>
        <v>0.93</v>
      </c>
      <c r="BM7" s="92">
        <f>-'PTI-16'!$F$7*0.08+'PTI-16'!$F$8*0.14-'PTI-16'!$F$9*0.02-'PTI-16'!$F$10*0.22+'PTI-16'!$F$11*0.08+'PTI-16'!$F$12*0.06-'PTI-16'!$F$13*0.04+'PTI-16'!$F$14*0.64-'PTI-16'!$F$15*0.18+'PTI-16'!$F$16*0.54-'PTI-16'!$F$17*0.08+'PTI-16'!$F$18*0.05+'PTI-16'!$F$19*0.07-'PTI-16'!$F$20*0.09-'PTI-16'!$F$21*0.01-'PTI-16'!$F$22*0.04+0.99</f>
        <v>1.8200000000000003</v>
      </c>
      <c r="BN7" s="92">
        <f>'PTI-16'!$F$7*-0.06+'PTI-16'!$F$8*0.08+'PTI-16'!$F$9*0.02+'PTI-16'!$F$10*0.09+'PTI-16'!$F$11*-0.16+'PTI-16'!$F$12*-0.18+'PTI-16'!$F$13*-0.07+'PTI-16'!$F$14*0.4+'PTI-16'!$F$15*0.2+'PTI-16'!$F$16*0.15+'PTI-16'!$F$17*0.14+'PTI-16'!$F$18*-0.08+'PTI-16'!$F$19*-0.12+'PTI-16'!$F$20*0.61+'PTI-16'!$F$21*0.04+'PTI-16'!$F$22*0.03-0.11</f>
        <v>0.93</v>
      </c>
      <c r="BO7" s="92">
        <f>-'PTI-16'!$F$7*0.08+'PTI-16'!$F$8*0.14-'PTI-16'!$F$9*0.02-'PTI-16'!$F$10*0.22+'PTI-16'!$F$11*0.08+'PTI-16'!$F$12*0.06-'PTI-16'!$F$13*0.04+'PTI-16'!$F$14*0.64-'PTI-16'!$F$15*0.18+'PTI-16'!$F$16*0.54-'PTI-16'!$F$17*0.08+'PTI-16'!$F$18*0.05+'PTI-16'!$F$19*0.07-'PTI-16'!$F$20*0.09-'PTI-16'!$F$21*0.01-'PTI-16'!$F$22*0.04+0.99</f>
        <v>1.8200000000000003</v>
      </c>
      <c r="BP7" s="92">
        <f>'PTI-16'!$F$7*-0.06+'PTI-16'!$F$8*0.08+'PTI-16'!$F$9*0.02+'PTI-16'!$F$10*0.09+'PTI-16'!$F$11*-0.16+'PTI-16'!$F$12*-0.18+'PTI-16'!$F$13*-0.07+'PTI-16'!$F$14*0.4+'PTI-16'!$F$15*0.2+'PTI-16'!$F$16*0.15+'PTI-16'!$F$17*0.14+'PTI-16'!$F$18*-0.08+'PTI-16'!$F$19*-0.12+'PTI-16'!$F$20*0.61+'PTI-16'!$F$21*0.04+'PTI-16'!$F$22*0.03-0.11</f>
        <v>0.93</v>
      </c>
      <c r="BQ7" s="92">
        <f>-'PTI-16'!$F$7*0.08+'PTI-16'!$F$8*0.14-'PTI-16'!$F$9*0.02-'PTI-16'!$F$10*0.22+'PTI-16'!$F$11*0.08+'PTI-16'!$F$12*0.06-'PTI-16'!$F$13*0.04+'PTI-16'!$F$14*0.64-'PTI-16'!$F$15*0.18+'PTI-16'!$F$16*0.54-'PTI-16'!$F$17*0.08+'PTI-16'!$F$18*0.05+'PTI-16'!$F$19*0.07-'PTI-16'!$F$20*0.09-'PTI-16'!$F$21*0.01-'PTI-16'!$F$22*0.04+0.99</f>
        <v>1.8200000000000003</v>
      </c>
      <c r="BR7" s="92">
        <f>'PTI-16'!$F$7*-0.06+'PTI-16'!$F$8*0.08+'PTI-16'!$F$9*0.02+'PTI-16'!$F$10*0.09+'PTI-16'!$F$11*-0.16+'PTI-16'!$F$12*-0.18+'PTI-16'!$F$13*-0.07+'PTI-16'!$F$14*0.4+'PTI-16'!$F$15*0.2+'PTI-16'!$F$16*0.15+'PTI-16'!$F$17*0.14+'PTI-16'!$F$18*-0.08+'PTI-16'!$F$19*-0.12+'PTI-16'!$F$20*0.61+'PTI-16'!$F$21*0.04+'PTI-16'!$F$22*0.03-0.11</f>
        <v>0.93</v>
      </c>
      <c r="BS7" s="92"/>
      <c r="BT7" s="92"/>
      <c r="BU7" s="92"/>
      <c r="BV7" s="92"/>
      <c r="BW7" s="92"/>
      <c r="BX7" s="92"/>
      <c r="BY7" s="92"/>
      <c r="BZ7" s="92"/>
      <c r="CA7" s="92"/>
      <c r="CB7" s="92"/>
    </row>
    <row r="8" spans="1:80" ht="12.75" customHeight="1">
      <c r="A8" s="92"/>
      <c r="B8" s="92"/>
      <c r="C8" s="92" t="s">
        <v>272</v>
      </c>
      <c r="D8" s="92"/>
      <c r="E8" s="92"/>
      <c r="F8" s="92"/>
      <c r="G8" s="93" t="s">
        <v>273</v>
      </c>
      <c r="H8" s="92"/>
      <c r="I8" s="92"/>
      <c r="J8" s="92"/>
      <c r="K8" s="92"/>
      <c r="L8" s="92"/>
      <c r="M8" s="92"/>
      <c r="N8" s="92"/>
      <c r="O8" s="92"/>
      <c r="P8" s="92"/>
      <c r="Q8" s="92"/>
      <c r="R8" s="92"/>
      <c r="S8" s="92"/>
      <c r="T8" s="92"/>
      <c r="U8" s="92"/>
      <c r="V8" s="92"/>
      <c r="W8" s="92"/>
      <c r="X8" s="92"/>
      <c r="Y8" s="92"/>
      <c r="Z8" s="92"/>
      <c r="AA8" s="92"/>
      <c r="AB8" s="92"/>
      <c r="AC8" s="92"/>
      <c r="AD8" s="92"/>
      <c r="AE8" s="92"/>
      <c r="AF8" s="92"/>
      <c r="AG8" s="92"/>
      <c r="AH8" s="92"/>
      <c r="AI8" s="92"/>
      <c r="AJ8" s="92"/>
      <c r="AK8" s="92"/>
      <c r="AL8" s="92"/>
      <c r="AM8" s="92"/>
      <c r="AN8" s="92"/>
      <c r="AO8" s="92"/>
      <c r="AP8" s="92"/>
      <c r="AQ8" s="92"/>
      <c r="AR8" s="92"/>
      <c r="AS8" s="92"/>
      <c r="AT8" s="92"/>
      <c r="AU8" s="92"/>
      <c r="AV8" s="92"/>
      <c r="AW8" s="92"/>
      <c r="AX8" s="92"/>
      <c r="AY8" s="92"/>
      <c r="AZ8" s="92"/>
      <c r="BA8" s="92"/>
      <c r="BB8" s="92"/>
      <c r="BC8" s="92"/>
      <c r="BD8" s="92" t="s">
        <v>274</v>
      </c>
      <c r="BE8" s="92">
        <f t="shared" ref="BE8:BU8" si="4">+$BX$29</f>
        <v>10</v>
      </c>
      <c r="BF8" s="92">
        <f t="shared" si="4"/>
        <v>10</v>
      </c>
      <c r="BG8" s="92">
        <f t="shared" si="4"/>
        <v>10</v>
      </c>
      <c r="BH8" s="92">
        <f t="shared" si="4"/>
        <v>10</v>
      </c>
      <c r="BI8" s="92">
        <f t="shared" si="4"/>
        <v>10</v>
      </c>
      <c r="BJ8" s="92">
        <f t="shared" si="4"/>
        <v>10</v>
      </c>
      <c r="BK8" s="92">
        <f t="shared" si="4"/>
        <v>10</v>
      </c>
      <c r="BL8" s="92">
        <f t="shared" si="4"/>
        <v>10</v>
      </c>
      <c r="BM8" s="92">
        <f t="shared" si="4"/>
        <v>10</v>
      </c>
      <c r="BN8" s="92">
        <f t="shared" si="4"/>
        <v>10</v>
      </c>
      <c r="BO8" s="92">
        <f t="shared" si="4"/>
        <v>10</v>
      </c>
      <c r="BP8" s="92">
        <f t="shared" si="4"/>
        <v>10</v>
      </c>
      <c r="BQ8" s="92">
        <f t="shared" si="4"/>
        <v>10</v>
      </c>
      <c r="BR8" s="92">
        <f t="shared" si="4"/>
        <v>10</v>
      </c>
      <c r="BS8" s="92">
        <f t="shared" si="4"/>
        <v>10</v>
      </c>
      <c r="BT8" s="92">
        <f t="shared" si="4"/>
        <v>10</v>
      </c>
      <c r="BU8" s="92">
        <f t="shared" si="4"/>
        <v>10</v>
      </c>
      <c r="BV8" s="92"/>
      <c r="BW8" s="92"/>
      <c r="BX8" s="92"/>
      <c r="BY8" s="92"/>
      <c r="BZ8" s="92"/>
      <c r="CA8" s="92"/>
      <c r="CB8" s="92"/>
    </row>
    <row r="9" spans="1:80" ht="12.75" customHeight="1">
      <c r="A9" s="92"/>
      <c r="B9" s="92"/>
      <c r="C9" s="94" t="s">
        <v>275</v>
      </c>
      <c r="D9" s="92"/>
      <c r="E9" s="92"/>
      <c r="F9" s="92"/>
      <c r="G9" s="93" t="s">
        <v>276</v>
      </c>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c r="BJ9" s="92"/>
      <c r="BK9" s="92"/>
      <c r="BL9" s="92"/>
      <c r="BM9" s="92"/>
      <c r="BN9" s="92"/>
      <c r="BO9" s="92"/>
      <c r="BP9" s="92"/>
      <c r="BQ9" s="92"/>
      <c r="BR9" s="92" t="s">
        <v>277</v>
      </c>
      <c r="BS9" s="95" t="s">
        <v>198</v>
      </c>
      <c r="BT9" s="96"/>
      <c r="BU9" s="95" t="s">
        <v>202</v>
      </c>
      <c r="BV9" s="96"/>
      <c r="BW9" s="95" t="s">
        <v>278</v>
      </c>
      <c r="BX9" s="96"/>
      <c r="BY9" s="95" t="s">
        <v>207</v>
      </c>
      <c r="BZ9" s="96"/>
      <c r="CA9" s="95" t="s">
        <v>279</v>
      </c>
      <c r="CB9" s="96"/>
    </row>
    <row r="10" spans="1:80" ht="12.75" customHeight="1">
      <c r="A10" s="92"/>
      <c r="B10" s="92" t="s">
        <v>3</v>
      </c>
      <c r="C10" s="92" t="s">
        <v>3</v>
      </c>
      <c r="D10" s="92" t="s">
        <v>280</v>
      </c>
      <c r="E10" s="92" t="s">
        <v>281</v>
      </c>
      <c r="F10" s="92"/>
      <c r="G10" s="93" t="s">
        <v>282</v>
      </c>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t="s">
        <v>283</v>
      </c>
      <c r="AZ10" s="92">
        <v>0</v>
      </c>
      <c r="BA10" s="92">
        <v>4</v>
      </c>
      <c r="BB10" s="92">
        <v>7</v>
      </c>
      <c r="BC10" s="92">
        <v>10</v>
      </c>
      <c r="BD10" s="92">
        <v>13</v>
      </c>
      <c r="BE10" s="92">
        <v>16</v>
      </c>
      <c r="BF10" s="92">
        <v>17</v>
      </c>
      <c r="BG10" s="92">
        <v>18</v>
      </c>
      <c r="BH10" s="92">
        <v>19</v>
      </c>
      <c r="BI10" s="92">
        <v>20</v>
      </c>
      <c r="BJ10" s="92">
        <v>21</v>
      </c>
      <c r="BK10" s="92">
        <v>22</v>
      </c>
      <c r="BL10" s="92">
        <v>23</v>
      </c>
      <c r="BM10" s="92">
        <v>24</v>
      </c>
      <c r="BN10" s="92">
        <v>99</v>
      </c>
      <c r="BO10" s="92"/>
      <c r="BP10" s="92"/>
      <c r="BQ10" s="92"/>
      <c r="BR10" s="92" t="s">
        <v>284</v>
      </c>
      <c r="BS10" s="97">
        <v>0.2</v>
      </c>
      <c r="BT10" s="98">
        <f>+BS10*A</f>
        <v>0.2</v>
      </c>
      <c r="BU10" s="97">
        <v>0.5</v>
      </c>
      <c r="BV10" s="98">
        <f>+BU10*A</f>
        <v>0.5</v>
      </c>
      <c r="BW10" s="97">
        <v>-0.2</v>
      </c>
      <c r="BX10" s="98">
        <f>+BW10*A</f>
        <v>-0.2</v>
      </c>
      <c r="BY10" s="97">
        <v>-0.1</v>
      </c>
      <c r="BZ10" s="98">
        <f>+BY10*A</f>
        <v>-0.1</v>
      </c>
      <c r="CA10" s="97">
        <v>0.3</v>
      </c>
      <c r="CB10" s="98">
        <f>+CA10*A</f>
        <v>0.3</v>
      </c>
    </row>
    <row r="11" spans="1:80" ht="12.75" customHeight="1">
      <c r="A11" s="92"/>
      <c r="B11" s="92" t="s">
        <v>285</v>
      </c>
      <c r="C11" s="92" t="s">
        <v>286</v>
      </c>
      <c r="D11" s="92"/>
      <c r="E11" s="92"/>
      <c r="F11" s="92"/>
      <c r="G11" s="93" t="s">
        <v>287</v>
      </c>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t="s">
        <v>288</v>
      </c>
      <c r="AL11" s="92"/>
      <c r="AM11" s="92"/>
      <c r="AN11" s="92"/>
      <c r="AO11" s="92"/>
      <c r="AP11" s="92"/>
      <c r="AQ11" s="92"/>
      <c r="AR11" s="92"/>
      <c r="AS11" s="92"/>
      <c r="AT11" s="92"/>
      <c r="AU11" s="92"/>
      <c r="AV11" s="92"/>
      <c r="AW11" s="92"/>
      <c r="AX11" s="92"/>
      <c r="AY11" s="92" t="s">
        <v>289</v>
      </c>
      <c r="AZ11" s="92" t="s">
        <v>289</v>
      </c>
      <c r="BA11" s="92" t="s">
        <v>290</v>
      </c>
      <c r="BB11" s="92" t="s">
        <v>291</v>
      </c>
      <c r="BC11" s="92" t="s">
        <v>292</v>
      </c>
      <c r="BD11" s="92" t="s">
        <v>293</v>
      </c>
      <c r="BE11" s="92" t="s">
        <v>294</v>
      </c>
      <c r="BF11" s="92" t="s">
        <v>294</v>
      </c>
      <c r="BG11" s="92" t="s">
        <v>294</v>
      </c>
      <c r="BH11" s="92" t="s">
        <v>294</v>
      </c>
      <c r="BI11" s="92" t="s">
        <v>294</v>
      </c>
      <c r="BJ11" s="92" t="s">
        <v>294</v>
      </c>
      <c r="BK11" s="92" t="s">
        <v>294</v>
      </c>
      <c r="BL11" s="92" t="s">
        <v>294</v>
      </c>
      <c r="BM11" s="92" t="s">
        <v>294</v>
      </c>
      <c r="BN11" s="92" t="s">
        <v>294</v>
      </c>
      <c r="BO11" s="92"/>
      <c r="BP11" s="92"/>
      <c r="BQ11" s="92"/>
      <c r="BR11" s="92" t="s">
        <v>295</v>
      </c>
      <c r="BS11" s="97">
        <v>0.2</v>
      </c>
      <c r="BT11" s="98">
        <f>+BS11*B</f>
        <v>0.2</v>
      </c>
      <c r="BU11" s="97">
        <v>0.1</v>
      </c>
      <c r="BV11" s="98">
        <f>+BU11*B</f>
        <v>0.1</v>
      </c>
      <c r="BW11" s="97">
        <v>-0.1</v>
      </c>
      <c r="BX11" s="98">
        <f>+BW11*B</f>
        <v>-0.1</v>
      </c>
      <c r="BY11" s="97">
        <v>0.1</v>
      </c>
      <c r="BZ11" s="98">
        <f>+BY11*B</f>
        <v>0.1</v>
      </c>
      <c r="CA11" s="97"/>
      <c r="CB11" s="98">
        <f>+CA11*B</f>
        <v>0</v>
      </c>
    </row>
    <row r="12" spans="1:80" ht="12.75" customHeight="1">
      <c r="A12" s="92" t="s">
        <v>5</v>
      </c>
      <c r="B12" s="92">
        <f>HLOOKUP('PTI-16'!$C$7,ta,'PTI-16'!$B$4+1)</f>
        <v>1</v>
      </c>
      <c r="C12" s="92">
        <f>+IF('PTI-16'!$G$4&gt;9,B12-1,B12)</f>
        <v>1</v>
      </c>
      <c r="D12" s="92">
        <f>+IF(C12&gt;10,10,C12)</f>
        <v>1</v>
      </c>
      <c r="E12" s="92">
        <f t="shared" ref="E12:E27" si="5">+IF(D12&lt;1,1,D12)</f>
        <v>1</v>
      </c>
      <c r="F12" s="92"/>
      <c r="G12" s="93" t="s">
        <v>296</v>
      </c>
      <c r="H12" s="92">
        <v>0</v>
      </c>
      <c r="I12" s="92">
        <v>1</v>
      </c>
      <c r="J12" s="92">
        <v>2</v>
      </c>
      <c r="K12" s="92">
        <v>3</v>
      </c>
      <c r="L12" s="92">
        <v>4</v>
      </c>
      <c r="M12" s="92">
        <v>5</v>
      </c>
      <c r="N12" s="92">
        <v>6</v>
      </c>
      <c r="O12" s="92">
        <v>7</v>
      </c>
      <c r="P12" s="92">
        <v>8</v>
      </c>
      <c r="Q12" s="92">
        <v>9</v>
      </c>
      <c r="R12" s="92">
        <v>10</v>
      </c>
      <c r="S12" s="92">
        <v>11</v>
      </c>
      <c r="T12" s="92">
        <v>12</v>
      </c>
      <c r="U12" s="92">
        <v>13</v>
      </c>
      <c r="V12" s="92">
        <v>14</v>
      </c>
      <c r="W12" s="92">
        <v>15</v>
      </c>
      <c r="X12" s="92">
        <v>16</v>
      </c>
      <c r="Y12" s="92">
        <v>17</v>
      </c>
      <c r="Z12" s="92">
        <v>18</v>
      </c>
      <c r="AA12" s="92">
        <v>19</v>
      </c>
      <c r="AB12" s="92">
        <v>20</v>
      </c>
      <c r="AC12" s="92">
        <v>21</v>
      </c>
      <c r="AD12" s="92">
        <v>22</v>
      </c>
      <c r="AE12" s="92">
        <v>23</v>
      </c>
      <c r="AF12" s="92">
        <v>24</v>
      </c>
      <c r="AG12" s="92">
        <v>25</v>
      </c>
      <c r="AH12" s="92">
        <v>26</v>
      </c>
      <c r="AI12" s="92">
        <v>27</v>
      </c>
      <c r="AJ12" s="92">
        <v>99</v>
      </c>
      <c r="AK12" s="92" t="s">
        <v>288</v>
      </c>
      <c r="AL12" s="92"/>
      <c r="AM12" s="92"/>
      <c r="AN12" s="92"/>
      <c r="AO12" s="92"/>
      <c r="AP12" s="92"/>
      <c r="AQ12" s="92"/>
      <c r="AR12" s="92"/>
      <c r="AS12" s="92"/>
      <c r="AT12" s="92"/>
      <c r="AU12" s="92"/>
      <c r="AV12" s="92"/>
      <c r="AW12" s="92"/>
      <c r="AX12" s="92"/>
      <c r="AY12" s="92"/>
      <c r="AZ12" s="92" t="s">
        <v>289</v>
      </c>
      <c r="BA12" s="92" t="s">
        <v>289</v>
      </c>
      <c r="BB12" s="92" t="s">
        <v>289</v>
      </c>
      <c r="BC12" s="92" t="s">
        <v>290</v>
      </c>
      <c r="BD12" s="92" t="s">
        <v>297</v>
      </c>
      <c r="BE12" s="92" t="s">
        <v>297</v>
      </c>
      <c r="BF12" s="92" t="s">
        <v>297</v>
      </c>
      <c r="BG12" s="92" t="s">
        <v>292</v>
      </c>
      <c r="BH12" s="92" t="s">
        <v>292</v>
      </c>
      <c r="BI12" s="92" t="s">
        <v>292</v>
      </c>
      <c r="BJ12" s="92" t="s">
        <v>293</v>
      </c>
      <c r="BK12" s="92" t="s">
        <v>293</v>
      </c>
      <c r="BL12" s="92" t="s">
        <v>293</v>
      </c>
      <c r="BM12" s="92" t="s">
        <v>293</v>
      </c>
      <c r="BN12" s="92" t="s">
        <v>298</v>
      </c>
      <c r="BO12" s="92"/>
      <c r="BP12" s="92"/>
      <c r="BQ12" s="92"/>
      <c r="BR12" s="92" t="s">
        <v>299</v>
      </c>
      <c r="BS12" s="97">
        <v>-0.3</v>
      </c>
      <c r="BT12" s="98">
        <f>+BS12*C_</f>
        <v>-0.3</v>
      </c>
      <c r="BU12" s="97">
        <v>-0.1</v>
      </c>
      <c r="BV12" s="98">
        <f>+BU12*C_</f>
        <v>-0.1</v>
      </c>
      <c r="BW12" s="97">
        <v>-0.1</v>
      </c>
      <c r="BX12" s="98">
        <f>+BW12*C_</f>
        <v>-0.1</v>
      </c>
      <c r="BY12" s="97">
        <v>0.1</v>
      </c>
      <c r="BZ12" s="98">
        <f>+BY12*C_</f>
        <v>0.1</v>
      </c>
      <c r="CA12" s="97">
        <v>-0.1</v>
      </c>
      <c r="CB12" s="98">
        <f>+CA12*C_</f>
        <v>-0.1</v>
      </c>
    </row>
    <row r="13" spans="1:80" ht="12.75" customHeight="1">
      <c r="A13" s="92" t="s">
        <v>8</v>
      </c>
      <c r="B13" s="92">
        <f>HLOOKUP('PTI-16'!$C$8,TB,'PTI-16'!$B$4+1)</f>
        <v>1</v>
      </c>
      <c r="C13" s="92">
        <f>+B13</f>
        <v>1</v>
      </c>
      <c r="D13" s="92">
        <f t="shared" ref="D13:D27" si="6">IF(C13&gt;10,10,C13)</f>
        <v>1</v>
      </c>
      <c r="E13" s="92">
        <f t="shared" si="5"/>
        <v>1</v>
      </c>
      <c r="F13" s="92">
        <v>1</v>
      </c>
      <c r="G13" s="93" t="s">
        <v>300</v>
      </c>
      <c r="H13" s="99">
        <v>1</v>
      </c>
      <c r="I13" s="99">
        <v>1</v>
      </c>
      <c r="J13" s="99">
        <v>1</v>
      </c>
      <c r="K13" s="99">
        <v>1</v>
      </c>
      <c r="L13" s="99">
        <v>2</v>
      </c>
      <c r="M13" s="99">
        <v>2</v>
      </c>
      <c r="N13" s="99">
        <v>3</v>
      </c>
      <c r="O13" s="99">
        <v>3</v>
      </c>
      <c r="P13" s="99">
        <v>4</v>
      </c>
      <c r="Q13" s="99">
        <v>5</v>
      </c>
      <c r="R13" s="99">
        <v>5</v>
      </c>
      <c r="S13" s="99">
        <v>6</v>
      </c>
      <c r="T13" s="99">
        <v>6</v>
      </c>
      <c r="U13" s="99">
        <v>7</v>
      </c>
      <c r="V13" s="99">
        <v>8</v>
      </c>
      <c r="W13" s="99">
        <v>8</v>
      </c>
      <c r="X13" s="99">
        <v>9</v>
      </c>
      <c r="Y13" s="99">
        <v>10</v>
      </c>
      <c r="Z13" s="99">
        <v>10</v>
      </c>
      <c r="AA13" s="99">
        <v>10</v>
      </c>
      <c r="AB13" s="99">
        <v>10</v>
      </c>
      <c r="AC13" s="92" t="s">
        <v>301</v>
      </c>
      <c r="AD13" s="92" t="s">
        <v>301</v>
      </c>
      <c r="AE13" s="92" t="s">
        <v>301</v>
      </c>
      <c r="AF13" s="92" t="s">
        <v>301</v>
      </c>
      <c r="AG13" s="92" t="s">
        <v>301</v>
      </c>
      <c r="AH13" s="92" t="s">
        <v>301</v>
      </c>
      <c r="AI13" s="92" t="s">
        <v>301</v>
      </c>
      <c r="AJ13" s="92" t="s">
        <v>301</v>
      </c>
      <c r="AK13" s="92" t="s">
        <v>288</v>
      </c>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c r="BJ13" s="92"/>
      <c r="BK13" s="92"/>
      <c r="BL13" s="92"/>
      <c r="BM13" s="92"/>
      <c r="BN13" s="92"/>
      <c r="BO13" s="92"/>
      <c r="BP13" s="92"/>
      <c r="BQ13" s="92"/>
      <c r="BR13" s="92" t="s">
        <v>302</v>
      </c>
      <c r="BS13" s="97">
        <v>0.1</v>
      </c>
      <c r="BT13" s="98">
        <f>+BS13*E</f>
        <v>0.1</v>
      </c>
      <c r="BU13" s="97"/>
      <c r="BV13" s="98">
        <f>+BU13*E</f>
        <v>0</v>
      </c>
      <c r="BW13" s="97">
        <v>-0.1</v>
      </c>
      <c r="BX13" s="98">
        <f>+BW13*E</f>
        <v>-0.1</v>
      </c>
      <c r="BY13" s="97">
        <v>0.7</v>
      </c>
      <c r="BZ13" s="98">
        <f>+BY13*E</f>
        <v>0.7</v>
      </c>
      <c r="CA13" s="97">
        <v>0.1</v>
      </c>
      <c r="CB13" s="98">
        <f>+CA13*E</f>
        <v>0.1</v>
      </c>
    </row>
    <row r="14" spans="1:80" ht="12.75" customHeight="1">
      <c r="A14" s="92" t="s">
        <v>11</v>
      </c>
      <c r="B14" s="92">
        <f>HLOOKUP('PTI-16'!$C$9,tc,'PTI-16'!$B$4+1)</f>
        <v>1</v>
      </c>
      <c r="C14" s="92">
        <f>+IF('PTI-16'!$G$4&gt;9,B14-2,B14)</f>
        <v>1</v>
      </c>
      <c r="D14" s="92">
        <f t="shared" si="6"/>
        <v>1</v>
      </c>
      <c r="E14" s="92">
        <f t="shared" si="5"/>
        <v>1</v>
      </c>
      <c r="F14" s="92">
        <v>2</v>
      </c>
      <c r="G14" s="93" t="s">
        <v>303</v>
      </c>
      <c r="H14" s="99">
        <v>1</v>
      </c>
      <c r="I14" s="99">
        <v>1</v>
      </c>
      <c r="J14" s="99">
        <v>1</v>
      </c>
      <c r="K14" s="99">
        <v>1</v>
      </c>
      <c r="L14" s="99">
        <v>1</v>
      </c>
      <c r="M14" s="99">
        <v>2</v>
      </c>
      <c r="N14" s="99">
        <v>2</v>
      </c>
      <c r="O14" s="99">
        <v>3</v>
      </c>
      <c r="P14" s="99">
        <v>3</v>
      </c>
      <c r="Q14" s="99">
        <v>4</v>
      </c>
      <c r="R14" s="99">
        <v>5</v>
      </c>
      <c r="S14" s="99">
        <v>5</v>
      </c>
      <c r="T14" s="99">
        <v>6</v>
      </c>
      <c r="U14" s="99">
        <v>7</v>
      </c>
      <c r="V14" s="99">
        <v>7</v>
      </c>
      <c r="W14" s="99">
        <v>8</v>
      </c>
      <c r="X14" s="99">
        <v>8</v>
      </c>
      <c r="Y14" s="99">
        <v>9</v>
      </c>
      <c r="Z14" s="99">
        <v>10</v>
      </c>
      <c r="AA14" s="99">
        <v>10</v>
      </c>
      <c r="AB14" s="99">
        <v>10</v>
      </c>
      <c r="AC14" s="92" t="s">
        <v>301</v>
      </c>
      <c r="AD14" s="92" t="s">
        <v>301</v>
      </c>
      <c r="AE14" s="92" t="s">
        <v>301</v>
      </c>
      <c r="AF14" s="92" t="s">
        <v>301</v>
      </c>
      <c r="AG14" s="92" t="s">
        <v>301</v>
      </c>
      <c r="AH14" s="92" t="s">
        <v>301</v>
      </c>
      <c r="AI14" s="92" t="s">
        <v>301</v>
      </c>
      <c r="AJ14" s="92" t="s">
        <v>301</v>
      </c>
      <c r="AK14" s="92" t="s">
        <v>288</v>
      </c>
      <c r="AL14" s="92"/>
      <c r="AM14" s="92"/>
      <c r="AN14" s="92"/>
      <c r="AO14" s="92"/>
      <c r="AP14" s="92"/>
      <c r="AQ14" s="92"/>
      <c r="AR14" s="92"/>
      <c r="AS14" s="92"/>
      <c r="AT14" s="92"/>
      <c r="AU14" s="92"/>
      <c r="AV14" s="92"/>
      <c r="AW14" s="92"/>
      <c r="AX14" s="92"/>
      <c r="AY14" s="92"/>
      <c r="AZ14" s="92"/>
      <c r="BA14" s="92"/>
      <c r="BB14" s="92"/>
      <c r="BC14" s="92">
        <v>14</v>
      </c>
      <c r="BD14" s="239" t="str">
        <f>HLOOKUP('PTI-16'!G4,tabladis,2)</f>
        <v>Muy Sincero</v>
      </c>
      <c r="BE14" s="238"/>
      <c r="BF14" s="100"/>
      <c r="BG14" s="100"/>
      <c r="BH14" s="100"/>
      <c r="BI14" s="100"/>
      <c r="BJ14" s="100"/>
      <c r="BK14" s="92"/>
      <c r="BL14" s="92"/>
      <c r="BM14" s="92"/>
      <c r="BN14" s="92"/>
      <c r="BO14" s="92"/>
      <c r="BP14" s="92"/>
      <c r="BQ14" s="92"/>
      <c r="BR14" s="92" t="s">
        <v>304</v>
      </c>
      <c r="BS14" s="97">
        <v>0.1</v>
      </c>
      <c r="BT14" s="98">
        <f>+BS14*_F</f>
        <v>0.1</v>
      </c>
      <c r="BU14" s="97">
        <v>0.3</v>
      </c>
      <c r="BV14" s="98">
        <f>+BU14*_F</f>
        <v>0.3</v>
      </c>
      <c r="BW14" s="97">
        <v>0.3</v>
      </c>
      <c r="BX14" s="98">
        <f>+BW14*_F</f>
        <v>0.3</v>
      </c>
      <c r="BY14" s="97">
        <v>0.3</v>
      </c>
      <c r="BZ14" s="98">
        <f>+BY14*_F</f>
        <v>0.3</v>
      </c>
      <c r="CA14" s="97">
        <v>-0.3</v>
      </c>
      <c r="CB14" s="98">
        <f>+CA14*_F</f>
        <v>-0.3</v>
      </c>
    </row>
    <row r="15" spans="1:80" ht="12.75" customHeight="1">
      <c r="A15" s="92" t="s">
        <v>14</v>
      </c>
      <c r="B15" s="92">
        <f>HLOOKUP('PTI-16'!$C$10,TE,'PTI-16'!$B$4+1)</f>
        <v>1</v>
      </c>
      <c r="C15" s="92">
        <f t="shared" ref="C15:C16" si="7">+B15</f>
        <v>1</v>
      </c>
      <c r="D15" s="92">
        <f t="shared" si="6"/>
        <v>1</v>
      </c>
      <c r="E15" s="92">
        <f t="shared" si="5"/>
        <v>1</v>
      </c>
      <c r="F15" s="92">
        <v>3</v>
      </c>
      <c r="G15" s="93" t="s">
        <v>305</v>
      </c>
      <c r="H15" s="99">
        <v>1</v>
      </c>
      <c r="I15" s="99">
        <v>1</v>
      </c>
      <c r="J15" s="99">
        <v>1</v>
      </c>
      <c r="K15" s="99">
        <v>1</v>
      </c>
      <c r="L15" s="99">
        <v>1</v>
      </c>
      <c r="M15" s="99">
        <v>2</v>
      </c>
      <c r="N15" s="99">
        <v>3</v>
      </c>
      <c r="O15" s="99">
        <v>3</v>
      </c>
      <c r="P15" s="99">
        <v>4</v>
      </c>
      <c r="Q15" s="99">
        <v>4</v>
      </c>
      <c r="R15" s="99">
        <v>5</v>
      </c>
      <c r="S15" s="99">
        <v>6</v>
      </c>
      <c r="T15" s="99">
        <v>6</v>
      </c>
      <c r="U15" s="99">
        <v>7</v>
      </c>
      <c r="V15" s="99">
        <v>7</v>
      </c>
      <c r="W15" s="99">
        <v>8</v>
      </c>
      <c r="X15" s="99">
        <v>9</v>
      </c>
      <c r="Y15" s="99">
        <v>9</v>
      </c>
      <c r="Z15" s="99">
        <v>10</v>
      </c>
      <c r="AA15" s="99">
        <v>10</v>
      </c>
      <c r="AB15" s="99">
        <v>10</v>
      </c>
      <c r="AC15" s="92" t="s">
        <v>301</v>
      </c>
      <c r="AD15" s="92" t="s">
        <v>301</v>
      </c>
      <c r="AE15" s="92" t="s">
        <v>301</v>
      </c>
      <c r="AF15" s="92" t="s">
        <v>301</v>
      </c>
      <c r="AG15" s="92" t="s">
        <v>301</v>
      </c>
      <c r="AH15" s="92" t="s">
        <v>301</v>
      </c>
      <c r="AI15" s="92" t="s">
        <v>301</v>
      </c>
      <c r="AJ15" s="92" t="s">
        <v>301</v>
      </c>
      <c r="AK15" s="92" t="s">
        <v>288</v>
      </c>
      <c r="AL15" s="92"/>
      <c r="AM15" s="92"/>
      <c r="AN15" s="92"/>
      <c r="AO15" s="92"/>
      <c r="AP15" s="92"/>
      <c r="AQ15" s="92"/>
      <c r="AR15" s="92"/>
      <c r="AS15" s="92"/>
      <c r="AT15" s="92"/>
      <c r="AU15" s="92"/>
      <c r="AV15" s="92"/>
      <c r="AW15" s="92"/>
      <c r="AX15" s="92"/>
      <c r="AY15" s="92"/>
      <c r="AZ15" s="92"/>
      <c r="BA15" s="92"/>
      <c r="BB15" s="92"/>
      <c r="BC15" s="92">
        <v>18</v>
      </c>
      <c r="BD15" s="239" t="str">
        <f>HLOOKUP('PTI-16'!G4,tabladis,3)</f>
        <v>Muy Sincero</v>
      </c>
      <c r="BE15" s="238"/>
      <c r="BF15" s="92"/>
      <c r="BG15" s="92"/>
      <c r="BH15" s="92"/>
      <c r="BI15" s="92"/>
      <c r="BJ15" s="92"/>
      <c r="BK15" s="92"/>
      <c r="BL15" s="92"/>
      <c r="BM15" s="92"/>
      <c r="BN15" s="92"/>
      <c r="BO15" s="92"/>
      <c r="BP15" s="92"/>
      <c r="BQ15" s="92"/>
      <c r="BR15" s="92" t="s">
        <v>306</v>
      </c>
      <c r="BS15" s="97">
        <v>0.1</v>
      </c>
      <c r="BT15" s="98">
        <f>+BS15*G</f>
        <v>0.1</v>
      </c>
      <c r="BU15" s="97">
        <v>0.1</v>
      </c>
      <c r="BV15" s="98">
        <f>+BU15*G</f>
        <v>0.1</v>
      </c>
      <c r="BW15" s="97"/>
      <c r="BX15" s="98">
        <f>+BW15*G</f>
        <v>0</v>
      </c>
      <c r="BY15" s="97">
        <v>-0.1</v>
      </c>
      <c r="BZ15" s="98">
        <f>+BY15*G</f>
        <v>-0.1</v>
      </c>
      <c r="CA15" s="97">
        <v>0.5</v>
      </c>
      <c r="CB15" s="98">
        <f>+CA15*G</f>
        <v>0.5</v>
      </c>
    </row>
    <row r="16" spans="1:80" ht="12.75" customHeight="1">
      <c r="A16" s="92" t="s">
        <v>17</v>
      </c>
      <c r="B16" s="92">
        <f>HLOOKUP('PTI-16'!$C$11,TF,'PTI-16'!$B$4+1)</f>
        <v>1</v>
      </c>
      <c r="C16" s="92">
        <f t="shared" si="7"/>
        <v>1</v>
      </c>
      <c r="D16" s="92">
        <f t="shared" si="6"/>
        <v>1</v>
      </c>
      <c r="E16" s="92">
        <f t="shared" si="5"/>
        <v>1</v>
      </c>
      <c r="F16" s="92">
        <v>4</v>
      </c>
      <c r="G16" s="93" t="s">
        <v>307</v>
      </c>
      <c r="H16" s="92">
        <v>1</v>
      </c>
      <c r="I16" s="92">
        <v>1</v>
      </c>
      <c r="J16" s="92">
        <v>1</v>
      </c>
      <c r="K16" s="92">
        <v>1</v>
      </c>
      <c r="L16" s="92">
        <v>2</v>
      </c>
      <c r="M16" s="92">
        <v>2</v>
      </c>
      <c r="N16" s="92">
        <v>2</v>
      </c>
      <c r="O16" s="92">
        <v>3</v>
      </c>
      <c r="P16" s="92">
        <v>3</v>
      </c>
      <c r="Q16" s="92">
        <v>4</v>
      </c>
      <c r="R16" s="92">
        <v>4</v>
      </c>
      <c r="S16" s="92">
        <v>5</v>
      </c>
      <c r="T16" s="92">
        <v>6</v>
      </c>
      <c r="U16" s="92">
        <v>6</v>
      </c>
      <c r="V16" s="92">
        <v>7</v>
      </c>
      <c r="W16" s="92">
        <v>8</v>
      </c>
      <c r="X16" s="92">
        <v>8</v>
      </c>
      <c r="Y16" s="92">
        <v>9</v>
      </c>
      <c r="Z16" s="92">
        <v>9</v>
      </c>
      <c r="AA16" s="92">
        <v>10</v>
      </c>
      <c r="AB16" s="92">
        <v>10</v>
      </c>
      <c r="AC16" s="92" t="s">
        <v>301</v>
      </c>
      <c r="AD16" s="92" t="s">
        <v>301</v>
      </c>
      <c r="AE16" s="92" t="s">
        <v>301</v>
      </c>
      <c r="AF16" s="92" t="s">
        <v>301</v>
      </c>
      <c r="AG16" s="92" t="s">
        <v>301</v>
      </c>
      <c r="AH16" s="92" t="s">
        <v>301</v>
      </c>
      <c r="AI16" s="92" t="s">
        <v>301</v>
      </c>
      <c r="AJ16" s="92" t="s">
        <v>301</v>
      </c>
      <c r="AK16" s="92" t="s">
        <v>288</v>
      </c>
      <c r="AL16" s="92"/>
      <c r="AM16" s="92"/>
      <c r="AN16" s="92"/>
      <c r="AO16" s="92"/>
      <c r="AP16" s="92"/>
      <c r="AQ16" s="92"/>
      <c r="AR16" s="92"/>
      <c r="AS16" s="92"/>
      <c r="AT16" s="92"/>
      <c r="AU16" s="92"/>
      <c r="AV16" s="92"/>
      <c r="AW16" s="92"/>
      <c r="AX16" s="92"/>
      <c r="AY16" s="92"/>
      <c r="AZ16" s="92"/>
      <c r="BA16" s="92"/>
      <c r="BB16" s="92"/>
      <c r="BC16" s="92"/>
      <c r="BD16" s="92" t="str">
        <f>+IF('PTI-16'!F4&gt;14,Cálculos!BD15,Cálculos!BD14)</f>
        <v>Muy Sincero</v>
      </c>
      <c r="BE16" s="92"/>
      <c r="BF16" s="92"/>
      <c r="BG16" s="92"/>
      <c r="BH16" s="92"/>
      <c r="BI16" s="92"/>
      <c r="BJ16" s="92"/>
      <c r="BK16" s="92"/>
      <c r="BL16" s="92"/>
      <c r="BM16" s="92"/>
      <c r="BN16" s="92"/>
      <c r="BO16" s="92"/>
      <c r="BP16" s="92"/>
      <c r="BQ16" s="92"/>
      <c r="BR16" s="92" t="s">
        <v>308</v>
      </c>
      <c r="BS16" s="97">
        <v>-0.2</v>
      </c>
      <c r="BT16" s="98">
        <f>+BS16*H</f>
        <v>-0.2</v>
      </c>
      <c r="BU16" s="97">
        <v>0.1</v>
      </c>
      <c r="BV16" s="98">
        <f>+BU16*H</f>
        <v>0.1</v>
      </c>
      <c r="BW16" s="97">
        <v>-0.2</v>
      </c>
      <c r="BX16" s="98">
        <f>+BW16*H</f>
        <v>-0.2</v>
      </c>
      <c r="BY16" s="97">
        <v>0.2</v>
      </c>
      <c r="BZ16" s="98">
        <f>+BY16*H</f>
        <v>0.2</v>
      </c>
      <c r="CA16" s="97">
        <v>-0.1</v>
      </c>
      <c r="CB16" s="98">
        <f>+CA16*H</f>
        <v>-0.1</v>
      </c>
    </row>
    <row r="17" spans="1:80" ht="12.75" customHeight="1">
      <c r="A17" s="92" t="s">
        <v>20</v>
      </c>
      <c r="B17" s="92">
        <f>HLOOKUP('PTI-16'!$C$12,tg,'PTI-16'!$B$4+1)</f>
        <v>1</v>
      </c>
      <c r="C17" s="92">
        <f>+IF('PTI-16'!$G$4&gt;9,B17-1,B17)</f>
        <v>1</v>
      </c>
      <c r="D17" s="92">
        <f t="shared" si="6"/>
        <v>1</v>
      </c>
      <c r="E17" s="92">
        <f t="shared" si="5"/>
        <v>1</v>
      </c>
      <c r="F17" s="92">
        <v>5</v>
      </c>
      <c r="G17" s="93" t="s">
        <v>309</v>
      </c>
      <c r="H17" s="92">
        <v>1</v>
      </c>
      <c r="I17" s="92">
        <v>1</v>
      </c>
      <c r="J17" s="92">
        <v>1</v>
      </c>
      <c r="K17" s="92">
        <v>1</v>
      </c>
      <c r="L17" s="92">
        <v>1</v>
      </c>
      <c r="M17" s="92">
        <v>2</v>
      </c>
      <c r="N17" s="92">
        <v>2</v>
      </c>
      <c r="O17" s="92">
        <v>3</v>
      </c>
      <c r="P17" s="92">
        <v>4</v>
      </c>
      <c r="Q17" s="92">
        <v>4</v>
      </c>
      <c r="R17" s="92">
        <v>5</v>
      </c>
      <c r="S17" s="92">
        <v>6</v>
      </c>
      <c r="T17" s="92">
        <v>6</v>
      </c>
      <c r="U17" s="92">
        <v>7</v>
      </c>
      <c r="V17" s="92">
        <v>8</v>
      </c>
      <c r="W17" s="92">
        <v>8</v>
      </c>
      <c r="X17" s="92">
        <v>9</v>
      </c>
      <c r="Y17" s="92">
        <v>9</v>
      </c>
      <c r="Z17" s="92">
        <v>10</v>
      </c>
      <c r="AA17" s="92">
        <v>10</v>
      </c>
      <c r="AB17" s="92">
        <v>10</v>
      </c>
      <c r="AC17" s="92" t="s">
        <v>301</v>
      </c>
      <c r="AD17" s="92" t="s">
        <v>301</v>
      </c>
      <c r="AE17" s="92" t="s">
        <v>301</v>
      </c>
      <c r="AF17" s="92" t="s">
        <v>301</v>
      </c>
      <c r="AG17" s="92" t="s">
        <v>301</v>
      </c>
      <c r="AH17" s="92" t="s">
        <v>301</v>
      </c>
      <c r="AI17" s="92" t="s">
        <v>301</v>
      </c>
      <c r="AJ17" s="92" t="s">
        <v>301</v>
      </c>
      <c r="AK17" s="92" t="s">
        <v>288</v>
      </c>
      <c r="AL17" s="92"/>
      <c r="AM17" s="92"/>
      <c r="AN17" s="92"/>
      <c r="AO17" s="92"/>
      <c r="AP17" s="92"/>
      <c r="AQ17" s="92"/>
      <c r="AR17" s="92"/>
      <c r="AS17" s="92"/>
      <c r="AT17" s="92"/>
      <c r="AU17" s="92"/>
      <c r="AV17" s="92"/>
      <c r="AW17" s="92"/>
      <c r="AX17" s="92"/>
      <c r="AY17" s="92"/>
      <c r="AZ17" s="92"/>
      <c r="BA17" s="92"/>
      <c r="BB17" s="92"/>
      <c r="BC17" s="92"/>
      <c r="BD17" s="92"/>
      <c r="BE17" s="92"/>
      <c r="BF17" s="92"/>
      <c r="BG17" s="92"/>
      <c r="BH17" s="92"/>
      <c r="BI17" s="92"/>
      <c r="BJ17" s="92"/>
      <c r="BK17" s="92"/>
      <c r="BL17" s="92"/>
      <c r="BM17" s="92"/>
      <c r="BN17" s="92"/>
      <c r="BO17" s="92"/>
      <c r="BP17" s="92"/>
      <c r="BQ17" s="92"/>
      <c r="BR17" s="92" t="s">
        <v>310</v>
      </c>
      <c r="BS17" s="97">
        <v>0.1</v>
      </c>
      <c r="BT17" s="98">
        <f>+BS17*I</f>
        <v>0.1</v>
      </c>
      <c r="BU17" s="97">
        <v>0.2</v>
      </c>
      <c r="BV17" s="98">
        <f>+BU17*I</f>
        <v>0.2</v>
      </c>
      <c r="BW17" s="97">
        <v>-0.3</v>
      </c>
      <c r="BX17" s="98">
        <f>+BW17*I</f>
        <v>-0.3</v>
      </c>
      <c r="BY17" s="97">
        <v>-0.2</v>
      </c>
      <c r="BZ17" s="98">
        <f>+BY17*I</f>
        <v>-0.2</v>
      </c>
      <c r="CA17" s="97">
        <v>0.1</v>
      </c>
      <c r="CB17" s="98">
        <f>+CA17*I</f>
        <v>0.1</v>
      </c>
    </row>
    <row r="18" spans="1:80" ht="12.75" customHeight="1">
      <c r="A18" s="92" t="s">
        <v>23</v>
      </c>
      <c r="B18" s="92">
        <f>HLOOKUP('PTI-16'!$C$13,th,'PTI-16'!$B$4+1)</f>
        <v>1</v>
      </c>
      <c r="C18" s="92">
        <f>+IF('PTI-16'!$G$4&gt;9,B18-1,B18)</f>
        <v>1</v>
      </c>
      <c r="D18" s="92">
        <f t="shared" si="6"/>
        <v>1</v>
      </c>
      <c r="E18" s="92">
        <f t="shared" si="5"/>
        <v>1</v>
      </c>
      <c r="F18" s="92">
        <v>6</v>
      </c>
      <c r="G18" s="93" t="s">
        <v>311</v>
      </c>
      <c r="H18" s="92">
        <v>1</v>
      </c>
      <c r="I18" s="92">
        <v>1</v>
      </c>
      <c r="J18" s="92">
        <v>1</v>
      </c>
      <c r="K18" s="92">
        <v>1</v>
      </c>
      <c r="L18" s="92">
        <v>2</v>
      </c>
      <c r="M18" s="92">
        <v>2</v>
      </c>
      <c r="N18" s="92">
        <v>3</v>
      </c>
      <c r="O18" s="92">
        <v>4</v>
      </c>
      <c r="P18" s="92">
        <v>5</v>
      </c>
      <c r="Q18" s="92">
        <v>5</v>
      </c>
      <c r="R18" s="92">
        <v>6</v>
      </c>
      <c r="S18" s="92">
        <v>6</v>
      </c>
      <c r="T18" s="92">
        <v>7</v>
      </c>
      <c r="U18" s="92">
        <v>8</v>
      </c>
      <c r="V18" s="92">
        <v>8</v>
      </c>
      <c r="W18" s="92">
        <v>9</v>
      </c>
      <c r="X18" s="92">
        <v>10</v>
      </c>
      <c r="Y18" s="92">
        <v>10</v>
      </c>
      <c r="Z18" s="92">
        <v>10</v>
      </c>
      <c r="AA18" s="92">
        <v>10</v>
      </c>
      <c r="AB18" s="92">
        <v>10</v>
      </c>
      <c r="AC18" s="92" t="s">
        <v>301</v>
      </c>
      <c r="AD18" s="92" t="s">
        <v>301</v>
      </c>
      <c r="AE18" s="92" t="s">
        <v>301</v>
      </c>
      <c r="AF18" s="92" t="s">
        <v>301</v>
      </c>
      <c r="AG18" s="92" t="s">
        <v>301</v>
      </c>
      <c r="AH18" s="92" t="s">
        <v>301</v>
      </c>
      <c r="AI18" s="92" t="s">
        <v>301</v>
      </c>
      <c r="AJ18" s="92" t="s">
        <v>301</v>
      </c>
      <c r="AK18" s="92" t="s">
        <v>288</v>
      </c>
      <c r="AL18" s="92"/>
      <c r="AM18" s="92"/>
      <c r="AN18" s="92"/>
      <c r="AO18" s="92"/>
      <c r="AP18" s="92"/>
      <c r="AQ18" s="92"/>
      <c r="AR18" s="92"/>
      <c r="AS18" s="92"/>
      <c r="AT18" s="92"/>
      <c r="AU18" s="92"/>
      <c r="AV18" s="92"/>
      <c r="AW18" s="92"/>
      <c r="AX18" s="92"/>
      <c r="AY18" s="92"/>
      <c r="AZ18" s="92"/>
      <c r="BA18" s="92"/>
      <c r="BB18" s="92"/>
      <c r="BC18" s="92"/>
      <c r="BD18" s="92"/>
      <c r="BE18" s="92"/>
      <c r="BF18" s="92"/>
      <c r="BG18" s="92"/>
      <c r="BH18" s="92"/>
      <c r="BI18" s="92"/>
      <c r="BJ18" s="92"/>
      <c r="BK18" s="92"/>
      <c r="BL18" s="92"/>
      <c r="BM18" s="92"/>
      <c r="BN18" s="92"/>
      <c r="BO18" s="92"/>
      <c r="BP18" s="92"/>
      <c r="BQ18" s="92"/>
      <c r="BR18" s="92" t="s">
        <v>312</v>
      </c>
      <c r="BS18" s="97">
        <v>0.3</v>
      </c>
      <c r="BT18" s="98">
        <f>+BS18*_l</f>
        <v>0.3</v>
      </c>
      <c r="BU18" s="97"/>
      <c r="BV18" s="98">
        <f>+BU18*_l</f>
        <v>0</v>
      </c>
      <c r="BW18" s="97">
        <v>0.2</v>
      </c>
      <c r="BX18" s="98">
        <f>+BW18*_l</f>
        <v>0.2</v>
      </c>
      <c r="BY18" s="97">
        <v>0.3</v>
      </c>
      <c r="BZ18" s="98">
        <f>+BY18*_l</f>
        <v>0.3</v>
      </c>
      <c r="CA18" s="97"/>
      <c r="CB18" s="98">
        <f>+CA18*_l</f>
        <v>0</v>
      </c>
    </row>
    <row r="19" spans="1:80" ht="12.75" customHeight="1">
      <c r="A19" s="92" t="s">
        <v>26</v>
      </c>
      <c r="B19" s="92">
        <f>HLOOKUP('PTI-16'!$C$14,TI,'PTI-16'!$B$4+1)</f>
        <v>1</v>
      </c>
      <c r="C19" s="92">
        <f>+B19</f>
        <v>1</v>
      </c>
      <c r="D19" s="92">
        <f t="shared" si="6"/>
        <v>1</v>
      </c>
      <c r="E19" s="92">
        <f t="shared" si="5"/>
        <v>1</v>
      </c>
      <c r="F19" s="92">
        <v>7</v>
      </c>
      <c r="G19" s="93" t="s">
        <v>313</v>
      </c>
      <c r="H19" s="92">
        <v>1</v>
      </c>
      <c r="I19" s="92">
        <v>1</v>
      </c>
      <c r="J19" s="92">
        <v>1</v>
      </c>
      <c r="K19" s="92">
        <v>1</v>
      </c>
      <c r="L19" s="92">
        <v>2</v>
      </c>
      <c r="M19" s="92">
        <v>2</v>
      </c>
      <c r="N19" s="92">
        <v>3</v>
      </c>
      <c r="O19" s="92">
        <v>4</v>
      </c>
      <c r="P19" s="92">
        <v>4</v>
      </c>
      <c r="Q19" s="92">
        <v>5</v>
      </c>
      <c r="R19" s="92">
        <v>5</v>
      </c>
      <c r="S19" s="92">
        <v>6</v>
      </c>
      <c r="T19" s="92">
        <v>7</v>
      </c>
      <c r="U19" s="92">
        <v>7</v>
      </c>
      <c r="V19" s="92">
        <v>8</v>
      </c>
      <c r="W19" s="92">
        <v>9</v>
      </c>
      <c r="X19" s="92">
        <v>9</v>
      </c>
      <c r="Y19" s="92">
        <v>10</v>
      </c>
      <c r="Z19" s="92">
        <v>10</v>
      </c>
      <c r="AA19" s="92">
        <v>10</v>
      </c>
      <c r="AB19" s="92">
        <v>10</v>
      </c>
      <c r="AC19" s="92" t="s">
        <v>301</v>
      </c>
      <c r="AD19" s="92" t="s">
        <v>301</v>
      </c>
      <c r="AE19" s="92" t="s">
        <v>301</v>
      </c>
      <c r="AF19" s="92" t="s">
        <v>301</v>
      </c>
      <c r="AG19" s="92" t="s">
        <v>301</v>
      </c>
      <c r="AH19" s="92" t="s">
        <v>301</v>
      </c>
      <c r="AI19" s="92" t="s">
        <v>301</v>
      </c>
      <c r="AJ19" s="92" t="s">
        <v>301</v>
      </c>
      <c r="AK19" s="92" t="s">
        <v>288</v>
      </c>
      <c r="AL19" s="92"/>
      <c r="AM19" s="92"/>
      <c r="AN19" s="92"/>
      <c r="AO19" s="92"/>
      <c r="AP19" s="92"/>
      <c r="AQ19" s="92"/>
      <c r="AR19" s="92"/>
      <c r="AS19" s="92"/>
      <c r="AT19" s="92"/>
      <c r="AU19" s="92"/>
      <c r="AV19" s="92"/>
      <c r="AW19" s="92"/>
      <c r="AX19" s="92"/>
      <c r="AY19" s="92"/>
      <c r="AZ19" s="92"/>
      <c r="BA19" s="92"/>
      <c r="BB19" s="92"/>
      <c r="BC19" s="92"/>
      <c r="BD19" s="92"/>
      <c r="BE19" s="92"/>
      <c r="BF19" s="92"/>
      <c r="BG19" s="92"/>
      <c r="BH19" s="92"/>
      <c r="BI19" s="92"/>
      <c r="BJ19" s="92"/>
      <c r="BK19" s="92"/>
      <c r="BL19" s="92"/>
      <c r="BM19" s="92"/>
      <c r="BN19" s="92"/>
      <c r="BO19" s="92"/>
      <c r="BP19" s="92"/>
      <c r="BQ19" s="92"/>
      <c r="BR19" s="92" t="s">
        <v>314</v>
      </c>
      <c r="BS19" s="97"/>
      <c r="BT19" s="98">
        <f>+BS19*M</f>
        <v>0</v>
      </c>
      <c r="BU19" s="97"/>
      <c r="BV19" s="98">
        <f>+BU19*M</f>
        <v>0</v>
      </c>
      <c r="BW19" s="97">
        <v>-0.3</v>
      </c>
      <c r="BX19" s="98">
        <f>+BW19*M</f>
        <v>-0.3</v>
      </c>
      <c r="BY19" s="97"/>
      <c r="BZ19" s="98">
        <f>+BY19*M</f>
        <v>0</v>
      </c>
      <c r="CA19" s="97">
        <v>-0.1</v>
      </c>
      <c r="CB19" s="98">
        <f>+CA19*M</f>
        <v>-0.1</v>
      </c>
    </row>
    <row r="20" spans="1:80" ht="12.75" customHeight="1">
      <c r="A20" s="92" t="s">
        <v>29</v>
      </c>
      <c r="B20" s="92">
        <f>HLOOKUP('PTI-16'!$C$15,tl,'PTI-16'!$B$4+1)</f>
        <v>1</v>
      </c>
      <c r="C20" s="92">
        <f>+IF('PTI-16'!$G$4&gt;9,B20+1,B20)</f>
        <v>1</v>
      </c>
      <c r="D20" s="92">
        <f t="shared" si="6"/>
        <v>1</v>
      </c>
      <c r="E20" s="92">
        <f t="shared" si="5"/>
        <v>1</v>
      </c>
      <c r="F20" s="92">
        <v>8</v>
      </c>
      <c r="G20" s="93" t="s">
        <v>315</v>
      </c>
      <c r="H20" s="92">
        <v>1</v>
      </c>
      <c r="I20" s="92">
        <v>1</v>
      </c>
      <c r="J20" s="92">
        <v>1</v>
      </c>
      <c r="K20" s="92">
        <v>1</v>
      </c>
      <c r="L20" s="92">
        <v>1</v>
      </c>
      <c r="M20" s="92">
        <v>2</v>
      </c>
      <c r="N20" s="92">
        <v>2</v>
      </c>
      <c r="O20" s="92">
        <v>3</v>
      </c>
      <c r="P20" s="92">
        <v>4</v>
      </c>
      <c r="Q20" s="92">
        <v>5</v>
      </c>
      <c r="R20" s="92">
        <v>5</v>
      </c>
      <c r="S20" s="92">
        <v>5</v>
      </c>
      <c r="T20" s="92">
        <v>6</v>
      </c>
      <c r="U20" s="92">
        <v>6</v>
      </c>
      <c r="V20" s="92">
        <v>7</v>
      </c>
      <c r="W20" s="92">
        <v>8</v>
      </c>
      <c r="X20" s="92">
        <v>9</v>
      </c>
      <c r="Y20" s="92">
        <v>9</v>
      </c>
      <c r="Z20" s="92">
        <v>10</v>
      </c>
      <c r="AA20" s="92">
        <v>10</v>
      </c>
      <c r="AB20" s="92">
        <v>10</v>
      </c>
      <c r="AC20" s="92" t="s">
        <v>301</v>
      </c>
      <c r="AD20" s="92" t="s">
        <v>301</v>
      </c>
      <c r="AE20" s="92" t="s">
        <v>301</v>
      </c>
      <c r="AF20" s="92" t="s">
        <v>301</v>
      </c>
      <c r="AG20" s="92" t="s">
        <v>301</v>
      </c>
      <c r="AH20" s="92" t="s">
        <v>301</v>
      </c>
      <c r="AI20" s="92" t="s">
        <v>301</v>
      </c>
      <c r="AJ20" s="92" t="s">
        <v>301</v>
      </c>
      <c r="AK20" s="92" t="s">
        <v>288</v>
      </c>
      <c r="AL20" s="92"/>
      <c r="AM20" s="92"/>
      <c r="AN20" s="92"/>
      <c r="AO20" s="92"/>
      <c r="AP20" s="92"/>
      <c r="AQ20" s="92"/>
      <c r="AR20" s="92"/>
      <c r="AS20" s="92"/>
      <c r="AT20" s="92"/>
      <c r="AU20" s="92"/>
      <c r="AV20" s="92"/>
      <c r="AW20" s="92"/>
      <c r="AX20" s="92"/>
      <c r="AY20" s="92"/>
      <c r="AZ20" s="92"/>
      <c r="BA20" s="92"/>
      <c r="BB20" s="92"/>
      <c r="BC20" s="92"/>
      <c r="BD20" s="92"/>
      <c r="BE20" s="92"/>
      <c r="BF20" s="101" t="s">
        <v>316</v>
      </c>
      <c r="BG20" s="92"/>
      <c r="BH20" s="92"/>
      <c r="BI20" s="92"/>
      <c r="BJ20" s="92"/>
      <c r="BK20" s="92"/>
      <c r="BL20" s="92"/>
      <c r="BM20" s="92"/>
      <c r="BN20" s="92"/>
      <c r="BO20" s="92"/>
      <c r="BP20" s="92"/>
      <c r="BQ20" s="92"/>
      <c r="BR20" s="92" t="s">
        <v>317</v>
      </c>
      <c r="BS20" s="97">
        <v>0.1</v>
      </c>
      <c r="BT20" s="98">
        <f>+BS20*N</f>
        <v>0.1</v>
      </c>
      <c r="BU20" s="97">
        <v>-0.3</v>
      </c>
      <c r="BV20" s="98">
        <f>+BU20*N</f>
        <v>-0.3</v>
      </c>
      <c r="BW20" s="97">
        <v>0.1</v>
      </c>
      <c r="BX20" s="98">
        <f>+BW20*N</f>
        <v>0.1</v>
      </c>
      <c r="BY20" s="97">
        <v>0.2</v>
      </c>
      <c r="BZ20" s="98">
        <f>+BY20*N</f>
        <v>0.2</v>
      </c>
      <c r="CA20" s="97"/>
      <c r="CB20" s="98">
        <f>+CA20*N</f>
        <v>0</v>
      </c>
    </row>
    <row r="21" spans="1:80" ht="12.75" customHeight="1">
      <c r="A21" s="92" t="s">
        <v>32</v>
      </c>
      <c r="B21" s="92">
        <f>HLOOKUP('PTI-16'!$C$16,tm,'PTI-16'!$B$4+1)</f>
        <v>1</v>
      </c>
      <c r="C21" s="92">
        <f t="shared" ref="C21:C22" si="8">+B21</f>
        <v>1</v>
      </c>
      <c r="D21" s="92">
        <f t="shared" si="6"/>
        <v>1</v>
      </c>
      <c r="E21" s="92">
        <f t="shared" si="5"/>
        <v>1</v>
      </c>
      <c r="F21" s="92">
        <v>9</v>
      </c>
      <c r="G21" s="93" t="s">
        <v>318</v>
      </c>
      <c r="H21" s="92">
        <v>1</v>
      </c>
      <c r="I21" s="92">
        <v>1</v>
      </c>
      <c r="J21" s="92">
        <v>1</v>
      </c>
      <c r="K21" s="92">
        <v>1</v>
      </c>
      <c r="L21" s="92">
        <v>1</v>
      </c>
      <c r="M21" s="92">
        <v>1</v>
      </c>
      <c r="N21" s="92">
        <v>1</v>
      </c>
      <c r="O21" s="92">
        <v>2</v>
      </c>
      <c r="P21" s="92">
        <v>2</v>
      </c>
      <c r="Q21" s="92">
        <v>3</v>
      </c>
      <c r="R21" s="92">
        <v>4</v>
      </c>
      <c r="S21" s="92">
        <v>5</v>
      </c>
      <c r="T21" s="92">
        <v>5</v>
      </c>
      <c r="U21" s="92">
        <v>6</v>
      </c>
      <c r="V21" s="92">
        <v>7</v>
      </c>
      <c r="W21" s="92">
        <v>7</v>
      </c>
      <c r="X21" s="92">
        <v>8</v>
      </c>
      <c r="Y21" s="92">
        <v>9</v>
      </c>
      <c r="Z21" s="92">
        <v>9</v>
      </c>
      <c r="AA21" s="92">
        <v>10</v>
      </c>
      <c r="AB21" s="92">
        <v>10</v>
      </c>
      <c r="AC21" s="92" t="s">
        <v>301</v>
      </c>
      <c r="AD21" s="92" t="s">
        <v>301</v>
      </c>
      <c r="AE21" s="92" t="s">
        <v>301</v>
      </c>
      <c r="AF21" s="92" t="s">
        <v>301</v>
      </c>
      <c r="AG21" s="92" t="s">
        <v>301</v>
      </c>
      <c r="AH21" s="92" t="s">
        <v>301</v>
      </c>
      <c r="AI21" s="92" t="s">
        <v>301</v>
      </c>
      <c r="AJ21" s="92" t="s">
        <v>301</v>
      </c>
      <c r="AK21" s="92" t="s">
        <v>288</v>
      </c>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2"/>
      <c r="BL21" s="92"/>
      <c r="BM21" s="92"/>
      <c r="BN21" s="92"/>
      <c r="BO21" s="92"/>
      <c r="BP21" s="92"/>
      <c r="BQ21" s="92"/>
      <c r="BR21" s="92" t="s">
        <v>319</v>
      </c>
      <c r="BS21" s="97">
        <v>0.5</v>
      </c>
      <c r="BT21" s="98">
        <f>+BS21*O</f>
        <v>1</v>
      </c>
      <c r="BU21" s="97">
        <v>0.2</v>
      </c>
      <c r="BV21" s="98">
        <f>+BU21*O</f>
        <v>0.4</v>
      </c>
      <c r="BW21" s="97">
        <v>0.1</v>
      </c>
      <c r="BX21" s="98">
        <f>+BW21*O</f>
        <v>0.2</v>
      </c>
      <c r="BY21" s="97"/>
      <c r="BZ21" s="98">
        <f>+BY21*O</f>
        <v>0</v>
      </c>
      <c r="CA21" s="97">
        <v>0.3</v>
      </c>
      <c r="CB21" s="98">
        <f>+CA21*O</f>
        <v>0.6</v>
      </c>
    </row>
    <row r="22" spans="1:80" ht="12.75" customHeight="1">
      <c r="A22" s="92" t="s">
        <v>35</v>
      </c>
      <c r="B22" s="92">
        <f>HLOOKUP('PTI-16'!$C$17,TN,'PTI-16'!$B$4+1)</f>
        <v>1</v>
      </c>
      <c r="C22" s="92">
        <f t="shared" si="8"/>
        <v>1</v>
      </c>
      <c r="D22" s="92">
        <f t="shared" si="6"/>
        <v>1</v>
      </c>
      <c r="E22" s="92">
        <f t="shared" si="5"/>
        <v>1</v>
      </c>
      <c r="F22" s="92">
        <v>10</v>
      </c>
      <c r="G22" s="93" t="s">
        <v>320</v>
      </c>
      <c r="H22" s="92">
        <v>1</v>
      </c>
      <c r="I22" s="92">
        <v>1</v>
      </c>
      <c r="J22" s="92">
        <v>1</v>
      </c>
      <c r="K22" s="92">
        <v>1</v>
      </c>
      <c r="L22" s="92">
        <v>1</v>
      </c>
      <c r="M22" s="92">
        <v>1</v>
      </c>
      <c r="N22" s="92">
        <v>2</v>
      </c>
      <c r="O22" s="92">
        <v>2</v>
      </c>
      <c r="P22" s="92">
        <v>3</v>
      </c>
      <c r="Q22" s="92">
        <v>4</v>
      </c>
      <c r="R22" s="92">
        <v>4</v>
      </c>
      <c r="S22" s="92">
        <v>5</v>
      </c>
      <c r="T22" s="92">
        <v>5</v>
      </c>
      <c r="U22" s="92">
        <v>6</v>
      </c>
      <c r="V22" s="92">
        <v>7</v>
      </c>
      <c r="W22" s="92">
        <v>7</v>
      </c>
      <c r="X22" s="92">
        <v>8</v>
      </c>
      <c r="Y22" s="92">
        <v>8</v>
      </c>
      <c r="Z22" s="92">
        <v>9</v>
      </c>
      <c r="AA22" s="92">
        <v>10</v>
      </c>
      <c r="AB22" s="92">
        <v>10</v>
      </c>
      <c r="AC22" s="92" t="s">
        <v>301</v>
      </c>
      <c r="AD22" s="92" t="s">
        <v>301</v>
      </c>
      <c r="AE22" s="92" t="s">
        <v>301</v>
      </c>
      <c r="AF22" s="92" t="s">
        <v>301</v>
      </c>
      <c r="AG22" s="92" t="s">
        <v>301</v>
      </c>
      <c r="AH22" s="92" t="s">
        <v>301</v>
      </c>
      <c r="AI22" s="92" t="s">
        <v>301</v>
      </c>
      <c r="AJ22" s="92" t="s">
        <v>301</v>
      </c>
      <c r="AK22" s="92" t="s">
        <v>288</v>
      </c>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2"/>
      <c r="BL22" s="92"/>
      <c r="BM22" s="92"/>
      <c r="BN22" s="92"/>
      <c r="BO22" s="92"/>
      <c r="BP22" s="92"/>
      <c r="BQ22" s="92"/>
      <c r="BR22" s="92" t="s">
        <v>321</v>
      </c>
      <c r="BS22" s="97">
        <v>-0.4</v>
      </c>
      <c r="BT22" s="98">
        <f>+BS22*Q1_</f>
        <v>-0.4</v>
      </c>
      <c r="BU22" s="97">
        <v>-0.2</v>
      </c>
      <c r="BV22" s="98">
        <f>+BU22*Q1_</f>
        <v>-0.2</v>
      </c>
      <c r="BW22" s="97">
        <v>-0.8</v>
      </c>
      <c r="BX22" s="98">
        <f>+BW22*Q1_</f>
        <v>-0.8</v>
      </c>
      <c r="BY22" s="97">
        <v>0.1</v>
      </c>
      <c r="BZ22" s="98">
        <f>+BY22*Q1_</f>
        <v>0.1</v>
      </c>
      <c r="CA22" s="97"/>
      <c r="CB22" s="98">
        <f>+CA22*Q1_</f>
        <v>0</v>
      </c>
    </row>
    <row r="23" spans="1:80" ht="12.75" customHeight="1">
      <c r="A23" s="92" t="s">
        <v>38</v>
      </c>
      <c r="B23" s="92">
        <f>HLOOKUP('PTI-16'!$C$18,to,'PTI-16'!$B$4+1)</f>
        <v>2</v>
      </c>
      <c r="C23" s="92">
        <f>+IF('PTI-16'!$G$4&gt;9,B23+2,B23)</f>
        <v>2</v>
      </c>
      <c r="D23" s="92">
        <f t="shared" si="6"/>
        <v>2</v>
      </c>
      <c r="E23" s="92">
        <f t="shared" si="5"/>
        <v>2</v>
      </c>
      <c r="F23" s="92">
        <v>11</v>
      </c>
      <c r="G23" s="93" t="s">
        <v>322</v>
      </c>
      <c r="H23" s="92">
        <v>1</v>
      </c>
      <c r="I23" s="92">
        <v>1</v>
      </c>
      <c r="J23" s="92">
        <v>1</v>
      </c>
      <c r="K23" s="92">
        <v>1</v>
      </c>
      <c r="L23" s="92">
        <v>1</v>
      </c>
      <c r="M23" s="92">
        <v>1</v>
      </c>
      <c r="N23" s="92">
        <v>1</v>
      </c>
      <c r="O23" s="92">
        <v>2</v>
      </c>
      <c r="P23" s="92">
        <v>2</v>
      </c>
      <c r="Q23" s="92">
        <v>3</v>
      </c>
      <c r="R23" s="92">
        <v>4</v>
      </c>
      <c r="S23" s="92">
        <v>5</v>
      </c>
      <c r="T23" s="92">
        <v>5</v>
      </c>
      <c r="U23" s="92">
        <v>6</v>
      </c>
      <c r="V23" s="92">
        <v>7</v>
      </c>
      <c r="W23" s="92">
        <v>7</v>
      </c>
      <c r="X23" s="92">
        <v>8</v>
      </c>
      <c r="Y23" s="92">
        <v>9</v>
      </c>
      <c r="Z23" s="92">
        <v>9</v>
      </c>
      <c r="AA23" s="92">
        <v>10</v>
      </c>
      <c r="AB23" s="92">
        <v>10</v>
      </c>
      <c r="AC23" s="92" t="s">
        <v>301</v>
      </c>
      <c r="AD23" s="92" t="s">
        <v>301</v>
      </c>
      <c r="AE23" s="92" t="s">
        <v>301</v>
      </c>
      <c r="AF23" s="92" t="s">
        <v>301</v>
      </c>
      <c r="AG23" s="92" t="s">
        <v>301</v>
      </c>
      <c r="AH23" s="92" t="s">
        <v>301</v>
      </c>
      <c r="AI23" s="92" t="s">
        <v>301</v>
      </c>
      <c r="AJ23" s="92" t="s">
        <v>301</v>
      </c>
      <c r="AK23" s="92" t="s">
        <v>288</v>
      </c>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2"/>
      <c r="BL23" s="92"/>
      <c r="BM23" s="92"/>
      <c r="BN23" s="92"/>
      <c r="BO23" s="92"/>
      <c r="BP23" s="92"/>
      <c r="BQ23" s="92"/>
      <c r="BR23" s="92" t="s">
        <v>323</v>
      </c>
      <c r="BS23" s="97">
        <v>-0.2</v>
      </c>
      <c r="BT23" s="98">
        <f>+BS23*Q2_</f>
        <v>-0.2</v>
      </c>
      <c r="BU23" s="97">
        <v>-0.4</v>
      </c>
      <c r="BV23" s="98">
        <f>+BU23*Q2_</f>
        <v>-0.4</v>
      </c>
      <c r="BW23" s="97">
        <v>-0.3</v>
      </c>
      <c r="BX23" s="98">
        <f>+BW23*Q2_</f>
        <v>-0.3</v>
      </c>
      <c r="BY23" s="97"/>
      <c r="BZ23" s="98">
        <f>+BY23*Q2_</f>
        <v>0</v>
      </c>
      <c r="CA23" s="97"/>
      <c r="CB23" s="98">
        <f>+CA23*Q2_</f>
        <v>0</v>
      </c>
    </row>
    <row r="24" spans="1:80" ht="12.75" customHeight="1">
      <c r="A24" s="92" t="s">
        <v>41</v>
      </c>
      <c r="B24" s="92">
        <f>HLOOKUP('PTI-16'!$C$19,_tq1,'PTI-16'!$B$4+1)</f>
        <v>1</v>
      </c>
      <c r="C24" s="92">
        <f>+B24</f>
        <v>1</v>
      </c>
      <c r="D24" s="92">
        <f t="shared" si="6"/>
        <v>1</v>
      </c>
      <c r="E24" s="92">
        <f t="shared" si="5"/>
        <v>1</v>
      </c>
      <c r="F24" s="92">
        <v>12</v>
      </c>
      <c r="G24" s="93" t="s">
        <v>324</v>
      </c>
      <c r="H24" s="92">
        <v>1</v>
      </c>
      <c r="I24" s="92">
        <v>1</v>
      </c>
      <c r="J24" s="92">
        <v>1</v>
      </c>
      <c r="K24" s="92">
        <v>1</v>
      </c>
      <c r="L24" s="92">
        <v>2</v>
      </c>
      <c r="M24" s="92">
        <v>3</v>
      </c>
      <c r="N24" s="92">
        <v>3</v>
      </c>
      <c r="O24" s="92">
        <v>4</v>
      </c>
      <c r="P24" s="92">
        <v>4</v>
      </c>
      <c r="Q24" s="92">
        <v>5</v>
      </c>
      <c r="R24" s="92">
        <v>5</v>
      </c>
      <c r="S24" s="92">
        <v>6</v>
      </c>
      <c r="T24" s="92">
        <v>6</v>
      </c>
      <c r="U24" s="92">
        <v>7</v>
      </c>
      <c r="V24" s="92">
        <v>7</v>
      </c>
      <c r="W24" s="92">
        <v>8</v>
      </c>
      <c r="X24" s="92">
        <v>8</v>
      </c>
      <c r="Y24" s="92">
        <v>9</v>
      </c>
      <c r="Z24" s="92">
        <v>9</v>
      </c>
      <c r="AA24" s="92">
        <v>10</v>
      </c>
      <c r="AB24" s="92">
        <v>10</v>
      </c>
      <c r="AC24" s="92" t="s">
        <v>301</v>
      </c>
      <c r="AD24" s="92" t="s">
        <v>301</v>
      </c>
      <c r="AE24" s="92" t="s">
        <v>301</v>
      </c>
      <c r="AF24" s="92" t="s">
        <v>301</v>
      </c>
      <c r="AG24" s="92" t="s">
        <v>301</v>
      </c>
      <c r="AH24" s="92" t="s">
        <v>301</v>
      </c>
      <c r="AI24" s="92" t="s">
        <v>301</v>
      </c>
      <c r="AJ24" s="92" t="s">
        <v>301</v>
      </c>
      <c r="AK24" s="92" t="s">
        <v>288</v>
      </c>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2"/>
      <c r="BL24" s="92"/>
      <c r="BM24" s="92"/>
      <c r="BN24" s="92"/>
      <c r="BO24" s="92"/>
      <c r="BP24" s="92"/>
      <c r="BQ24" s="92"/>
      <c r="BR24" s="92" t="s">
        <v>325</v>
      </c>
      <c r="BS24" s="97">
        <v>0.3</v>
      </c>
      <c r="BT24" s="98">
        <f>+BS24*Q3_</f>
        <v>0.3</v>
      </c>
      <c r="BU24" s="97">
        <v>0.1</v>
      </c>
      <c r="BV24" s="98">
        <f>+BU24*Q3_</f>
        <v>0.1</v>
      </c>
      <c r="BW24" s="97">
        <v>-0.1</v>
      </c>
      <c r="BX24" s="98">
        <f>+BW24*Q3_</f>
        <v>-0.1</v>
      </c>
      <c r="BY24" s="97">
        <v>0.1</v>
      </c>
      <c r="BZ24" s="98">
        <f>+BY24*Q3_</f>
        <v>0.1</v>
      </c>
      <c r="CA24" s="97">
        <v>0.7</v>
      </c>
      <c r="CB24" s="98">
        <f>+CA24*Q3_</f>
        <v>0.7</v>
      </c>
    </row>
    <row r="25" spans="1:80" ht="12.75" customHeight="1">
      <c r="A25" s="92" t="s">
        <v>44</v>
      </c>
      <c r="B25" s="92">
        <f>HLOOKUP('PTI-16'!$C$20,_tq2,'PTI-16'!$B$4+1)</f>
        <v>1</v>
      </c>
      <c r="C25" s="92">
        <f>+IF('PTI-16'!$G$4&gt;9,B25+1,B25)</f>
        <v>1</v>
      </c>
      <c r="D25" s="92">
        <f t="shared" si="6"/>
        <v>1</v>
      </c>
      <c r="E25" s="92">
        <f t="shared" si="5"/>
        <v>1</v>
      </c>
      <c r="F25" s="92">
        <v>13</v>
      </c>
      <c r="G25" s="93" t="s">
        <v>326</v>
      </c>
      <c r="H25" s="92">
        <v>1</v>
      </c>
      <c r="I25" s="92">
        <v>1</v>
      </c>
      <c r="J25" s="92">
        <v>1</v>
      </c>
      <c r="K25" s="92">
        <v>1</v>
      </c>
      <c r="L25" s="92">
        <v>1</v>
      </c>
      <c r="M25" s="92">
        <v>2</v>
      </c>
      <c r="N25" s="92">
        <v>3</v>
      </c>
      <c r="O25" s="92">
        <v>3</v>
      </c>
      <c r="P25" s="92">
        <v>4</v>
      </c>
      <c r="Q25" s="92">
        <v>5</v>
      </c>
      <c r="R25" s="92">
        <v>5</v>
      </c>
      <c r="S25" s="92">
        <v>6</v>
      </c>
      <c r="T25" s="92">
        <v>7</v>
      </c>
      <c r="U25" s="92">
        <v>7</v>
      </c>
      <c r="V25" s="92">
        <v>8</v>
      </c>
      <c r="W25" s="92">
        <v>8</v>
      </c>
      <c r="X25" s="92">
        <v>9</v>
      </c>
      <c r="Y25" s="92">
        <v>9</v>
      </c>
      <c r="Z25" s="92">
        <v>10</v>
      </c>
      <c r="AA25" s="92">
        <v>10</v>
      </c>
      <c r="AB25" s="92">
        <v>10</v>
      </c>
      <c r="AC25" s="92" t="s">
        <v>301</v>
      </c>
      <c r="AD25" s="92" t="s">
        <v>301</v>
      </c>
      <c r="AE25" s="92" t="s">
        <v>301</v>
      </c>
      <c r="AF25" s="92" t="s">
        <v>301</v>
      </c>
      <c r="AG25" s="92" t="s">
        <v>301</v>
      </c>
      <c r="AH25" s="92" t="s">
        <v>301</v>
      </c>
      <c r="AI25" s="92" t="s">
        <v>301</v>
      </c>
      <c r="AJ25" s="92" t="s">
        <v>301</v>
      </c>
      <c r="AK25" s="92" t="s">
        <v>288</v>
      </c>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2"/>
      <c r="BL25" s="92"/>
      <c r="BM25" s="92"/>
      <c r="BN25" s="92"/>
      <c r="BO25" s="92"/>
      <c r="BP25" s="92"/>
      <c r="BQ25" s="92"/>
      <c r="BR25" s="92" t="s">
        <v>327</v>
      </c>
      <c r="BS25" s="97">
        <v>0.4</v>
      </c>
      <c r="BT25" s="98">
        <f>+BS25*Q4_</f>
        <v>0.8</v>
      </c>
      <c r="BU25" s="97">
        <v>0.1</v>
      </c>
      <c r="BV25" s="98">
        <f>+BU25*Q4_</f>
        <v>0.2</v>
      </c>
      <c r="BW25" s="97">
        <v>0.3</v>
      </c>
      <c r="BX25" s="98">
        <f>+BW25*Q4_</f>
        <v>0.6</v>
      </c>
      <c r="BY25" s="97">
        <v>0.2</v>
      </c>
      <c r="BZ25" s="98">
        <f>+BY25*Q4_</f>
        <v>0.4</v>
      </c>
      <c r="CA25" s="97"/>
      <c r="CB25" s="98">
        <f>+CA25*Q4_</f>
        <v>0</v>
      </c>
    </row>
    <row r="26" spans="1:80" ht="12.75" customHeight="1">
      <c r="A26" s="92" t="s">
        <v>47</v>
      </c>
      <c r="B26" s="92">
        <f>HLOOKUP('PTI-16'!$C$21,_tq3,'PTI-16'!$B$4+1)</f>
        <v>1</v>
      </c>
      <c r="C26" s="92">
        <f>+IF('PTI-16'!$G$4&gt;9,B26-2,B26)</f>
        <v>1</v>
      </c>
      <c r="D26" s="92">
        <f t="shared" si="6"/>
        <v>1</v>
      </c>
      <c r="E26" s="92">
        <f t="shared" si="5"/>
        <v>1</v>
      </c>
      <c r="F26" s="92">
        <v>14</v>
      </c>
      <c r="G26" s="93" t="s">
        <v>328</v>
      </c>
      <c r="H26" s="92">
        <v>1</v>
      </c>
      <c r="I26" s="92">
        <v>1</v>
      </c>
      <c r="J26" s="92">
        <v>1</v>
      </c>
      <c r="K26" s="92">
        <v>2</v>
      </c>
      <c r="L26" s="92">
        <v>3</v>
      </c>
      <c r="M26" s="92">
        <v>3</v>
      </c>
      <c r="N26" s="92">
        <v>4</v>
      </c>
      <c r="O26" s="92">
        <v>4</v>
      </c>
      <c r="P26" s="92">
        <v>5</v>
      </c>
      <c r="Q26" s="92">
        <v>6</v>
      </c>
      <c r="R26" s="92">
        <v>6</v>
      </c>
      <c r="S26" s="92">
        <v>7</v>
      </c>
      <c r="T26" s="92">
        <v>7</v>
      </c>
      <c r="U26" s="92">
        <v>8</v>
      </c>
      <c r="V26" s="92">
        <v>8</v>
      </c>
      <c r="W26" s="92">
        <v>9</v>
      </c>
      <c r="X26" s="92">
        <v>9</v>
      </c>
      <c r="Y26" s="92">
        <v>10</v>
      </c>
      <c r="Z26" s="92">
        <v>10</v>
      </c>
      <c r="AA26" s="92">
        <v>10</v>
      </c>
      <c r="AB26" s="92">
        <v>10</v>
      </c>
      <c r="AC26" s="92" t="s">
        <v>301</v>
      </c>
      <c r="AD26" s="92" t="s">
        <v>301</v>
      </c>
      <c r="AE26" s="92" t="s">
        <v>301</v>
      </c>
      <c r="AF26" s="92" t="s">
        <v>301</v>
      </c>
      <c r="AG26" s="92" t="s">
        <v>301</v>
      </c>
      <c r="AH26" s="92" t="s">
        <v>301</v>
      </c>
      <c r="AI26" s="92" t="s">
        <v>301</v>
      </c>
      <c r="AJ26" s="92" t="s">
        <v>301</v>
      </c>
      <c r="AK26" s="92" t="s">
        <v>288</v>
      </c>
      <c r="AL26" s="92"/>
      <c r="AM26" s="92"/>
      <c r="AN26" s="92"/>
      <c r="AO26" s="92"/>
      <c r="AP26" s="92"/>
      <c r="AQ26" s="92"/>
      <c r="AR26" s="92"/>
      <c r="AS26" s="92"/>
      <c r="AT26" s="92"/>
      <c r="AU26" s="92"/>
      <c r="AV26" s="92"/>
      <c r="AW26" s="92"/>
      <c r="AX26" s="92"/>
      <c r="AY26" s="92"/>
      <c r="AZ26" s="92">
        <v>-10</v>
      </c>
      <c r="BA26" s="92">
        <v>0</v>
      </c>
      <c r="BB26" s="92">
        <v>1</v>
      </c>
      <c r="BC26" s="92">
        <v>2</v>
      </c>
      <c r="BD26" s="92">
        <v>3</v>
      </c>
      <c r="BE26" s="92">
        <v>4</v>
      </c>
      <c r="BF26" s="92">
        <v>5</v>
      </c>
      <c r="BG26" s="92">
        <v>6</v>
      </c>
      <c r="BH26" s="92">
        <v>7</v>
      </c>
      <c r="BI26" s="92">
        <v>8</v>
      </c>
      <c r="BJ26" s="92">
        <v>9</v>
      </c>
      <c r="BK26" s="92">
        <v>10</v>
      </c>
      <c r="BL26" s="92"/>
      <c r="BM26" s="92"/>
      <c r="BN26" s="92"/>
      <c r="BO26" s="92"/>
      <c r="BP26" s="92"/>
      <c r="BQ26" s="92"/>
      <c r="BR26" s="92" t="s">
        <v>329</v>
      </c>
      <c r="BS26" s="102"/>
      <c r="BT26" s="103">
        <v>-1.6</v>
      </c>
      <c r="BU26" s="104"/>
      <c r="BV26" s="105">
        <v>1.6</v>
      </c>
      <c r="BW26" s="102"/>
      <c r="BX26" s="103">
        <v>13.8</v>
      </c>
      <c r="BY26" s="102"/>
      <c r="BZ26" s="103">
        <v>-5</v>
      </c>
      <c r="CA26" s="102"/>
      <c r="CB26" s="103">
        <v>-2.2000000000000002</v>
      </c>
    </row>
    <row r="27" spans="1:80" ht="12.75" customHeight="1">
      <c r="A27" s="92" t="s">
        <v>50</v>
      </c>
      <c r="B27" s="92">
        <f>HLOOKUP('PTI-16'!$C$22,_tq4,'PTI-16'!$B$4+1)</f>
        <v>2</v>
      </c>
      <c r="C27" s="92">
        <f>+IF('PTI-16'!$G$4&gt;9,B27+2,B27)</f>
        <v>2</v>
      </c>
      <c r="D27" s="92">
        <f t="shared" si="6"/>
        <v>2</v>
      </c>
      <c r="E27" s="92">
        <f t="shared" si="5"/>
        <v>2</v>
      </c>
      <c r="F27" s="92">
        <v>15</v>
      </c>
      <c r="G27" s="93" t="s">
        <v>330</v>
      </c>
      <c r="H27" s="92">
        <v>1</v>
      </c>
      <c r="I27" s="92">
        <v>1</v>
      </c>
      <c r="J27" s="92">
        <v>1</v>
      </c>
      <c r="K27" s="92">
        <v>1</v>
      </c>
      <c r="L27" s="92">
        <v>2</v>
      </c>
      <c r="M27" s="92">
        <v>2</v>
      </c>
      <c r="N27" s="92">
        <v>3</v>
      </c>
      <c r="O27" s="92">
        <v>4</v>
      </c>
      <c r="P27" s="92">
        <v>4</v>
      </c>
      <c r="Q27" s="92">
        <v>5</v>
      </c>
      <c r="R27" s="92">
        <v>6</v>
      </c>
      <c r="S27" s="92">
        <v>6</v>
      </c>
      <c r="T27" s="92">
        <v>7</v>
      </c>
      <c r="U27" s="92">
        <v>7</v>
      </c>
      <c r="V27" s="92">
        <v>8</v>
      </c>
      <c r="W27" s="92">
        <v>8</v>
      </c>
      <c r="X27" s="92">
        <v>9</v>
      </c>
      <c r="Y27" s="92">
        <v>9</v>
      </c>
      <c r="Z27" s="92">
        <v>10</v>
      </c>
      <c r="AA27" s="92">
        <v>10</v>
      </c>
      <c r="AB27" s="92">
        <v>10</v>
      </c>
      <c r="AC27" s="92" t="s">
        <v>301</v>
      </c>
      <c r="AD27" s="92" t="s">
        <v>301</v>
      </c>
      <c r="AE27" s="92" t="s">
        <v>301</v>
      </c>
      <c r="AF27" s="92" t="s">
        <v>301</v>
      </c>
      <c r="AG27" s="92" t="s">
        <v>301</v>
      </c>
      <c r="AH27" s="92" t="s">
        <v>301</v>
      </c>
      <c r="AI27" s="92" t="s">
        <v>301</v>
      </c>
      <c r="AJ27" s="92" t="s">
        <v>301</v>
      </c>
      <c r="AK27" s="92" t="s">
        <v>288</v>
      </c>
      <c r="AL27" s="92"/>
      <c r="AM27" s="92"/>
      <c r="AN27" s="92"/>
      <c r="AO27" s="92"/>
      <c r="AP27" s="92"/>
      <c r="AQ27" s="92"/>
      <c r="AR27" s="92"/>
      <c r="AS27" s="92"/>
      <c r="AT27" s="92"/>
      <c r="AU27" s="92"/>
      <c r="AV27" s="92"/>
      <c r="AW27" s="92"/>
      <c r="AX27" s="92"/>
      <c r="AY27" s="92"/>
      <c r="AZ27" s="92" t="s">
        <v>331</v>
      </c>
      <c r="BA27" s="92" t="s">
        <v>331</v>
      </c>
      <c r="BB27" s="92" t="s">
        <v>331</v>
      </c>
      <c r="BC27" s="92" t="s">
        <v>332</v>
      </c>
      <c r="BD27" s="92" t="s">
        <v>333</v>
      </c>
      <c r="BE27" s="92" t="s">
        <v>334</v>
      </c>
      <c r="BF27" s="92" t="s">
        <v>335</v>
      </c>
      <c r="BG27" s="92" t="s">
        <v>336</v>
      </c>
      <c r="BH27" s="92" t="s">
        <v>337</v>
      </c>
      <c r="BI27" s="92" t="s">
        <v>338</v>
      </c>
      <c r="BJ27" s="92" t="s">
        <v>339</v>
      </c>
      <c r="BK27" s="92" t="s">
        <v>340</v>
      </c>
      <c r="BL27" s="92"/>
      <c r="BM27" s="92"/>
      <c r="BN27" s="92"/>
      <c r="BO27" s="92"/>
      <c r="BP27" s="92"/>
      <c r="BQ27" s="92"/>
      <c r="BR27" s="92"/>
      <c r="BS27" s="92"/>
      <c r="BT27" s="106">
        <f>SUM(BT10:BT26)</f>
        <v>0.60000000000000009</v>
      </c>
      <c r="BU27" s="92"/>
      <c r="BV27" s="106">
        <f>SUM(BV10:BV26)</f>
        <v>2.5999999999999996</v>
      </c>
      <c r="BW27" s="92"/>
      <c r="BX27" s="106">
        <f>SUM(BX10:BX26)</f>
        <v>12.700000000000001</v>
      </c>
      <c r="BY27" s="92"/>
      <c r="BZ27" s="106">
        <f>SUM(BZ10:BZ26)</f>
        <v>-2.9</v>
      </c>
      <c r="CA27" s="92"/>
      <c r="CB27" s="106">
        <f>SUM(CB10:CB26)</f>
        <v>-0.50000000000000022</v>
      </c>
    </row>
    <row r="28" spans="1:80" ht="12.75" customHeight="1">
      <c r="A28" s="92"/>
      <c r="B28" s="92"/>
      <c r="C28" s="92"/>
      <c r="D28" s="92"/>
      <c r="E28" s="92"/>
      <c r="F28" s="92">
        <v>16</v>
      </c>
      <c r="G28" s="93" t="s">
        <v>341</v>
      </c>
      <c r="H28" s="92">
        <v>1</v>
      </c>
      <c r="I28" s="92">
        <v>1</v>
      </c>
      <c r="J28" s="92">
        <v>1</v>
      </c>
      <c r="K28" s="92">
        <v>1</v>
      </c>
      <c r="L28" s="92">
        <v>1</v>
      </c>
      <c r="M28" s="92">
        <v>2</v>
      </c>
      <c r="N28" s="92">
        <v>2</v>
      </c>
      <c r="O28" s="92">
        <v>3</v>
      </c>
      <c r="P28" s="92">
        <v>3</v>
      </c>
      <c r="Q28" s="92">
        <v>3</v>
      </c>
      <c r="R28" s="92">
        <v>4</v>
      </c>
      <c r="S28" s="92">
        <v>4</v>
      </c>
      <c r="T28" s="92">
        <v>4</v>
      </c>
      <c r="U28" s="92">
        <v>4</v>
      </c>
      <c r="V28" s="92">
        <v>5</v>
      </c>
      <c r="W28" s="92">
        <v>6</v>
      </c>
      <c r="X28" s="92">
        <v>6</v>
      </c>
      <c r="Y28" s="92">
        <v>6</v>
      </c>
      <c r="Z28" s="92">
        <v>7</v>
      </c>
      <c r="AA28" s="92">
        <v>7</v>
      </c>
      <c r="AB28" s="92">
        <v>8</v>
      </c>
      <c r="AC28" s="92">
        <v>9</v>
      </c>
      <c r="AD28" s="92">
        <v>10</v>
      </c>
      <c r="AE28" s="92" t="s">
        <v>301</v>
      </c>
      <c r="AF28" s="92" t="s">
        <v>301</v>
      </c>
      <c r="AG28" s="92" t="s">
        <v>301</v>
      </c>
      <c r="AH28" s="92" t="s">
        <v>301</v>
      </c>
      <c r="AI28" s="92" t="s">
        <v>301</v>
      </c>
      <c r="AJ28" s="92" t="s">
        <v>301</v>
      </c>
      <c r="AK28" s="92" t="s">
        <v>288</v>
      </c>
      <c r="AL28" s="92"/>
      <c r="AM28" s="92"/>
      <c r="AN28" s="92"/>
      <c r="AO28" s="92"/>
      <c r="AP28" s="92"/>
      <c r="AQ28" s="92"/>
      <c r="AR28" s="92"/>
      <c r="AS28" s="92"/>
      <c r="AT28" s="92"/>
      <c r="AU28" s="92"/>
      <c r="AV28" s="92"/>
      <c r="AW28" s="92"/>
      <c r="AX28" s="92"/>
      <c r="AY28" s="92"/>
      <c r="AZ28" s="92">
        <v>-10</v>
      </c>
      <c r="BA28" s="92">
        <v>0</v>
      </c>
      <c r="BB28" s="92">
        <v>1</v>
      </c>
      <c r="BC28" s="92">
        <v>2</v>
      </c>
      <c r="BD28" s="92">
        <v>3</v>
      </c>
      <c r="BE28" s="92">
        <v>4</v>
      </c>
      <c r="BF28" s="92">
        <v>5</v>
      </c>
      <c r="BG28" s="92">
        <v>6</v>
      </c>
      <c r="BH28" s="92">
        <v>7</v>
      </c>
      <c r="BI28" s="92">
        <v>8</v>
      </c>
      <c r="BJ28" s="92">
        <v>9</v>
      </c>
      <c r="BK28" s="92">
        <v>10</v>
      </c>
      <c r="BL28" s="92"/>
      <c r="BM28" s="92"/>
      <c r="BN28" s="92"/>
      <c r="BO28" s="92"/>
      <c r="BP28" s="92"/>
      <c r="BQ28" s="92"/>
      <c r="BR28" s="92"/>
      <c r="BS28" s="92" t="s">
        <v>342</v>
      </c>
      <c r="BT28" s="107">
        <f>+IF(BT27&gt;10,10,BT27)</f>
        <v>0.60000000000000009</v>
      </c>
      <c r="BU28" s="92"/>
      <c r="BV28" s="107">
        <f>+IF(BV27&gt;10,10,BV27)</f>
        <v>2.5999999999999996</v>
      </c>
      <c r="BW28" s="92"/>
      <c r="BX28" s="107">
        <f>+IF(BX27&gt;10,10,BX27)</f>
        <v>10</v>
      </c>
      <c r="BY28" s="92"/>
      <c r="BZ28" s="107">
        <f>+IF(BZ27&gt;10,10,BZ27)</f>
        <v>-2.9</v>
      </c>
      <c r="CA28" s="92"/>
      <c r="CB28" s="107">
        <f>+IF(CB27&gt;10,10,CB27)</f>
        <v>-0.50000000000000022</v>
      </c>
    </row>
    <row r="29" spans="1:80" ht="12.75" customHeight="1">
      <c r="A29" s="92"/>
      <c r="B29" s="92"/>
      <c r="C29" s="92"/>
      <c r="D29" s="92"/>
      <c r="E29" s="92"/>
      <c r="F29" s="92">
        <v>17</v>
      </c>
      <c r="G29" s="93" t="s">
        <v>343</v>
      </c>
      <c r="H29" s="92">
        <v>1</v>
      </c>
      <c r="I29" s="92">
        <v>1</v>
      </c>
      <c r="J29" s="92">
        <v>1</v>
      </c>
      <c r="K29" s="92">
        <v>1</v>
      </c>
      <c r="L29" s="92">
        <v>1</v>
      </c>
      <c r="M29" s="92">
        <v>1</v>
      </c>
      <c r="N29" s="92">
        <v>1</v>
      </c>
      <c r="O29" s="92">
        <v>2</v>
      </c>
      <c r="P29" s="92">
        <v>2</v>
      </c>
      <c r="Q29" s="92">
        <v>3</v>
      </c>
      <c r="R29" s="92">
        <v>3</v>
      </c>
      <c r="S29" s="92">
        <v>3</v>
      </c>
      <c r="T29" s="92">
        <v>4</v>
      </c>
      <c r="U29" s="92">
        <v>4</v>
      </c>
      <c r="V29" s="92">
        <v>4</v>
      </c>
      <c r="W29" s="92">
        <v>4</v>
      </c>
      <c r="X29" s="92">
        <v>5</v>
      </c>
      <c r="Y29" s="92">
        <v>6</v>
      </c>
      <c r="Z29" s="92">
        <v>6</v>
      </c>
      <c r="AA29" s="92">
        <v>7</v>
      </c>
      <c r="AB29" s="92">
        <v>8</v>
      </c>
      <c r="AC29" s="92">
        <v>8</v>
      </c>
      <c r="AD29" s="92">
        <v>9</v>
      </c>
      <c r="AE29" s="92" t="s">
        <v>301</v>
      </c>
      <c r="AF29" s="92" t="s">
        <v>301</v>
      </c>
      <c r="AG29" s="92" t="s">
        <v>301</v>
      </c>
      <c r="AH29" s="92" t="s">
        <v>301</v>
      </c>
      <c r="AI29" s="92" t="s">
        <v>301</v>
      </c>
      <c r="AJ29" s="92" t="s">
        <v>301</v>
      </c>
      <c r="AK29" s="92" t="s">
        <v>288</v>
      </c>
      <c r="AL29" s="92"/>
      <c r="AM29" s="92"/>
      <c r="AN29" s="92"/>
      <c r="AO29" s="92"/>
      <c r="AP29" s="92"/>
      <c r="AQ29" s="92"/>
      <c r="AR29" s="92"/>
      <c r="AS29" s="92"/>
      <c r="AT29" s="92"/>
      <c r="AU29" s="92"/>
      <c r="AV29" s="92"/>
      <c r="AW29" s="92"/>
      <c r="AX29" s="92"/>
      <c r="AY29" s="92"/>
      <c r="AZ29" s="92" t="s">
        <v>344</v>
      </c>
      <c r="BA29" s="92" t="s">
        <v>344</v>
      </c>
      <c r="BB29" s="92" t="s">
        <v>344</v>
      </c>
      <c r="BC29" s="92" t="s">
        <v>345</v>
      </c>
      <c r="BD29" s="92" t="s">
        <v>346</v>
      </c>
      <c r="BE29" s="92" t="s">
        <v>334</v>
      </c>
      <c r="BF29" s="92" t="s">
        <v>335</v>
      </c>
      <c r="BG29" s="92" t="s">
        <v>336</v>
      </c>
      <c r="BH29" s="92" t="s">
        <v>337</v>
      </c>
      <c r="BI29" s="92" t="s">
        <v>338</v>
      </c>
      <c r="BJ29" s="92" t="s">
        <v>339</v>
      </c>
      <c r="BK29" s="92" t="s">
        <v>340</v>
      </c>
      <c r="BL29" s="92"/>
      <c r="BM29" s="92"/>
      <c r="BN29" s="92"/>
      <c r="BO29" s="92"/>
      <c r="BP29" s="92"/>
      <c r="BQ29" s="92"/>
      <c r="BR29" s="92"/>
      <c r="BS29" s="92" t="s">
        <v>347</v>
      </c>
      <c r="BT29" s="108">
        <f>+IF(BT28&lt;1,1,BT28)</f>
        <v>1</v>
      </c>
      <c r="BU29" s="109"/>
      <c r="BV29" s="110">
        <f>+IF(BV28&lt;1,1,BV28)</f>
        <v>2.5999999999999996</v>
      </c>
      <c r="BW29" s="109"/>
      <c r="BX29" s="110">
        <f>+IF(BX28&lt;1,1,BX28)</f>
        <v>10</v>
      </c>
      <c r="BY29" s="109"/>
      <c r="BZ29" s="110">
        <f>+IF(BZ28&lt;1,1,BZ28)</f>
        <v>1</v>
      </c>
      <c r="CA29" s="109"/>
      <c r="CB29" s="111">
        <f>+IF(CB28&lt;1,1,CB28)</f>
        <v>1</v>
      </c>
    </row>
    <row r="30" spans="1:80" ht="12.75" customHeight="1">
      <c r="A30" s="92"/>
      <c r="B30" s="92"/>
      <c r="C30" s="92"/>
      <c r="D30" s="92"/>
      <c r="E30" s="92"/>
      <c r="F30" s="92">
        <v>18</v>
      </c>
      <c r="G30" s="93" t="s">
        <v>348</v>
      </c>
      <c r="H30" s="92">
        <v>1</v>
      </c>
      <c r="I30" s="92">
        <v>1</v>
      </c>
      <c r="J30" s="92">
        <v>1</v>
      </c>
      <c r="K30" s="92">
        <v>1</v>
      </c>
      <c r="L30" s="92">
        <v>1</v>
      </c>
      <c r="M30" s="92">
        <v>2</v>
      </c>
      <c r="N30" s="92">
        <v>2</v>
      </c>
      <c r="O30" s="92">
        <v>3</v>
      </c>
      <c r="P30" s="92">
        <v>3</v>
      </c>
      <c r="Q30" s="92">
        <v>3</v>
      </c>
      <c r="R30" s="92">
        <v>4</v>
      </c>
      <c r="S30" s="92">
        <v>4</v>
      </c>
      <c r="T30" s="92">
        <v>4</v>
      </c>
      <c r="U30" s="92">
        <v>4</v>
      </c>
      <c r="V30" s="92">
        <v>5</v>
      </c>
      <c r="W30" s="92">
        <v>5</v>
      </c>
      <c r="X30" s="92">
        <v>6</v>
      </c>
      <c r="Y30" s="92">
        <v>6</v>
      </c>
      <c r="Z30" s="92">
        <v>7</v>
      </c>
      <c r="AA30" s="92">
        <v>7</v>
      </c>
      <c r="AB30" s="92">
        <v>8</v>
      </c>
      <c r="AC30" s="92">
        <v>9</v>
      </c>
      <c r="AD30" s="92">
        <v>10</v>
      </c>
      <c r="AE30" s="92" t="s">
        <v>301</v>
      </c>
      <c r="AF30" s="92" t="s">
        <v>301</v>
      </c>
      <c r="AG30" s="92" t="s">
        <v>301</v>
      </c>
      <c r="AH30" s="92" t="s">
        <v>301</v>
      </c>
      <c r="AI30" s="92" t="s">
        <v>301</v>
      </c>
      <c r="AJ30" s="92" t="s">
        <v>301</v>
      </c>
      <c r="AK30" s="92" t="s">
        <v>288</v>
      </c>
      <c r="AL30" s="92"/>
      <c r="AM30" s="92"/>
      <c r="AN30" s="92"/>
      <c r="AO30" s="92"/>
      <c r="AP30" s="92"/>
      <c r="AQ30" s="92"/>
      <c r="AR30" s="92"/>
      <c r="AS30" s="92"/>
      <c r="AT30" s="92"/>
      <c r="AU30" s="92"/>
      <c r="AV30" s="92"/>
      <c r="AW30" s="92"/>
      <c r="AX30" s="92"/>
      <c r="AY30" s="92"/>
      <c r="AZ30" s="92">
        <v>-10</v>
      </c>
      <c r="BA30" s="92">
        <v>0</v>
      </c>
      <c r="BB30" s="92">
        <v>1</v>
      </c>
      <c r="BC30" s="92">
        <v>2</v>
      </c>
      <c r="BD30" s="92">
        <v>3</v>
      </c>
      <c r="BE30" s="92">
        <v>4</v>
      </c>
      <c r="BF30" s="92">
        <v>5</v>
      </c>
      <c r="BG30" s="92">
        <v>6</v>
      </c>
      <c r="BH30" s="92">
        <v>7</v>
      </c>
      <c r="BI30" s="92">
        <v>8</v>
      </c>
      <c r="BJ30" s="92">
        <v>9</v>
      </c>
      <c r="BK30" s="92">
        <v>10</v>
      </c>
      <c r="BL30" s="92"/>
      <c r="BM30" s="92"/>
      <c r="BN30" s="92"/>
      <c r="BO30" s="92"/>
      <c r="BP30" s="92"/>
      <c r="BQ30" s="92"/>
      <c r="BR30" s="92"/>
      <c r="BS30" s="92"/>
      <c r="BT30" s="112" t="s">
        <v>198</v>
      </c>
      <c r="BU30" s="92"/>
      <c r="BV30" s="92" t="s">
        <v>202</v>
      </c>
      <c r="BW30" s="92"/>
      <c r="BX30" s="92" t="s">
        <v>278</v>
      </c>
      <c r="BY30" s="92"/>
      <c r="BZ30" s="92" t="s">
        <v>207</v>
      </c>
      <c r="CA30" s="92"/>
      <c r="CB30" s="113" t="s">
        <v>279</v>
      </c>
    </row>
    <row r="31" spans="1:80" ht="12.75" customHeight="1">
      <c r="A31" s="92"/>
      <c r="B31" s="92"/>
      <c r="C31" s="92"/>
      <c r="D31" s="92"/>
      <c r="E31" s="92"/>
      <c r="F31" s="92"/>
      <c r="G31" s="93"/>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t="s">
        <v>288</v>
      </c>
      <c r="AL31" s="92"/>
      <c r="AM31" s="92"/>
      <c r="AN31" s="92"/>
      <c r="AO31" s="92"/>
      <c r="AP31" s="92"/>
      <c r="AQ31" s="92"/>
      <c r="AR31" s="92"/>
      <c r="AS31" s="92"/>
      <c r="AT31" s="92"/>
      <c r="AU31" s="92"/>
      <c r="AV31" s="92"/>
      <c r="AW31" s="92"/>
      <c r="AX31" s="92"/>
      <c r="AY31" s="92"/>
      <c r="AZ31" s="92" t="s">
        <v>331</v>
      </c>
      <c r="BA31" s="92" t="s">
        <v>331</v>
      </c>
      <c r="BB31" s="92" t="s">
        <v>331</v>
      </c>
      <c r="BC31" s="92" t="s">
        <v>332</v>
      </c>
      <c r="BD31" s="92" t="s">
        <v>333</v>
      </c>
      <c r="BE31" s="92" t="s">
        <v>334</v>
      </c>
      <c r="BF31" s="92" t="s">
        <v>335</v>
      </c>
      <c r="BG31" s="92" t="s">
        <v>336</v>
      </c>
      <c r="BH31" s="92" t="s">
        <v>337</v>
      </c>
      <c r="BI31" s="92" t="s">
        <v>349</v>
      </c>
      <c r="BJ31" s="92" t="s">
        <v>350</v>
      </c>
      <c r="BK31" s="92" t="s">
        <v>351</v>
      </c>
      <c r="BL31" s="92"/>
      <c r="BM31" s="92"/>
      <c r="BN31" s="92"/>
      <c r="BO31" s="92"/>
      <c r="BP31" s="92"/>
      <c r="BQ31" s="92"/>
      <c r="BR31" s="92"/>
      <c r="BS31" s="92"/>
      <c r="BT31" s="114" t="s">
        <v>352</v>
      </c>
      <c r="BU31" s="115"/>
      <c r="BV31" s="115"/>
      <c r="BW31" s="115"/>
      <c r="BX31" s="115"/>
      <c r="BY31" s="115"/>
      <c r="BZ31" s="115"/>
      <c r="CA31" s="115"/>
      <c r="CB31" s="116"/>
    </row>
    <row r="32" spans="1:80" ht="12.75" customHeight="1">
      <c r="A32" s="92"/>
      <c r="B32" s="92"/>
      <c r="C32" s="92"/>
      <c r="D32" s="92"/>
      <c r="E32" s="92"/>
      <c r="F32" s="92"/>
      <c r="G32" s="93"/>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2" t="s">
        <v>288</v>
      </c>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2"/>
      <c r="BL32" s="92"/>
      <c r="BM32" s="92"/>
      <c r="BN32" s="92"/>
      <c r="BO32" s="92"/>
      <c r="BP32" s="92"/>
      <c r="BQ32" s="92"/>
      <c r="BR32" s="92"/>
      <c r="BS32" s="92"/>
      <c r="BT32" s="92"/>
      <c r="BU32" s="92"/>
      <c r="BV32" s="92"/>
      <c r="BW32" s="92"/>
      <c r="BX32" s="92"/>
      <c r="BY32" s="92"/>
      <c r="BZ32" s="92"/>
      <c r="CA32" s="92"/>
      <c r="CB32" s="92"/>
    </row>
    <row r="33" spans="1:80" ht="12.75" customHeight="1">
      <c r="A33" s="117" t="s">
        <v>300</v>
      </c>
      <c r="B33" s="92"/>
      <c r="C33" s="92"/>
      <c r="D33" s="92"/>
      <c r="E33" s="92"/>
      <c r="F33" s="92"/>
      <c r="G33" s="93"/>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t="s">
        <v>288</v>
      </c>
      <c r="AL33" s="92"/>
      <c r="AM33" s="92">
        <f>'PTI-16'!F7</f>
        <v>1</v>
      </c>
      <c r="AN33" s="92">
        <f>'PTI-16'!F8</f>
        <v>1</v>
      </c>
      <c r="AO33" s="92">
        <f>'PTI-16'!F9</f>
        <v>1</v>
      </c>
      <c r="AP33" s="92">
        <f>'PTI-16'!F10</f>
        <v>1</v>
      </c>
      <c r="AQ33" s="92">
        <f>'PTI-16'!F11</f>
        <v>1</v>
      </c>
      <c r="AR33" s="92">
        <f>'PTI-16'!F12</f>
        <v>1</v>
      </c>
      <c r="AS33" s="92">
        <f>'PTI-16'!F13</f>
        <v>1</v>
      </c>
      <c r="AT33" s="92">
        <f>'PTI-16'!F14</f>
        <v>1</v>
      </c>
      <c r="AU33" s="92">
        <f>'PTI-16'!F15</f>
        <v>1</v>
      </c>
      <c r="AV33" s="92">
        <f>'PTI-16'!F16</f>
        <v>1</v>
      </c>
      <c r="AW33" s="92">
        <f>'PTI-16'!F17</f>
        <v>1</v>
      </c>
      <c r="AX33" s="92">
        <f>'PTI-16'!F18</f>
        <v>2</v>
      </c>
      <c r="AY33" s="92">
        <f>'PTI-16'!F19</f>
        <v>1</v>
      </c>
      <c r="AZ33" s="92">
        <f>'PTI-16'!F20</f>
        <v>1</v>
      </c>
      <c r="BA33" s="92">
        <f>'PTI-16'!F21</f>
        <v>1</v>
      </c>
      <c r="BB33" s="92">
        <f>'PTI-16'!F22</f>
        <v>2</v>
      </c>
      <c r="BC33" s="92"/>
      <c r="BD33" s="92"/>
      <c r="BE33" s="92"/>
      <c r="BF33" s="92"/>
      <c r="BG33" s="92"/>
      <c r="BH33" s="92"/>
      <c r="BI33" s="92"/>
      <c r="BJ33" s="92"/>
      <c r="BK33" s="92"/>
      <c r="BL33" s="92"/>
      <c r="BM33" s="92"/>
      <c r="BN33" s="92"/>
      <c r="BO33" s="92"/>
      <c r="BP33" s="92"/>
      <c r="BQ33" s="92"/>
      <c r="BR33" s="92"/>
      <c r="BS33" s="92"/>
      <c r="BT33" s="92"/>
      <c r="BU33" s="92"/>
      <c r="BV33" s="92"/>
      <c r="BW33" s="92"/>
      <c r="BX33" s="92"/>
      <c r="BY33" s="92"/>
      <c r="BZ33" s="92"/>
      <c r="CA33" s="92"/>
      <c r="CB33" s="92"/>
    </row>
    <row r="34" spans="1:80" ht="12.75" customHeight="1">
      <c r="A34" s="117" t="s">
        <v>303</v>
      </c>
      <c r="B34" s="92"/>
      <c r="C34" s="92"/>
      <c r="D34" s="92"/>
      <c r="E34" s="92"/>
      <c r="F34" s="92"/>
      <c r="G34" s="93" t="s">
        <v>353</v>
      </c>
      <c r="H34" s="92">
        <v>0</v>
      </c>
      <c r="I34" s="92">
        <v>1</v>
      </c>
      <c r="J34" s="92">
        <v>2</v>
      </c>
      <c r="K34" s="92">
        <v>3</v>
      </c>
      <c r="L34" s="92">
        <v>4</v>
      </c>
      <c r="M34" s="92">
        <v>5</v>
      </c>
      <c r="N34" s="92">
        <v>6</v>
      </c>
      <c r="O34" s="92">
        <v>7</v>
      </c>
      <c r="P34" s="92">
        <v>8</v>
      </c>
      <c r="Q34" s="92">
        <v>9</v>
      </c>
      <c r="R34" s="92">
        <v>10</v>
      </c>
      <c r="S34" s="92">
        <v>11</v>
      </c>
      <c r="T34" s="92">
        <v>12</v>
      </c>
      <c r="U34" s="92">
        <v>13</v>
      </c>
      <c r="V34" s="92">
        <v>14</v>
      </c>
      <c r="W34" s="92">
        <v>15</v>
      </c>
      <c r="X34" s="92"/>
      <c r="Y34" s="92"/>
      <c r="Z34" s="92"/>
      <c r="AA34" s="92"/>
      <c r="AB34" s="92"/>
      <c r="AC34" s="92"/>
      <c r="AD34" s="92"/>
      <c r="AE34" s="92"/>
      <c r="AF34" s="92"/>
      <c r="AG34" s="92"/>
      <c r="AH34" s="92"/>
      <c r="AI34" s="92"/>
      <c r="AJ34" s="92"/>
      <c r="AK34" s="92" t="s">
        <v>288</v>
      </c>
      <c r="AL34" s="92"/>
      <c r="AM34" s="92" t="s">
        <v>5</v>
      </c>
      <c r="AN34" s="92" t="s">
        <v>8</v>
      </c>
      <c r="AO34" s="92" t="s">
        <v>11</v>
      </c>
      <c r="AP34" s="92" t="s">
        <v>14</v>
      </c>
      <c r="AQ34" s="92" t="s">
        <v>17</v>
      </c>
      <c r="AR34" s="92" t="s">
        <v>20</v>
      </c>
      <c r="AS34" s="92" t="s">
        <v>23</v>
      </c>
      <c r="AT34" s="92" t="s">
        <v>26</v>
      </c>
      <c r="AU34" s="92" t="s">
        <v>29</v>
      </c>
      <c r="AV34" s="92" t="s">
        <v>32</v>
      </c>
      <c r="AW34" s="92" t="s">
        <v>35</v>
      </c>
      <c r="AX34" s="92" t="s">
        <v>38</v>
      </c>
      <c r="AY34" s="92" t="s">
        <v>41</v>
      </c>
      <c r="AZ34" s="92" t="s">
        <v>44</v>
      </c>
      <c r="BA34" s="92" t="s">
        <v>47</v>
      </c>
      <c r="BB34" s="92" t="s">
        <v>50</v>
      </c>
      <c r="BC34" s="92" t="s">
        <v>354</v>
      </c>
      <c r="BD34" s="92"/>
      <c r="BE34" s="92"/>
      <c r="BF34" s="92"/>
      <c r="BG34" s="92"/>
      <c r="BH34" s="92"/>
      <c r="BI34" s="92"/>
      <c r="BJ34" s="92"/>
      <c r="BK34" s="92"/>
      <c r="BL34" s="92"/>
      <c r="BM34" s="92"/>
      <c r="BN34" s="92"/>
      <c r="BO34" s="92"/>
      <c r="BP34" s="92"/>
      <c r="BQ34" s="92"/>
      <c r="BR34" s="92"/>
      <c r="BS34" s="92"/>
      <c r="BT34" s="92"/>
      <c r="BU34" s="92"/>
      <c r="BV34" s="92"/>
      <c r="BW34" s="92"/>
      <c r="BX34" s="92"/>
      <c r="BY34" s="92"/>
      <c r="BZ34" s="92"/>
      <c r="CA34" s="92"/>
      <c r="CB34" s="92"/>
    </row>
    <row r="35" spans="1:80" ht="12.75" customHeight="1">
      <c r="A35" s="117" t="s">
        <v>305</v>
      </c>
      <c r="B35" s="92"/>
      <c r="C35" s="92"/>
      <c r="D35" s="92"/>
      <c r="E35" s="92"/>
      <c r="F35" s="92">
        <v>1</v>
      </c>
      <c r="G35" s="93" t="s">
        <v>300</v>
      </c>
      <c r="H35" s="99">
        <v>1</v>
      </c>
      <c r="I35" s="99">
        <v>1</v>
      </c>
      <c r="J35" s="99">
        <v>1</v>
      </c>
      <c r="K35" s="99">
        <v>1</v>
      </c>
      <c r="L35" s="99">
        <v>2</v>
      </c>
      <c r="M35" s="99">
        <v>3</v>
      </c>
      <c r="N35" s="99">
        <v>4</v>
      </c>
      <c r="O35" s="99">
        <v>5</v>
      </c>
      <c r="P35" s="99">
        <v>6</v>
      </c>
      <c r="Q35" s="99">
        <v>7</v>
      </c>
      <c r="R35" s="99">
        <v>8</v>
      </c>
      <c r="S35" s="99">
        <v>9</v>
      </c>
      <c r="T35" s="99">
        <v>10</v>
      </c>
      <c r="U35" s="99">
        <v>10</v>
      </c>
      <c r="V35" s="92"/>
      <c r="W35" s="92"/>
      <c r="X35" s="92"/>
      <c r="Y35" s="92"/>
      <c r="Z35" s="92"/>
      <c r="AA35" s="92"/>
      <c r="AB35" s="92"/>
      <c r="AC35" s="92"/>
      <c r="AD35" s="92"/>
      <c r="AE35" s="92"/>
      <c r="AF35" s="92"/>
      <c r="AG35" s="92"/>
      <c r="AH35" s="92"/>
      <c r="AI35" s="92"/>
      <c r="AJ35" s="92"/>
      <c r="AK35" s="92" t="s">
        <v>288</v>
      </c>
      <c r="AL35" s="92" t="s">
        <v>355</v>
      </c>
      <c r="AM35" s="92">
        <v>-0.51</v>
      </c>
      <c r="AN35" s="92">
        <v>0.28999999999999998</v>
      </c>
      <c r="AO35" s="92">
        <v>0.45</v>
      </c>
      <c r="AP35" s="92">
        <v>0.27</v>
      </c>
      <c r="AQ35" s="92">
        <v>-0.46</v>
      </c>
      <c r="AR35" s="92">
        <v>-0.4</v>
      </c>
      <c r="AS35" s="92">
        <v>0.56999999999999995</v>
      </c>
      <c r="AT35" s="92">
        <v>0.66</v>
      </c>
      <c r="AU35" s="92">
        <v>0.08</v>
      </c>
      <c r="AV35" s="92">
        <v>0.14000000000000001</v>
      </c>
      <c r="AW35" s="92">
        <v>-0.25</v>
      </c>
      <c r="AX35" s="92">
        <v>-0.21</v>
      </c>
      <c r="AY35" s="92">
        <v>-0.19</v>
      </c>
      <c r="AZ35" s="92">
        <v>-0.21</v>
      </c>
      <c r="BA35" s="92">
        <v>0.62</v>
      </c>
      <c r="BB35" s="92">
        <v>0.78</v>
      </c>
      <c r="BC35" s="92">
        <v>-3.45</v>
      </c>
      <c r="BD35" s="92">
        <f t="shared" ref="BD35:BD78" si="9">$AM$33*AM35</f>
        <v>-0.51</v>
      </c>
      <c r="BE35" s="92">
        <f t="shared" ref="BE35:BE78" si="10">$AN$33*AN35</f>
        <v>0.28999999999999998</v>
      </c>
      <c r="BF35" s="92">
        <f t="shared" ref="BF35:BF78" si="11">$AO$33*AO35</f>
        <v>0.45</v>
      </c>
      <c r="BG35" s="92">
        <f t="shared" ref="BG35:BG78" si="12">$AP$33*AP35</f>
        <v>0.27</v>
      </c>
      <c r="BH35" s="92">
        <f t="shared" ref="BH35:BH78" si="13">$AQ$33*AQ35</f>
        <v>-0.46</v>
      </c>
      <c r="BI35" s="92">
        <f t="shared" ref="BI35:BI78" si="14">$AR$33*AR35</f>
        <v>-0.4</v>
      </c>
      <c r="BJ35" s="92">
        <f t="shared" ref="BJ35:BJ78" si="15">$AS$33*AS35</f>
        <v>0.56999999999999995</v>
      </c>
      <c r="BK35" s="92">
        <f t="shared" ref="BK35:BK78" si="16">$AT$33*AT35</f>
        <v>0.66</v>
      </c>
      <c r="BL35" s="92">
        <f t="shared" ref="BL35:BL78" si="17">$AU$33*AU35</f>
        <v>0.08</v>
      </c>
      <c r="BM35" s="92">
        <f t="shared" ref="BM35:BM78" si="18">$AV$33*AV35</f>
        <v>0.14000000000000001</v>
      </c>
      <c r="BN35" s="92">
        <f t="shared" ref="BN35:BN78" si="19">$AW$33*AW35</f>
        <v>-0.25</v>
      </c>
      <c r="BO35" s="92">
        <f t="shared" ref="BO35:BO78" si="20">$AX$33*AX35</f>
        <v>-0.42</v>
      </c>
      <c r="BP35" s="92">
        <f t="shared" ref="BP35:BP78" si="21">$AY$33*AY35</f>
        <v>-0.19</v>
      </c>
      <c r="BQ35" s="92">
        <f t="shared" ref="BQ35:BQ78" si="22">$AZ$33*AZ35</f>
        <v>-0.21</v>
      </c>
      <c r="BR35" s="92">
        <f t="shared" ref="BR35:BR78" si="23">$BA$33*BA35</f>
        <v>0.62</v>
      </c>
      <c r="BS35" s="92">
        <f t="shared" ref="BS35:BS78" si="24">$BB$33*BB35</f>
        <v>1.56</v>
      </c>
      <c r="BT35" s="92">
        <f t="shared" ref="BT35:BT78" si="25">BC35</f>
        <v>-3.45</v>
      </c>
      <c r="BU35" s="92">
        <f t="shared" ref="BU35:BU78" si="26">SUM(BD35:BT35)</f>
        <v>-1.25</v>
      </c>
      <c r="BV35" s="92"/>
      <c r="BW35" s="118" t="s">
        <v>356</v>
      </c>
      <c r="BX35" s="92">
        <f>+AVERAGE('PTI-16'!F50:F51)</f>
        <v>1</v>
      </c>
      <c r="BY35" s="92" t="str">
        <f>+TEXT(BX35,"##.##")</f>
        <v>1</v>
      </c>
      <c r="BZ35" s="92"/>
      <c r="CA35" s="92"/>
      <c r="CB35" s="92"/>
    </row>
    <row r="36" spans="1:80" ht="12.75" customHeight="1">
      <c r="A36" s="117" t="s">
        <v>307</v>
      </c>
      <c r="B36" s="92"/>
      <c r="C36" s="92"/>
      <c r="D36" s="92"/>
      <c r="E36" s="92"/>
      <c r="F36" s="92">
        <v>2</v>
      </c>
      <c r="G36" s="93" t="s">
        <v>303</v>
      </c>
      <c r="H36" s="99">
        <v>1</v>
      </c>
      <c r="I36" s="99">
        <v>1</v>
      </c>
      <c r="J36" s="99">
        <v>1</v>
      </c>
      <c r="K36" s="99">
        <v>1</v>
      </c>
      <c r="L36" s="99">
        <v>2</v>
      </c>
      <c r="M36" s="99">
        <v>3</v>
      </c>
      <c r="N36" s="99">
        <v>4</v>
      </c>
      <c r="O36" s="99">
        <v>5</v>
      </c>
      <c r="P36" s="99">
        <v>6</v>
      </c>
      <c r="Q36" s="99">
        <v>7</v>
      </c>
      <c r="R36" s="99">
        <v>8</v>
      </c>
      <c r="S36" s="99">
        <v>9</v>
      </c>
      <c r="T36" s="99">
        <v>10</v>
      </c>
      <c r="U36" s="92">
        <v>10</v>
      </c>
      <c r="V36" s="92"/>
      <c r="W36" s="92"/>
      <c r="X36" s="92"/>
      <c r="Y36" s="92"/>
      <c r="Z36" s="92"/>
      <c r="AA36" s="92"/>
      <c r="AB36" s="92"/>
      <c r="AC36" s="92"/>
      <c r="AD36" s="92"/>
      <c r="AE36" s="92"/>
      <c r="AF36" s="92"/>
      <c r="AG36" s="92"/>
      <c r="AH36" s="92"/>
      <c r="AI36" s="92"/>
      <c r="AJ36" s="92"/>
      <c r="AK36" s="92" t="s">
        <v>288</v>
      </c>
      <c r="AL36" s="92" t="s">
        <v>357</v>
      </c>
      <c r="AM36" s="92">
        <v>-0.32</v>
      </c>
      <c r="AN36" s="92">
        <v>0.43</v>
      </c>
      <c r="AO36" s="92">
        <v>0.48</v>
      </c>
      <c r="AP36" s="92">
        <v>0.57999999999999996</v>
      </c>
      <c r="AQ36" s="92">
        <v>-0.43</v>
      </c>
      <c r="AR36" s="92">
        <v>-0.43</v>
      </c>
      <c r="AS36" s="92">
        <v>0.44</v>
      </c>
      <c r="AT36" s="92">
        <v>0.62</v>
      </c>
      <c r="AU36" s="92">
        <v>-0.05</v>
      </c>
      <c r="AV36" s="92">
        <v>-0.24</v>
      </c>
      <c r="AW36" s="92">
        <v>-0.25</v>
      </c>
      <c r="AX36" s="92">
        <v>0.12</v>
      </c>
      <c r="AY36" s="92">
        <v>-0.08</v>
      </c>
      <c r="AZ36" s="92">
        <v>0</v>
      </c>
      <c r="BA36" s="92">
        <v>0.67</v>
      </c>
      <c r="BB36" s="92">
        <v>0.81</v>
      </c>
      <c r="BC36" s="92">
        <v>-7.41</v>
      </c>
      <c r="BD36" s="92">
        <f t="shared" si="9"/>
        <v>-0.32</v>
      </c>
      <c r="BE36" s="92">
        <f t="shared" si="10"/>
        <v>0.43</v>
      </c>
      <c r="BF36" s="92">
        <f t="shared" si="11"/>
        <v>0.48</v>
      </c>
      <c r="BG36" s="92">
        <f t="shared" si="12"/>
        <v>0.57999999999999996</v>
      </c>
      <c r="BH36" s="92">
        <f t="shared" si="13"/>
        <v>-0.43</v>
      </c>
      <c r="BI36" s="92">
        <f t="shared" si="14"/>
        <v>-0.43</v>
      </c>
      <c r="BJ36" s="92">
        <f t="shared" si="15"/>
        <v>0.44</v>
      </c>
      <c r="BK36" s="92">
        <f t="shared" si="16"/>
        <v>0.62</v>
      </c>
      <c r="BL36" s="92">
        <f t="shared" si="17"/>
        <v>-0.05</v>
      </c>
      <c r="BM36" s="92">
        <f t="shared" si="18"/>
        <v>-0.24</v>
      </c>
      <c r="BN36" s="92">
        <f t="shared" si="19"/>
        <v>-0.25</v>
      </c>
      <c r="BO36" s="92">
        <f t="shared" si="20"/>
        <v>0.24</v>
      </c>
      <c r="BP36" s="92">
        <f t="shared" si="21"/>
        <v>-0.08</v>
      </c>
      <c r="BQ36" s="92">
        <f t="shared" si="22"/>
        <v>0</v>
      </c>
      <c r="BR36" s="92">
        <f t="shared" si="23"/>
        <v>0.67</v>
      </c>
      <c r="BS36" s="92">
        <f t="shared" si="24"/>
        <v>1.62</v>
      </c>
      <c r="BT36" s="92">
        <f t="shared" si="25"/>
        <v>-7.41</v>
      </c>
      <c r="BU36" s="92">
        <f t="shared" si="26"/>
        <v>-4.13</v>
      </c>
      <c r="BV36" s="92"/>
      <c r="BW36" s="118" t="s">
        <v>356</v>
      </c>
      <c r="BX36" s="92"/>
      <c r="BY36" s="92"/>
      <c r="BZ36" s="92"/>
      <c r="CA36" s="92"/>
      <c r="CB36" s="92"/>
    </row>
    <row r="37" spans="1:80" ht="12.75" customHeight="1">
      <c r="A37" s="117" t="s">
        <v>309</v>
      </c>
      <c r="B37" s="92"/>
      <c r="C37" s="92"/>
      <c r="D37" s="92"/>
      <c r="E37" s="92"/>
      <c r="F37" s="92">
        <v>3</v>
      </c>
      <c r="G37" s="93" t="s">
        <v>305</v>
      </c>
      <c r="H37" s="99">
        <v>1</v>
      </c>
      <c r="I37" s="99">
        <v>1</v>
      </c>
      <c r="J37" s="99">
        <v>1</v>
      </c>
      <c r="K37" s="99">
        <v>1</v>
      </c>
      <c r="L37" s="99">
        <v>2</v>
      </c>
      <c r="M37" s="99">
        <v>3</v>
      </c>
      <c r="N37" s="99">
        <v>4</v>
      </c>
      <c r="O37" s="99">
        <v>5</v>
      </c>
      <c r="P37" s="99">
        <v>6</v>
      </c>
      <c r="Q37" s="99">
        <v>7</v>
      </c>
      <c r="R37" s="99">
        <v>8</v>
      </c>
      <c r="S37" s="99">
        <v>9</v>
      </c>
      <c r="T37" s="99">
        <v>10</v>
      </c>
      <c r="U37" s="99">
        <v>10</v>
      </c>
      <c r="V37" s="92"/>
      <c r="W37" s="92"/>
      <c r="X37" s="92"/>
      <c r="Y37" s="92"/>
      <c r="Z37" s="92"/>
      <c r="AA37" s="92"/>
      <c r="AB37" s="92"/>
      <c r="AC37" s="92"/>
      <c r="AD37" s="92"/>
      <c r="AE37" s="92"/>
      <c r="AF37" s="92"/>
      <c r="AG37" s="92"/>
      <c r="AH37" s="92"/>
      <c r="AI37" s="92"/>
      <c r="AJ37" s="92"/>
      <c r="AK37" s="92" t="s">
        <v>288</v>
      </c>
      <c r="AL37" s="92" t="s">
        <v>358</v>
      </c>
      <c r="AM37" s="92">
        <v>0.75</v>
      </c>
      <c r="AN37" s="92">
        <v>0.64</v>
      </c>
      <c r="AO37" s="92">
        <v>-0.21</v>
      </c>
      <c r="AP37" s="92">
        <v>-0.08</v>
      </c>
      <c r="AQ37" s="92">
        <v>-0.16</v>
      </c>
      <c r="AR37" s="92">
        <v>0.48</v>
      </c>
      <c r="AS37" s="92">
        <v>-0.06</v>
      </c>
      <c r="AT37" s="92">
        <v>-0.9</v>
      </c>
      <c r="AU37" s="92">
        <v>0.01</v>
      </c>
      <c r="AV37" s="92">
        <v>0.46</v>
      </c>
      <c r="AW37" s="92">
        <v>0.12</v>
      </c>
      <c r="AX37" s="92">
        <v>-0.21</v>
      </c>
      <c r="AY37" s="92">
        <v>-0.18</v>
      </c>
      <c r="AZ37" s="92">
        <v>0.02</v>
      </c>
      <c r="BA37" s="92">
        <v>-0.21</v>
      </c>
      <c r="BB37" s="92">
        <v>-0.01</v>
      </c>
      <c r="BC37" s="92">
        <v>2.97</v>
      </c>
      <c r="BD37" s="92">
        <f t="shared" si="9"/>
        <v>0.75</v>
      </c>
      <c r="BE37" s="92">
        <f t="shared" si="10"/>
        <v>0.64</v>
      </c>
      <c r="BF37" s="92">
        <f t="shared" si="11"/>
        <v>-0.21</v>
      </c>
      <c r="BG37" s="92">
        <f t="shared" si="12"/>
        <v>-0.08</v>
      </c>
      <c r="BH37" s="92">
        <f t="shared" si="13"/>
        <v>-0.16</v>
      </c>
      <c r="BI37" s="92">
        <f t="shared" si="14"/>
        <v>0.48</v>
      </c>
      <c r="BJ37" s="92">
        <f t="shared" si="15"/>
        <v>-0.06</v>
      </c>
      <c r="BK37" s="92">
        <f t="shared" si="16"/>
        <v>-0.9</v>
      </c>
      <c r="BL37" s="92">
        <f t="shared" si="17"/>
        <v>0.01</v>
      </c>
      <c r="BM37" s="92">
        <f t="shared" si="18"/>
        <v>0.46</v>
      </c>
      <c r="BN37" s="92">
        <f t="shared" si="19"/>
        <v>0.12</v>
      </c>
      <c r="BO37" s="92">
        <f t="shared" si="20"/>
        <v>-0.42</v>
      </c>
      <c r="BP37" s="92">
        <f t="shared" si="21"/>
        <v>-0.18</v>
      </c>
      <c r="BQ37" s="92">
        <f t="shared" si="22"/>
        <v>0.02</v>
      </c>
      <c r="BR37" s="92">
        <f t="shared" si="23"/>
        <v>-0.21</v>
      </c>
      <c r="BS37" s="92">
        <f t="shared" si="24"/>
        <v>-0.02</v>
      </c>
      <c r="BT37" s="92">
        <f t="shared" si="25"/>
        <v>2.97</v>
      </c>
      <c r="BU37" s="92">
        <f t="shared" si="26"/>
        <v>3.21</v>
      </c>
      <c r="BV37" s="92"/>
      <c r="BW37" s="118" t="s">
        <v>359</v>
      </c>
      <c r="BX37" s="92">
        <f>+AVERAGE('PTI-16'!F52:F54)</f>
        <v>3.1533333333333338</v>
      </c>
      <c r="BY37" s="92" t="str">
        <f>+TEXT(BX37,"##.##")</f>
        <v>3</v>
      </c>
      <c r="BZ37" s="92"/>
      <c r="CA37" s="92"/>
      <c r="CB37" s="92"/>
    </row>
    <row r="38" spans="1:80" ht="12.75" customHeight="1">
      <c r="A38" s="117" t="s">
        <v>311</v>
      </c>
      <c r="B38" s="92"/>
      <c r="C38" s="92"/>
      <c r="D38" s="92"/>
      <c r="E38" s="92"/>
      <c r="F38" s="92">
        <v>4</v>
      </c>
      <c r="G38" s="93" t="s">
        <v>307</v>
      </c>
      <c r="H38" s="92">
        <v>1</v>
      </c>
      <c r="I38" s="92">
        <v>1</v>
      </c>
      <c r="J38" s="92">
        <v>1</v>
      </c>
      <c r="K38" s="92">
        <v>1</v>
      </c>
      <c r="L38" s="92">
        <v>2</v>
      </c>
      <c r="M38" s="92">
        <v>3</v>
      </c>
      <c r="N38" s="92">
        <v>4</v>
      </c>
      <c r="O38" s="92">
        <v>5</v>
      </c>
      <c r="P38" s="92">
        <v>6</v>
      </c>
      <c r="Q38" s="92">
        <v>7</v>
      </c>
      <c r="R38" s="92">
        <v>7</v>
      </c>
      <c r="S38" s="92">
        <v>8</v>
      </c>
      <c r="T38" s="92">
        <v>9</v>
      </c>
      <c r="U38" s="92">
        <v>10</v>
      </c>
      <c r="V38" s="92"/>
      <c r="W38" s="92"/>
      <c r="X38" s="92"/>
      <c r="Y38" s="92"/>
      <c r="Z38" s="92"/>
      <c r="AA38" s="92"/>
      <c r="AB38" s="92"/>
      <c r="AC38" s="92"/>
      <c r="AD38" s="92"/>
      <c r="AE38" s="92"/>
      <c r="AF38" s="92"/>
      <c r="AG38" s="92"/>
      <c r="AH38" s="92"/>
      <c r="AI38" s="92"/>
      <c r="AJ38" s="92"/>
      <c r="AK38" s="92" t="s">
        <v>288</v>
      </c>
      <c r="AL38" s="92" t="s">
        <v>360</v>
      </c>
      <c r="AM38" s="92">
        <v>-0.3</v>
      </c>
      <c r="AN38" s="92">
        <v>0.55000000000000004</v>
      </c>
      <c r="AO38" s="92">
        <v>-0.04</v>
      </c>
      <c r="AP38" s="92">
        <v>0.43</v>
      </c>
      <c r="AQ38" s="92">
        <v>-0.67</v>
      </c>
      <c r="AR38" s="92">
        <v>-0.51</v>
      </c>
      <c r="AS38" s="92">
        <v>0.48</v>
      </c>
      <c r="AT38" s="92">
        <v>0.57999999999999996</v>
      </c>
      <c r="AU38" s="92">
        <v>-0.18</v>
      </c>
      <c r="AV38" s="92">
        <v>-0.38</v>
      </c>
      <c r="AW38" s="92">
        <v>-0.12</v>
      </c>
      <c r="AX38" s="92">
        <v>-0.41</v>
      </c>
      <c r="AY38" s="92">
        <v>-0.27</v>
      </c>
      <c r="AZ38" s="92">
        <v>-0.23</v>
      </c>
      <c r="BA38" s="92">
        <v>0.56000000000000005</v>
      </c>
      <c r="BB38" s="92">
        <v>0.61</v>
      </c>
      <c r="BC38" s="92">
        <v>4.95</v>
      </c>
      <c r="BD38" s="92">
        <f t="shared" si="9"/>
        <v>-0.3</v>
      </c>
      <c r="BE38" s="92">
        <f t="shared" si="10"/>
        <v>0.55000000000000004</v>
      </c>
      <c r="BF38" s="92">
        <f t="shared" si="11"/>
        <v>-0.04</v>
      </c>
      <c r="BG38" s="92">
        <f t="shared" si="12"/>
        <v>0.43</v>
      </c>
      <c r="BH38" s="92">
        <f t="shared" si="13"/>
        <v>-0.67</v>
      </c>
      <c r="BI38" s="92">
        <f t="shared" si="14"/>
        <v>-0.51</v>
      </c>
      <c r="BJ38" s="92">
        <f t="shared" si="15"/>
        <v>0.48</v>
      </c>
      <c r="BK38" s="92">
        <f t="shared" si="16"/>
        <v>0.57999999999999996</v>
      </c>
      <c r="BL38" s="92">
        <f t="shared" si="17"/>
        <v>-0.18</v>
      </c>
      <c r="BM38" s="92">
        <f t="shared" si="18"/>
        <v>-0.38</v>
      </c>
      <c r="BN38" s="92">
        <f t="shared" si="19"/>
        <v>-0.12</v>
      </c>
      <c r="BO38" s="92">
        <f t="shared" si="20"/>
        <v>-0.82</v>
      </c>
      <c r="BP38" s="92">
        <f t="shared" si="21"/>
        <v>-0.27</v>
      </c>
      <c r="BQ38" s="92">
        <f t="shared" si="22"/>
        <v>-0.23</v>
      </c>
      <c r="BR38" s="92">
        <f t="shared" si="23"/>
        <v>0.56000000000000005</v>
      </c>
      <c r="BS38" s="92">
        <f t="shared" si="24"/>
        <v>1.22</v>
      </c>
      <c r="BT38" s="92">
        <f t="shared" si="25"/>
        <v>4.95</v>
      </c>
      <c r="BU38" s="92">
        <f t="shared" si="26"/>
        <v>5.25</v>
      </c>
      <c r="BV38" s="92"/>
      <c r="BW38" s="118" t="s">
        <v>359</v>
      </c>
      <c r="BX38" s="92"/>
      <c r="BY38" s="92"/>
      <c r="BZ38" s="92"/>
      <c r="CA38" s="92"/>
      <c r="CB38" s="92"/>
    </row>
    <row r="39" spans="1:80" ht="12.75" customHeight="1">
      <c r="A39" s="117" t="s">
        <v>313</v>
      </c>
      <c r="B39" s="92"/>
      <c r="C39" s="92"/>
      <c r="D39" s="92"/>
      <c r="E39" s="92"/>
      <c r="F39" s="92">
        <v>5</v>
      </c>
      <c r="G39" s="93" t="s">
        <v>309</v>
      </c>
      <c r="H39" s="92">
        <v>1</v>
      </c>
      <c r="I39" s="92">
        <v>1</v>
      </c>
      <c r="J39" s="92">
        <v>1</v>
      </c>
      <c r="K39" s="92">
        <v>1</v>
      </c>
      <c r="L39" s="92">
        <v>1</v>
      </c>
      <c r="M39" s="92">
        <v>2</v>
      </c>
      <c r="N39" s="92">
        <v>3</v>
      </c>
      <c r="O39" s="92">
        <v>4</v>
      </c>
      <c r="P39" s="92">
        <v>5</v>
      </c>
      <c r="Q39" s="92">
        <v>6</v>
      </c>
      <c r="R39" s="92">
        <v>7</v>
      </c>
      <c r="S39" s="92">
        <v>8</v>
      </c>
      <c r="T39" s="92">
        <v>9</v>
      </c>
      <c r="U39" s="92">
        <v>10</v>
      </c>
      <c r="V39" s="92"/>
      <c r="W39" s="92"/>
      <c r="X39" s="92"/>
      <c r="Y39" s="92"/>
      <c r="Z39" s="92"/>
      <c r="AA39" s="92"/>
      <c r="AB39" s="92"/>
      <c r="AC39" s="92"/>
      <c r="AD39" s="92"/>
      <c r="AE39" s="92"/>
      <c r="AF39" s="92"/>
      <c r="AG39" s="92"/>
      <c r="AH39" s="92"/>
      <c r="AI39" s="92"/>
      <c r="AJ39" s="92"/>
      <c r="AK39" s="92" t="s">
        <v>288</v>
      </c>
      <c r="AL39" s="92" t="s">
        <v>361</v>
      </c>
      <c r="AM39" s="92">
        <v>0.98</v>
      </c>
      <c r="AN39" s="92">
        <v>0.62</v>
      </c>
      <c r="AO39" s="92">
        <v>0.14000000000000001</v>
      </c>
      <c r="AP39" s="92">
        <v>-0.21</v>
      </c>
      <c r="AQ39" s="92">
        <v>-0.5</v>
      </c>
      <c r="AR39" s="92">
        <v>-7.0000000000000007E-2</v>
      </c>
      <c r="AS39" s="92">
        <v>0.27</v>
      </c>
      <c r="AT39" s="92">
        <v>-0.38</v>
      </c>
      <c r="AU39" s="92">
        <v>0.27</v>
      </c>
      <c r="AV39" s="92">
        <v>0.09</v>
      </c>
      <c r="AW39" s="92">
        <v>0</v>
      </c>
      <c r="AX39" s="92">
        <v>0.32</v>
      </c>
      <c r="AY39" s="92">
        <v>0.1</v>
      </c>
      <c r="AZ39" s="92">
        <v>0.22</v>
      </c>
      <c r="BA39" s="92">
        <v>0.17</v>
      </c>
      <c r="BB39" s="92">
        <v>0.03</v>
      </c>
      <c r="BC39" s="92">
        <v>-5.76</v>
      </c>
      <c r="BD39" s="92">
        <f t="shared" si="9"/>
        <v>0.98</v>
      </c>
      <c r="BE39" s="92">
        <f t="shared" si="10"/>
        <v>0.62</v>
      </c>
      <c r="BF39" s="92">
        <f t="shared" si="11"/>
        <v>0.14000000000000001</v>
      </c>
      <c r="BG39" s="92">
        <f t="shared" si="12"/>
        <v>-0.21</v>
      </c>
      <c r="BH39" s="92">
        <f t="shared" si="13"/>
        <v>-0.5</v>
      </c>
      <c r="BI39" s="92">
        <f t="shared" si="14"/>
        <v>-7.0000000000000007E-2</v>
      </c>
      <c r="BJ39" s="92">
        <f t="shared" si="15"/>
        <v>0.27</v>
      </c>
      <c r="BK39" s="92">
        <f t="shared" si="16"/>
        <v>-0.38</v>
      </c>
      <c r="BL39" s="92">
        <f t="shared" si="17"/>
        <v>0.27</v>
      </c>
      <c r="BM39" s="92">
        <f t="shared" si="18"/>
        <v>0.09</v>
      </c>
      <c r="BN39" s="92">
        <f t="shared" si="19"/>
        <v>0</v>
      </c>
      <c r="BO39" s="92">
        <f t="shared" si="20"/>
        <v>0.64</v>
      </c>
      <c r="BP39" s="92">
        <f t="shared" si="21"/>
        <v>0.1</v>
      </c>
      <c r="BQ39" s="92">
        <f t="shared" si="22"/>
        <v>0.22</v>
      </c>
      <c r="BR39" s="92">
        <f t="shared" si="23"/>
        <v>0.17</v>
      </c>
      <c r="BS39" s="92">
        <f t="shared" si="24"/>
        <v>0.06</v>
      </c>
      <c r="BT39" s="92">
        <f t="shared" si="25"/>
        <v>-5.76</v>
      </c>
      <c r="BU39" s="92">
        <f t="shared" si="26"/>
        <v>-3.3599999999999994</v>
      </c>
      <c r="BV39" s="92"/>
      <c r="BW39" s="118" t="s">
        <v>359</v>
      </c>
      <c r="BX39" s="92"/>
      <c r="BY39" s="92"/>
      <c r="BZ39" s="92"/>
      <c r="CA39" s="92"/>
      <c r="CB39" s="92"/>
    </row>
    <row r="40" spans="1:80" ht="12.75" customHeight="1">
      <c r="A40" s="117" t="s">
        <v>315</v>
      </c>
      <c r="B40" s="92"/>
      <c r="C40" s="92"/>
      <c r="D40" s="92"/>
      <c r="E40" s="92"/>
      <c r="F40" s="92">
        <v>6</v>
      </c>
      <c r="G40" s="93" t="s">
        <v>311</v>
      </c>
      <c r="H40" s="92">
        <v>1</v>
      </c>
      <c r="I40" s="92">
        <v>1</v>
      </c>
      <c r="J40" s="92">
        <v>1</v>
      </c>
      <c r="K40" s="92">
        <v>1</v>
      </c>
      <c r="L40" s="92">
        <v>1</v>
      </c>
      <c r="M40" s="92">
        <v>2</v>
      </c>
      <c r="N40" s="92">
        <v>3</v>
      </c>
      <c r="O40" s="92">
        <v>4</v>
      </c>
      <c r="P40" s="92">
        <v>5</v>
      </c>
      <c r="Q40" s="92">
        <v>6</v>
      </c>
      <c r="R40" s="92">
        <v>7</v>
      </c>
      <c r="S40" s="92">
        <v>8</v>
      </c>
      <c r="T40" s="92">
        <v>9</v>
      </c>
      <c r="U40" s="92">
        <v>10</v>
      </c>
      <c r="V40" s="92"/>
      <c r="W40" s="92"/>
      <c r="X40" s="92"/>
      <c r="Y40" s="92"/>
      <c r="Z40" s="92"/>
      <c r="AA40" s="92"/>
      <c r="AB40" s="92"/>
      <c r="AC40" s="92"/>
      <c r="AD40" s="92"/>
      <c r="AE40" s="92"/>
      <c r="AF40" s="92"/>
      <c r="AG40" s="92"/>
      <c r="AH40" s="92"/>
      <c r="AI40" s="92"/>
      <c r="AJ40" s="92"/>
      <c r="AK40" s="92" t="s">
        <v>288</v>
      </c>
      <c r="AL40" s="92" t="s">
        <v>362</v>
      </c>
      <c r="AM40" s="92">
        <v>0.08</v>
      </c>
      <c r="AN40" s="92">
        <v>-0.28999999999999998</v>
      </c>
      <c r="AO40" s="92">
        <v>0.75</v>
      </c>
      <c r="AP40" s="92">
        <v>0.48</v>
      </c>
      <c r="AQ40" s="92">
        <v>0.62</v>
      </c>
      <c r="AR40" s="92">
        <v>0.27</v>
      </c>
      <c r="AS40" s="92">
        <v>-0.26</v>
      </c>
      <c r="AT40" s="92">
        <v>-0.11</v>
      </c>
      <c r="AU40" s="92">
        <v>0.25</v>
      </c>
      <c r="AV40" s="92">
        <v>-0.09</v>
      </c>
      <c r="AW40" s="92">
        <v>-0.21</v>
      </c>
      <c r="AX40" s="92">
        <v>0.28999999999999998</v>
      </c>
      <c r="AY40" s="92">
        <v>0.08</v>
      </c>
      <c r="AZ40" s="92">
        <v>-0.01</v>
      </c>
      <c r="BA40" s="92">
        <v>0.02</v>
      </c>
      <c r="BB40" s="92">
        <v>0.42</v>
      </c>
      <c r="BC40" s="92">
        <v>-7.08</v>
      </c>
      <c r="BD40" s="92">
        <f t="shared" si="9"/>
        <v>0.08</v>
      </c>
      <c r="BE40" s="92">
        <f t="shared" si="10"/>
        <v>-0.28999999999999998</v>
      </c>
      <c r="BF40" s="92">
        <f t="shared" si="11"/>
        <v>0.75</v>
      </c>
      <c r="BG40" s="92">
        <f t="shared" si="12"/>
        <v>0.48</v>
      </c>
      <c r="BH40" s="92">
        <f t="shared" si="13"/>
        <v>0.62</v>
      </c>
      <c r="BI40" s="92">
        <f t="shared" si="14"/>
        <v>0.27</v>
      </c>
      <c r="BJ40" s="92">
        <f t="shared" si="15"/>
        <v>-0.26</v>
      </c>
      <c r="BK40" s="92">
        <f t="shared" si="16"/>
        <v>-0.11</v>
      </c>
      <c r="BL40" s="92">
        <f t="shared" si="17"/>
        <v>0.25</v>
      </c>
      <c r="BM40" s="92">
        <f t="shared" si="18"/>
        <v>-0.09</v>
      </c>
      <c r="BN40" s="92">
        <f t="shared" si="19"/>
        <v>-0.21</v>
      </c>
      <c r="BO40" s="92">
        <f t="shared" si="20"/>
        <v>0.57999999999999996</v>
      </c>
      <c r="BP40" s="92">
        <f t="shared" si="21"/>
        <v>0.08</v>
      </c>
      <c r="BQ40" s="92">
        <f t="shared" si="22"/>
        <v>-0.01</v>
      </c>
      <c r="BR40" s="92">
        <f t="shared" si="23"/>
        <v>0.02</v>
      </c>
      <c r="BS40" s="92">
        <f t="shared" si="24"/>
        <v>0.84</v>
      </c>
      <c r="BT40" s="92">
        <f t="shared" si="25"/>
        <v>-7.08</v>
      </c>
      <c r="BU40" s="92">
        <f t="shared" si="26"/>
        <v>-4.08</v>
      </c>
      <c r="BV40" s="92"/>
      <c r="BW40" s="118" t="s">
        <v>363</v>
      </c>
      <c r="BX40" s="92">
        <f>+AVERAGE('PTI-16'!F55:F57)</f>
        <v>1</v>
      </c>
      <c r="BY40" s="92" t="str">
        <f>+TEXT(BX40,"##.##")</f>
        <v>1</v>
      </c>
      <c r="BZ40" s="92"/>
      <c r="CA40" s="92"/>
      <c r="CB40" s="92"/>
    </row>
    <row r="41" spans="1:80" ht="12.75" customHeight="1">
      <c r="A41" s="117" t="s">
        <v>318</v>
      </c>
      <c r="B41" s="92"/>
      <c r="C41" s="92"/>
      <c r="D41" s="92"/>
      <c r="E41" s="92"/>
      <c r="F41" s="92">
        <v>7</v>
      </c>
      <c r="G41" s="93" t="s">
        <v>313</v>
      </c>
      <c r="H41" s="92">
        <v>1</v>
      </c>
      <c r="I41" s="92">
        <v>1</v>
      </c>
      <c r="J41" s="92">
        <v>1</v>
      </c>
      <c r="K41" s="92">
        <v>1</v>
      </c>
      <c r="L41" s="92">
        <v>1</v>
      </c>
      <c r="M41" s="92">
        <v>2</v>
      </c>
      <c r="N41" s="92">
        <v>3</v>
      </c>
      <c r="O41" s="92">
        <v>4</v>
      </c>
      <c r="P41" s="92">
        <v>5</v>
      </c>
      <c r="Q41" s="92">
        <v>6</v>
      </c>
      <c r="R41" s="92">
        <v>7</v>
      </c>
      <c r="S41" s="92">
        <v>8</v>
      </c>
      <c r="T41" s="92">
        <v>9</v>
      </c>
      <c r="U41" s="92">
        <v>10</v>
      </c>
      <c r="V41" s="92"/>
      <c r="W41" s="92"/>
      <c r="X41" s="92"/>
      <c r="Y41" s="92"/>
      <c r="Z41" s="92"/>
      <c r="AA41" s="92"/>
      <c r="AB41" s="92"/>
      <c r="AC41" s="92"/>
      <c r="AD41" s="92"/>
      <c r="AE41" s="92"/>
      <c r="AF41" s="92"/>
      <c r="AG41" s="92"/>
      <c r="AH41" s="92"/>
      <c r="AI41" s="92"/>
      <c r="AJ41" s="92"/>
      <c r="AK41" s="92" t="s">
        <v>288</v>
      </c>
      <c r="AL41" s="92" t="s">
        <v>364</v>
      </c>
      <c r="AM41" s="92">
        <v>0.21</v>
      </c>
      <c r="AN41" s="92">
        <v>0.23</v>
      </c>
      <c r="AO41" s="92">
        <v>0.55000000000000004</v>
      </c>
      <c r="AP41" s="92">
        <v>0.7</v>
      </c>
      <c r="AQ41" s="92">
        <v>0.21</v>
      </c>
      <c r="AR41" s="92">
        <v>0.69</v>
      </c>
      <c r="AS41" s="92">
        <v>-0.39</v>
      </c>
      <c r="AT41" s="92">
        <v>-0.44</v>
      </c>
      <c r="AU41" s="92">
        <v>-0.05</v>
      </c>
      <c r="AV41" s="92">
        <v>0.63</v>
      </c>
      <c r="AW41" s="92">
        <v>-0.3</v>
      </c>
      <c r="AX41" s="92">
        <v>0.25</v>
      </c>
      <c r="AY41" s="92">
        <v>-0.03</v>
      </c>
      <c r="AZ41" s="92">
        <v>0</v>
      </c>
      <c r="BA41" s="92">
        <v>-0.48</v>
      </c>
      <c r="BB41" s="92">
        <v>-0.11</v>
      </c>
      <c r="BC41" s="92">
        <v>-3.67</v>
      </c>
      <c r="BD41" s="92">
        <f t="shared" si="9"/>
        <v>0.21</v>
      </c>
      <c r="BE41" s="92">
        <f t="shared" si="10"/>
        <v>0.23</v>
      </c>
      <c r="BF41" s="92">
        <f t="shared" si="11"/>
        <v>0.55000000000000004</v>
      </c>
      <c r="BG41" s="92">
        <f t="shared" si="12"/>
        <v>0.7</v>
      </c>
      <c r="BH41" s="92">
        <f t="shared" si="13"/>
        <v>0.21</v>
      </c>
      <c r="BI41" s="92">
        <f t="shared" si="14"/>
        <v>0.69</v>
      </c>
      <c r="BJ41" s="92">
        <f t="shared" si="15"/>
        <v>-0.39</v>
      </c>
      <c r="BK41" s="92">
        <f t="shared" si="16"/>
        <v>-0.44</v>
      </c>
      <c r="BL41" s="92">
        <f t="shared" si="17"/>
        <v>-0.05</v>
      </c>
      <c r="BM41" s="92">
        <f t="shared" si="18"/>
        <v>0.63</v>
      </c>
      <c r="BN41" s="92">
        <f t="shared" si="19"/>
        <v>-0.3</v>
      </c>
      <c r="BO41" s="92">
        <f t="shared" si="20"/>
        <v>0.5</v>
      </c>
      <c r="BP41" s="92">
        <f t="shared" si="21"/>
        <v>-0.03</v>
      </c>
      <c r="BQ41" s="92">
        <f t="shared" si="22"/>
        <v>0</v>
      </c>
      <c r="BR41" s="92">
        <f t="shared" si="23"/>
        <v>-0.48</v>
      </c>
      <c r="BS41" s="92">
        <f t="shared" si="24"/>
        <v>-0.22</v>
      </c>
      <c r="BT41" s="92">
        <f t="shared" si="25"/>
        <v>-3.67</v>
      </c>
      <c r="BU41" s="92">
        <f t="shared" si="26"/>
        <v>-1.8599999999999997</v>
      </c>
      <c r="BV41" s="92"/>
      <c r="BW41" s="118" t="s">
        <v>363</v>
      </c>
      <c r="BX41" s="92"/>
      <c r="BY41" s="92"/>
      <c r="BZ41" s="92"/>
      <c r="CA41" s="92"/>
      <c r="CB41" s="92"/>
    </row>
    <row r="42" spans="1:80" ht="12.75" customHeight="1">
      <c r="A42" s="117" t="s">
        <v>320</v>
      </c>
      <c r="B42" s="92"/>
      <c r="C42" s="92"/>
      <c r="D42" s="92"/>
      <c r="E42" s="92"/>
      <c r="F42" s="92">
        <v>8</v>
      </c>
      <c r="G42" s="93" t="s">
        <v>315</v>
      </c>
      <c r="H42" s="92">
        <v>1</v>
      </c>
      <c r="I42" s="92">
        <v>1</v>
      </c>
      <c r="J42" s="92">
        <v>1</v>
      </c>
      <c r="K42" s="92">
        <v>1</v>
      </c>
      <c r="L42" s="92">
        <v>1</v>
      </c>
      <c r="M42" s="92">
        <v>2</v>
      </c>
      <c r="N42" s="92">
        <v>3</v>
      </c>
      <c r="O42" s="92">
        <v>4</v>
      </c>
      <c r="P42" s="92">
        <v>5</v>
      </c>
      <c r="Q42" s="92">
        <v>6</v>
      </c>
      <c r="R42" s="92">
        <v>7</v>
      </c>
      <c r="S42" s="92">
        <v>8</v>
      </c>
      <c r="T42" s="92">
        <v>9</v>
      </c>
      <c r="U42" s="92">
        <v>10</v>
      </c>
      <c r="V42" s="92"/>
      <c r="W42" s="92"/>
      <c r="X42" s="92"/>
      <c r="Y42" s="92"/>
      <c r="Z42" s="92"/>
      <c r="AA42" s="92"/>
      <c r="AB42" s="92"/>
      <c r="AC42" s="92"/>
      <c r="AD42" s="92"/>
      <c r="AE42" s="92"/>
      <c r="AF42" s="92"/>
      <c r="AG42" s="92"/>
      <c r="AH42" s="92"/>
      <c r="AI42" s="92"/>
      <c r="AJ42" s="92"/>
      <c r="AK42" s="92" t="s">
        <v>288</v>
      </c>
      <c r="AL42" s="92" t="s">
        <v>365</v>
      </c>
      <c r="AM42" s="92">
        <v>-0.18</v>
      </c>
      <c r="AN42" s="92">
        <v>0.21</v>
      </c>
      <c r="AO42" s="92">
        <v>0.7</v>
      </c>
      <c r="AP42" s="92">
        <v>0.3</v>
      </c>
      <c r="AQ42" s="92">
        <v>0.37</v>
      </c>
      <c r="AR42" s="92">
        <v>0.57999999999999996</v>
      </c>
      <c r="AS42" s="92">
        <v>-0.16</v>
      </c>
      <c r="AT42" s="92">
        <v>-0.54</v>
      </c>
      <c r="AU42" s="92">
        <v>-0.05</v>
      </c>
      <c r="AV42" s="92">
        <v>0.25</v>
      </c>
      <c r="AW42" s="92">
        <v>-0.1</v>
      </c>
      <c r="AX42" s="92">
        <v>0.54</v>
      </c>
      <c r="AY42" s="92">
        <v>0.25</v>
      </c>
      <c r="AZ42" s="92">
        <v>-0.39</v>
      </c>
      <c r="BA42" s="92">
        <v>-0.38</v>
      </c>
      <c r="BB42" s="92">
        <v>-0.02</v>
      </c>
      <c r="BC42" s="92">
        <v>-2.08</v>
      </c>
      <c r="BD42" s="92">
        <f t="shared" si="9"/>
        <v>-0.18</v>
      </c>
      <c r="BE42" s="92">
        <f t="shared" si="10"/>
        <v>0.21</v>
      </c>
      <c r="BF42" s="92">
        <f t="shared" si="11"/>
        <v>0.7</v>
      </c>
      <c r="BG42" s="92">
        <f t="shared" si="12"/>
        <v>0.3</v>
      </c>
      <c r="BH42" s="92">
        <f t="shared" si="13"/>
        <v>0.37</v>
      </c>
      <c r="BI42" s="92">
        <f t="shared" si="14"/>
        <v>0.57999999999999996</v>
      </c>
      <c r="BJ42" s="92">
        <f t="shared" si="15"/>
        <v>-0.16</v>
      </c>
      <c r="BK42" s="92">
        <f t="shared" si="16"/>
        <v>-0.54</v>
      </c>
      <c r="BL42" s="92">
        <f t="shared" si="17"/>
        <v>-0.05</v>
      </c>
      <c r="BM42" s="92">
        <f t="shared" si="18"/>
        <v>0.25</v>
      </c>
      <c r="BN42" s="92">
        <f t="shared" si="19"/>
        <v>-0.1</v>
      </c>
      <c r="BO42" s="92">
        <f t="shared" si="20"/>
        <v>1.08</v>
      </c>
      <c r="BP42" s="92">
        <f t="shared" si="21"/>
        <v>0.25</v>
      </c>
      <c r="BQ42" s="92">
        <f t="shared" si="22"/>
        <v>-0.39</v>
      </c>
      <c r="BR42" s="92">
        <f t="shared" si="23"/>
        <v>-0.38</v>
      </c>
      <c r="BS42" s="92">
        <f t="shared" si="24"/>
        <v>-0.04</v>
      </c>
      <c r="BT42" s="92">
        <f t="shared" si="25"/>
        <v>-2.08</v>
      </c>
      <c r="BU42" s="92">
        <f t="shared" si="26"/>
        <v>-0.18000000000000016</v>
      </c>
      <c r="BV42" s="92"/>
      <c r="BW42" s="118" t="s">
        <v>363</v>
      </c>
      <c r="BX42" s="92"/>
      <c r="BY42" s="92"/>
      <c r="BZ42" s="92"/>
      <c r="CA42" s="92"/>
      <c r="CB42" s="92"/>
    </row>
    <row r="43" spans="1:80" ht="12.75" customHeight="1">
      <c r="A43" s="117" t="s">
        <v>322</v>
      </c>
      <c r="B43" s="92"/>
      <c r="C43" s="92"/>
      <c r="D43" s="92"/>
      <c r="E43" s="92"/>
      <c r="F43" s="92">
        <v>9</v>
      </c>
      <c r="G43" s="93" t="s">
        <v>318</v>
      </c>
      <c r="H43" s="92">
        <v>1</v>
      </c>
      <c r="I43" s="92">
        <v>1</v>
      </c>
      <c r="J43" s="92">
        <v>1</v>
      </c>
      <c r="K43" s="92">
        <v>1</v>
      </c>
      <c r="L43" s="92">
        <v>1</v>
      </c>
      <c r="M43" s="92">
        <v>1</v>
      </c>
      <c r="N43" s="92">
        <v>3</v>
      </c>
      <c r="O43" s="92">
        <v>4</v>
      </c>
      <c r="P43" s="92">
        <v>5</v>
      </c>
      <c r="Q43" s="92">
        <v>6</v>
      </c>
      <c r="R43" s="92">
        <v>7</v>
      </c>
      <c r="S43" s="92">
        <v>8</v>
      </c>
      <c r="T43" s="92">
        <v>9</v>
      </c>
      <c r="U43" s="92">
        <v>10</v>
      </c>
      <c r="V43" s="92"/>
      <c r="W43" s="92"/>
      <c r="X43" s="92"/>
      <c r="Y43" s="92"/>
      <c r="Z43" s="92"/>
      <c r="AA43" s="92"/>
      <c r="AB43" s="92"/>
      <c r="AC43" s="92"/>
      <c r="AD43" s="92"/>
      <c r="AE43" s="92"/>
      <c r="AF43" s="92"/>
      <c r="AG43" s="92"/>
      <c r="AH43" s="92"/>
      <c r="AI43" s="92"/>
      <c r="AJ43" s="92"/>
      <c r="AK43" s="92" t="s">
        <v>288</v>
      </c>
      <c r="AL43" s="92" t="s">
        <v>366</v>
      </c>
      <c r="AM43" s="92">
        <v>0.04</v>
      </c>
      <c r="AN43" s="92">
        <v>0.61</v>
      </c>
      <c r="AO43" s="92">
        <v>-0.28999999999999998</v>
      </c>
      <c r="AP43" s="92">
        <v>0.83</v>
      </c>
      <c r="AQ43" s="92">
        <v>-0.45</v>
      </c>
      <c r="AR43" s="92">
        <v>0.16</v>
      </c>
      <c r="AS43" s="92">
        <v>-7.0000000000000007E-2</v>
      </c>
      <c r="AT43" s="92">
        <v>0.4</v>
      </c>
      <c r="AU43" s="92">
        <v>-0.25</v>
      </c>
      <c r="AV43" s="92">
        <v>-0.6</v>
      </c>
      <c r="AW43" s="92">
        <v>-0.43</v>
      </c>
      <c r="AX43" s="92">
        <v>-0.14000000000000001</v>
      </c>
      <c r="AY43" s="92">
        <v>0.22</v>
      </c>
      <c r="AZ43" s="92">
        <v>-0.16</v>
      </c>
      <c r="BA43" s="92">
        <v>-0.22</v>
      </c>
      <c r="BB43" s="92">
        <v>-0.37</v>
      </c>
      <c r="BC43" s="92">
        <v>9.4600000000000009</v>
      </c>
      <c r="BD43" s="92">
        <f t="shared" si="9"/>
        <v>0.04</v>
      </c>
      <c r="BE43" s="92">
        <f t="shared" si="10"/>
        <v>0.61</v>
      </c>
      <c r="BF43" s="92">
        <f t="shared" si="11"/>
        <v>-0.28999999999999998</v>
      </c>
      <c r="BG43" s="92">
        <f t="shared" si="12"/>
        <v>0.83</v>
      </c>
      <c r="BH43" s="92">
        <f t="shared" si="13"/>
        <v>-0.45</v>
      </c>
      <c r="BI43" s="92">
        <f t="shared" si="14"/>
        <v>0.16</v>
      </c>
      <c r="BJ43" s="92">
        <f t="shared" si="15"/>
        <v>-7.0000000000000007E-2</v>
      </c>
      <c r="BK43" s="92">
        <f t="shared" si="16"/>
        <v>0.4</v>
      </c>
      <c r="BL43" s="92">
        <f t="shared" si="17"/>
        <v>-0.25</v>
      </c>
      <c r="BM43" s="92">
        <f t="shared" si="18"/>
        <v>-0.6</v>
      </c>
      <c r="BN43" s="92">
        <f t="shared" si="19"/>
        <v>-0.43</v>
      </c>
      <c r="BO43" s="92">
        <f t="shared" si="20"/>
        <v>-0.28000000000000003</v>
      </c>
      <c r="BP43" s="92">
        <f t="shared" si="21"/>
        <v>0.22</v>
      </c>
      <c r="BQ43" s="92">
        <f t="shared" si="22"/>
        <v>-0.16</v>
      </c>
      <c r="BR43" s="92">
        <f t="shared" si="23"/>
        <v>-0.22</v>
      </c>
      <c r="BS43" s="92">
        <f t="shared" si="24"/>
        <v>-0.74</v>
      </c>
      <c r="BT43" s="92">
        <f t="shared" si="25"/>
        <v>9.4600000000000009</v>
      </c>
      <c r="BU43" s="92">
        <f t="shared" si="26"/>
        <v>8.23</v>
      </c>
      <c r="BV43" s="92"/>
      <c r="BW43" s="118" t="s">
        <v>367</v>
      </c>
      <c r="BX43" s="92">
        <f>+AVERAGE('PTI-16'!F58:F75)</f>
        <v>7.1055555555555552</v>
      </c>
      <c r="BY43" s="92" t="str">
        <f>+TEXT(BX43,"##.##")</f>
        <v>7</v>
      </c>
      <c r="BZ43" s="92"/>
      <c r="CA43" s="92"/>
      <c r="CB43" s="92"/>
    </row>
    <row r="44" spans="1:80" ht="12.75" customHeight="1">
      <c r="A44" s="117" t="s">
        <v>324</v>
      </c>
      <c r="B44" s="92"/>
      <c r="C44" s="92"/>
      <c r="D44" s="92"/>
      <c r="E44" s="92"/>
      <c r="F44" s="92">
        <v>10</v>
      </c>
      <c r="G44" s="93" t="s">
        <v>320</v>
      </c>
      <c r="H44" s="92">
        <v>1</v>
      </c>
      <c r="I44" s="92">
        <v>1</v>
      </c>
      <c r="J44" s="92">
        <v>1</v>
      </c>
      <c r="K44" s="92">
        <v>1</v>
      </c>
      <c r="L44" s="92">
        <v>2</v>
      </c>
      <c r="M44" s="92">
        <v>3</v>
      </c>
      <c r="N44" s="92">
        <v>4</v>
      </c>
      <c r="O44" s="92">
        <v>5</v>
      </c>
      <c r="P44" s="92">
        <v>6</v>
      </c>
      <c r="Q44" s="92">
        <v>7</v>
      </c>
      <c r="R44" s="92">
        <v>8</v>
      </c>
      <c r="S44" s="92">
        <v>9</v>
      </c>
      <c r="T44" s="92">
        <v>10</v>
      </c>
      <c r="U44" s="92">
        <v>10</v>
      </c>
      <c r="V44" s="92"/>
      <c r="W44" s="92"/>
      <c r="X44" s="92"/>
      <c r="Y44" s="92"/>
      <c r="Z44" s="92"/>
      <c r="AA44" s="92"/>
      <c r="AB44" s="92"/>
      <c r="AC44" s="92"/>
      <c r="AD44" s="92"/>
      <c r="AE44" s="92"/>
      <c r="AF44" s="92"/>
      <c r="AG44" s="92"/>
      <c r="AH44" s="92"/>
      <c r="AI44" s="92"/>
      <c r="AJ44" s="92"/>
      <c r="AK44" s="92" t="s">
        <v>288</v>
      </c>
      <c r="AL44" s="92" t="s">
        <v>368</v>
      </c>
      <c r="AM44" s="92">
        <v>0.16</v>
      </c>
      <c r="AN44" s="92">
        <v>0.44</v>
      </c>
      <c r="AO44" s="92">
        <v>-0.12</v>
      </c>
      <c r="AP44" s="92">
        <v>0.69</v>
      </c>
      <c r="AQ44" s="92">
        <v>-0.49</v>
      </c>
      <c r="AR44" s="92">
        <v>-0.26</v>
      </c>
      <c r="AS44" s="92">
        <v>0.03</v>
      </c>
      <c r="AT44" s="92">
        <v>0.76</v>
      </c>
      <c r="AU44" s="92">
        <v>-0.39</v>
      </c>
      <c r="AV44" s="92">
        <v>-0.64</v>
      </c>
      <c r="AW44" s="92">
        <v>-0.28999999999999998</v>
      </c>
      <c r="AX44" s="92">
        <v>-0.22</v>
      </c>
      <c r="AY44" s="92">
        <v>-0.16</v>
      </c>
      <c r="AZ44" s="92">
        <v>-0.18</v>
      </c>
      <c r="BA44" s="92">
        <v>0.12</v>
      </c>
      <c r="BB44" s="92">
        <v>0.15</v>
      </c>
      <c r="BC44" s="92">
        <v>7.7</v>
      </c>
      <c r="BD44" s="92">
        <f t="shared" si="9"/>
        <v>0.16</v>
      </c>
      <c r="BE44" s="92">
        <f t="shared" si="10"/>
        <v>0.44</v>
      </c>
      <c r="BF44" s="92">
        <f t="shared" si="11"/>
        <v>-0.12</v>
      </c>
      <c r="BG44" s="92">
        <f t="shared" si="12"/>
        <v>0.69</v>
      </c>
      <c r="BH44" s="92">
        <f t="shared" si="13"/>
        <v>-0.49</v>
      </c>
      <c r="BI44" s="92">
        <f t="shared" si="14"/>
        <v>-0.26</v>
      </c>
      <c r="BJ44" s="92">
        <f t="shared" si="15"/>
        <v>0.03</v>
      </c>
      <c r="BK44" s="92">
        <f t="shared" si="16"/>
        <v>0.76</v>
      </c>
      <c r="BL44" s="92">
        <f t="shared" si="17"/>
        <v>-0.39</v>
      </c>
      <c r="BM44" s="92">
        <f t="shared" si="18"/>
        <v>-0.64</v>
      </c>
      <c r="BN44" s="92">
        <f t="shared" si="19"/>
        <v>-0.28999999999999998</v>
      </c>
      <c r="BO44" s="92">
        <f t="shared" si="20"/>
        <v>-0.44</v>
      </c>
      <c r="BP44" s="92">
        <f t="shared" si="21"/>
        <v>-0.16</v>
      </c>
      <c r="BQ44" s="92">
        <f t="shared" si="22"/>
        <v>-0.18</v>
      </c>
      <c r="BR44" s="92">
        <f t="shared" si="23"/>
        <v>0.12</v>
      </c>
      <c r="BS44" s="92">
        <f t="shared" si="24"/>
        <v>0.3</v>
      </c>
      <c r="BT44" s="92">
        <f t="shared" si="25"/>
        <v>7.7</v>
      </c>
      <c r="BU44" s="92">
        <f t="shared" si="26"/>
        <v>7.23</v>
      </c>
      <c r="BV44" s="92"/>
      <c r="BW44" s="118" t="s">
        <v>367</v>
      </c>
      <c r="BX44" s="92"/>
      <c r="BY44" s="92"/>
      <c r="BZ44" s="92"/>
      <c r="CA44" s="92"/>
      <c r="CB44" s="92"/>
    </row>
    <row r="45" spans="1:80" ht="12.75" customHeight="1">
      <c r="A45" s="117" t="s">
        <v>326</v>
      </c>
      <c r="B45" s="92"/>
      <c r="C45" s="92"/>
      <c r="D45" s="92"/>
      <c r="E45" s="92"/>
      <c r="F45" s="92">
        <v>11</v>
      </c>
      <c r="G45" s="93" t="s">
        <v>322</v>
      </c>
      <c r="H45" s="92">
        <v>1</v>
      </c>
      <c r="I45" s="92">
        <v>1</v>
      </c>
      <c r="J45" s="92">
        <v>1</v>
      </c>
      <c r="K45" s="92">
        <v>1</v>
      </c>
      <c r="L45" s="92">
        <v>2</v>
      </c>
      <c r="M45" s="92">
        <v>3</v>
      </c>
      <c r="N45" s="92">
        <v>4</v>
      </c>
      <c r="O45" s="92">
        <v>6</v>
      </c>
      <c r="P45" s="92">
        <v>7</v>
      </c>
      <c r="Q45" s="92">
        <v>8</v>
      </c>
      <c r="R45" s="92">
        <v>9</v>
      </c>
      <c r="S45" s="92">
        <v>10</v>
      </c>
      <c r="T45" s="92">
        <v>10</v>
      </c>
      <c r="U45" s="92">
        <v>10</v>
      </c>
      <c r="V45" s="92"/>
      <c r="W45" s="92"/>
      <c r="X45" s="92"/>
      <c r="Y45" s="92"/>
      <c r="Z45" s="92"/>
      <c r="AA45" s="92"/>
      <c r="AB45" s="92"/>
      <c r="AC45" s="92"/>
      <c r="AD45" s="92"/>
      <c r="AE45" s="92"/>
      <c r="AF45" s="92"/>
      <c r="AG45" s="92"/>
      <c r="AH45" s="92"/>
      <c r="AI45" s="92"/>
      <c r="AJ45" s="92"/>
      <c r="AK45" s="92" t="s">
        <v>288</v>
      </c>
      <c r="AL45" s="92" t="s">
        <v>369</v>
      </c>
      <c r="AM45" s="92">
        <v>0.13</v>
      </c>
      <c r="AN45" s="92">
        <v>0.51</v>
      </c>
      <c r="AO45" s="92">
        <v>-0.81</v>
      </c>
      <c r="AP45" s="92">
        <v>0.22</v>
      </c>
      <c r="AQ45" s="92">
        <v>-0.34</v>
      </c>
      <c r="AR45" s="92">
        <v>-0.46</v>
      </c>
      <c r="AS45" s="92">
        <v>0.2</v>
      </c>
      <c r="AT45" s="92">
        <v>0.33</v>
      </c>
      <c r="AU45" s="92">
        <v>-0.25</v>
      </c>
      <c r="AV45" s="92">
        <v>-0.33</v>
      </c>
      <c r="AW45" s="92">
        <v>-0.48</v>
      </c>
      <c r="AX45" s="92">
        <v>-0.67</v>
      </c>
      <c r="AY45" s="92">
        <v>0.19</v>
      </c>
      <c r="AZ45" s="92">
        <v>0.02</v>
      </c>
      <c r="BA45" s="92">
        <v>0.28999999999999998</v>
      </c>
      <c r="BB45" s="92">
        <v>0.31</v>
      </c>
      <c r="BC45" s="92">
        <v>11.77</v>
      </c>
      <c r="BD45" s="92">
        <f t="shared" si="9"/>
        <v>0.13</v>
      </c>
      <c r="BE45" s="92">
        <f t="shared" si="10"/>
        <v>0.51</v>
      </c>
      <c r="BF45" s="92">
        <f t="shared" si="11"/>
        <v>-0.81</v>
      </c>
      <c r="BG45" s="92">
        <f t="shared" si="12"/>
        <v>0.22</v>
      </c>
      <c r="BH45" s="92">
        <f t="shared" si="13"/>
        <v>-0.34</v>
      </c>
      <c r="BI45" s="92">
        <f t="shared" si="14"/>
        <v>-0.46</v>
      </c>
      <c r="BJ45" s="92">
        <f t="shared" si="15"/>
        <v>0.2</v>
      </c>
      <c r="BK45" s="92">
        <f t="shared" si="16"/>
        <v>0.33</v>
      </c>
      <c r="BL45" s="92">
        <f t="shared" si="17"/>
        <v>-0.25</v>
      </c>
      <c r="BM45" s="92">
        <f t="shared" si="18"/>
        <v>-0.33</v>
      </c>
      <c r="BN45" s="92">
        <f t="shared" si="19"/>
        <v>-0.48</v>
      </c>
      <c r="BO45" s="92">
        <f t="shared" si="20"/>
        <v>-1.34</v>
      </c>
      <c r="BP45" s="92">
        <f t="shared" si="21"/>
        <v>0.19</v>
      </c>
      <c r="BQ45" s="92">
        <f t="shared" si="22"/>
        <v>0.02</v>
      </c>
      <c r="BR45" s="92">
        <f t="shared" si="23"/>
        <v>0.28999999999999998</v>
      </c>
      <c r="BS45" s="92">
        <f t="shared" si="24"/>
        <v>0.62</v>
      </c>
      <c r="BT45" s="92">
        <f t="shared" si="25"/>
        <v>11.77</v>
      </c>
      <c r="BU45" s="92">
        <f t="shared" si="26"/>
        <v>10.27</v>
      </c>
      <c r="BV45" s="92"/>
      <c r="BW45" s="118" t="s">
        <v>367</v>
      </c>
      <c r="BX45" s="92"/>
      <c r="BY45" s="92"/>
      <c r="BZ45" s="92"/>
      <c r="CA45" s="92"/>
      <c r="CB45" s="92"/>
    </row>
    <row r="46" spans="1:80" ht="12.75" customHeight="1">
      <c r="A46" s="117" t="s">
        <v>328</v>
      </c>
      <c r="B46" s="92"/>
      <c r="C46" s="92"/>
      <c r="D46" s="92"/>
      <c r="E46" s="92"/>
      <c r="F46" s="92">
        <v>12</v>
      </c>
      <c r="G46" s="93" t="s">
        <v>324</v>
      </c>
      <c r="H46" s="92">
        <v>1</v>
      </c>
      <c r="I46" s="92">
        <v>1</v>
      </c>
      <c r="J46" s="92">
        <v>1</v>
      </c>
      <c r="K46" s="92">
        <v>1</v>
      </c>
      <c r="L46" s="92">
        <v>2</v>
      </c>
      <c r="M46" s="92">
        <v>3</v>
      </c>
      <c r="N46" s="92">
        <v>4</v>
      </c>
      <c r="O46" s="92">
        <v>4</v>
      </c>
      <c r="P46" s="92">
        <v>5</v>
      </c>
      <c r="Q46" s="92">
        <v>6</v>
      </c>
      <c r="R46" s="92">
        <v>7</v>
      </c>
      <c r="S46" s="92">
        <v>9</v>
      </c>
      <c r="T46" s="92">
        <v>10</v>
      </c>
      <c r="U46" s="92">
        <v>10</v>
      </c>
      <c r="V46" s="92"/>
      <c r="W46" s="92"/>
      <c r="X46" s="92"/>
      <c r="Y46" s="92"/>
      <c r="Z46" s="92"/>
      <c r="AA46" s="92"/>
      <c r="AB46" s="92"/>
      <c r="AC46" s="92"/>
      <c r="AD46" s="92"/>
      <c r="AE46" s="92"/>
      <c r="AF46" s="92"/>
      <c r="AG46" s="92"/>
      <c r="AH46" s="92"/>
      <c r="AI46" s="92"/>
      <c r="AJ46" s="92"/>
      <c r="AK46" s="92" t="s">
        <v>288</v>
      </c>
      <c r="AL46" s="92" t="s">
        <v>370</v>
      </c>
      <c r="AM46" s="92">
        <v>0.45</v>
      </c>
      <c r="AN46" s="92">
        <v>0.52</v>
      </c>
      <c r="AO46" s="92">
        <v>-0.36</v>
      </c>
      <c r="AP46" s="92">
        <v>-7.0000000000000007E-2</v>
      </c>
      <c r="AQ46" s="92">
        <v>-0.97</v>
      </c>
      <c r="AR46" s="92">
        <v>-0.27</v>
      </c>
      <c r="AS46" s="92">
        <v>0.48</v>
      </c>
      <c r="AT46" s="92">
        <v>0.3</v>
      </c>
      <c r="AU46" s="92">
        <v>0.44</v>
      </c>
      <c r="AV46" s="92">
        <v>-0.01</v>
      </c>
      <c r="AW46" s="92">
        <v>-0.31</v>
      </c>
      <c r="AX46" s="92">
        <v>-0.4</v>
      </c>
      <c r="AY46" s="92">
        <v>-0.12</v>
      </c>
      <c r="AZ46" s="92">
        <v>0</v>
      </c>
      <c r="BA46" s="92">
        <v>0.11</v>
      </c>
      <c r="BB46" s="92">
        <v>0.06</v>
      </c>
      <c r="BC46" s="92">
        <v>6.32</v>
      </c>
      <c r="BD46" s="92">
        <f t="shared" si="9"/>
        <v>0.45</v>
      </c>
      <c r="BE46" s="92">
        <f t="shared" si="10"/>
        <v>0.52</v>
      </c>
      <c r="BF46" s="92">
        <f t="shared" si="11"/>
        <v>-0.36</v>
      </c>
      <c r="BG46" s="92">
        <f t="shared" si="12"/>
        <v>-7.0000000000000007E-2</v>
      </c>
      <c r="BH46" s="92">
        <f t="shared" si="13"/>
        <v>-0.97</v>
      </c>
      <c r="BI46" s="92">
        <f t="shared" si="14"/>
        <v>-0.27</v>
      </c>
      <c r="BJ46" s="92">
        <f t="shared" si="15"/>
        <v>0.48</v>
      </c>
      <c r="BK46" s="92">
        <f t="shared" si="16"/>
        <v>0.3</v>
      </c>
      <c r="BL46" s="92">
        <f t="shared" si="17"/>
        <v>0.44</v>
      </c>
      <c r="BM46" s="92">
        <f t="shared" si="18"/>
        <v>-0.01</v>
      </c>
      <c r="BN46" s="92">
        <f t="shared" si="19"/>
        <v>-0.31</v>
      </c>
      <c r="BO46" s="92">
        <f t="shared" si="20"/>
        <v>-0.8</v>
      </c>
      <c r="BP46" s="92">
        <f t="shared" si="21"/>
        <v>-0.12</v>
      </c>
      <c r="BQ46" s="92">
        <f t="shared" si="22"/>
        <v>0</v>
      </c>
      <c r="BR46" s="92">
        <f t="shared" si="23"/>
        <v>0.11</v>
      </c>
      <c r="BS46" s="92">
        <f t="shared" si="24"/>
        <v>0.12</v>
      </c>
      <c r="BT46" s="92">
        <f t="shared" si="25"/>
        <v>6.32</v>
      </c>
      <c r="BU46" s="92">
        <f t="shared" si="26"/>
        <v>5.83</v>
      </c>
      <c r="BV46" s="92"/>
      <c r="BW46" s="118" t="s">
        <v>367</v>
      </c>
      <c r="BX46" s="92"/>
      <c r="BY46" s="92"/>
      <c r="BZ46" s="92"/>
      <c r="CA46" s="92"/>
      <c r="CB46" s="92"/>
    </row>
    <row r="47" spans="1:80" ht="12.75" customHeight="1">
      <c r="A47" s="117" t="s">
        <v>330</v>
      </c>
      <c r="B47" s="92"/>
      <c r="C47" s="92"/>
      <c r="D47" s="92"/>
      <c r="E47" s="92"/>
      <c r="F47" s="92">
        <v>13</v>
      </c>
      <c r="G47" s="93" t="s">
        <v>326</v>
      </c>
      <c r="H47" s="92">
        <v>1</v>
      </c>
      <c r="I47" s="92">
        <v>1</v>
      </c>
      <c r="J47" s="92">
        <v>1</v>
      </c>
      <c r="K47" s="92">
        <v>1</v>
      </c>
      <c r="L47" s="92">
        <v>2</v>
      </c>
      <c r="M47" s="92">
        <v>3</v>
      </c>
      <c r="N47" s="92">
        <v>4</v>
      </c>
      <c r="O47" s="92">
        <v>5</v>
      </c>
      <c r="P47" s="92">
        <v>5</v>
      </c>
      <c r="Q47" s="92">
        <v>6</v>
      </c>
      <c r="R47" s="92">
        <v>7</v>
      </c>
      <c r="S47" s="92">
        <v>8</v>
      </c>
      <c r="T47" s="92">
        <v>9</v>
      </c>
      <c r="U47" s="92">
        <v>10</v>
      </c>
      <c r="V47" s="92"/>
      <c r="W47" s="92"/>
      <c r="X47" s="92"/>
      <c r="Y47" s="92"/>
      <c r="Z47" s="92"/>
      <c r="AA47" s="92"/>
      <c r="AB47" s="92"/>
      <c r="AC47" s="92"/>
      <c r="AD47" s="92"/>
      <c r="AE47" s="92"/>
      <c r="AF47" s="92"/>
      <c r="AG47" s="92"/>
      <c r="AH47" s="92"/>
      <c r="AI47" s="92"/>
      <c r="AJ47" s="92"/>
      <c r="AK47" s="92" t="s">
        <v>288</v>
      </c>
      <c r="AL47" s="92" t="s">
        <v>371</v>
      </c>
      <c r="AM47" s="92">
        <v>-0.28000000000000003</v>
      </c>
      <c r="AN47" s="92">
        <v>0.12</v>
      </c>
      <c r="AO47" s="92">
        <v>0.14000000000000001</v>
      </c>
      <c r="AP47" s="92">
        <v>0.3</v>
      </c>
      <c r="AQ47" s="92">
        <v>-0.52</v>
      </c>
      <c r="AR47" s="92">
        <v>-0.68</v>
      </c>
      <c r="AS47" s="92">
        <v>0.4</v>
      </c>
      <c r="AT47" s="92">
        <v>0.6</v>
      </c>
      <c r="AU47" s="92">
        <v>-0.05</v>
      </c>
      <c r="AV47" s="92">
        <v>-0.11</v>
      </c>
      <c r="AW47" s="92">
        <v>-0.28999999999999998</v>
      </c>
      <c r="AX47" s="92">
        <v>-0.74</v>
      </c>
      <c r="AY47" s="92">
        <v>-0.42</v>
      </c>
      <c r="AZ47" s="92">
        <v>-0.28000000000000003</v>
      </c>
      <c r="BA47" s="92">
        <v>0.67</v>
      </c>
      <c r="BB47" s="92">
        <v>0.92</v>
      </c>
      <c r="BC47" s="92">
        <v>6.71</v>
      </c>
      <c r="BD47" s="92">
        <f t="shared" si="9"/>
        <v>-0.28000000000000003</v>
      </c>
      <c r="BE47" s="92">
        <f t="shared" si="10"/>
        <v>0.12</v>
      </c>
      <c r="BF47" s="92">
        <f t="shared" si="11"/>
        <v>0.14000000000000001</v>
      </c>
      <c r="BG47" s="92">
        <f t="shared" si="12"/>
        <v>0.3</v>
      </c>
      <c r="BH47" s="92">
        <f t="shared" si="13"/>
        <v>-0.52</v>
      </c>
      <c r="BI47" s="92">
        <f t="shared" si="14"/>
        <v>-0.68</v>
      </c>
      <c r="BJ47" s="92">
        <f t="shared" si="15"/>
        <v>0.4</v>
      </c>
      <c r="BK47" s="92">
        <f t="shared" si="16"/>
        <v>0.6</v>
      </c>
      <c r="BL47" s="92">
        <f t="shared" si="17"/>
        <v>-0.05</v>
      </c>
      <c r="BM47" s="92">
        <f t="shared" si="18"/>
        <v>-0.11</v>
      </c>
      <c r="BN47" s="92">
        <f t="shared" si="19"/>
        <v>-0.28999999999999998</v>
      </c>
      <c r="BO47" s="92">
        <f t="shared" si="20"/>
        <v>-1.48</v>
      </c>
      <c r="BP47" s="92">
        <f t="shared" si="21"/>
        <v>-0.42</v>
      </c>
      <c r="BQ47" s="92">
        <f t="shared" si="22"/>
        <v>-0.28000000000000003</v>
      </c>
      <c r="BR47" s="92">
        <f t="shared" si="23"/>
        <v>0.67</v>
      </c>
      <c r="BS47" s="92">
        <f t="shared" si="24"/>
        <v>1.84</v>
      </c>
      <c r="BT47" s="92">
        <f t="shared" si="25"/>
        <v>6.71</v>
      </c>
      <c r="BU47" s="92">
        <f t="shared" si="26"/>
        <v>6.67</v>
      </c>
      <c r="BV47" s="92"/>
      <c r="BW47" s="118" t="s">
        <v>367</v>
      </c>
      <c r="BX47" s="92"/>
      <c r="BY47" s="92"/>
      <c r="BZ47" s="92"/>
      <c r="CA47" s="92"/>
      <c r="CB47" s="92"/>
    </row>
    <row r="48" spans="1:80" ht="12.75" customHeight="1">
      <c r="A48" s="117" t="s">
        <v>341</v>
      </c>
      <c r="B48" s="92"/>
      <c r="C48" s="92"/>
      <c r="D48" s="92"/>
      <c r="E48" s="92"/>
      <c r="F48" s="92">
        <v>14</v>
      </c>
      <c r="G48" s="93" t="s">
        <v>328</v>
      </c>
      <c r="H48" s="92">
        <v>1</v>
      </c>
      <c r="I48" s="92">
        <v>1</v>
      </c>
      <c r="J48" s="92">
        <v>1</v>
      </c>
      <c r="K48" s="92">
        <v>1</v>
      </c>
      <c r="L48" s="92">
        <v>2</v>
      </c>
      <c r="M48" s="92">
        <v>3</v>
      </c>
      <c r="N48" s="92">
        <v>4</v>
      </c>
      <c r="O48" s="92">
        <v>5</v>
      </c>
      <c r="P48" s="92">
        <v>6</v>
      </c>
      <c r="Q48" s="92">
        <v>7</v>
      </c>
      <c r="R48" s="92">
        <v>8</v>
      </c>
      <c r="S48" s="92">
        <v>9</v>
      </c>
      <c r="T48" s="92">
        <v>10</v>
      </c>
      <c r="U48" s="92">
        <v>10</v>
      </c>
      <c r="V48" s="92"/>
      <c r="W48" s="92"/>
      <c r="X48" s="92"/>
      <c r="Y48" s="92"/>
      <c r="Z48" s="92"/>
      <c r="AA48" s="92"/>
      <c r="AB48" s="92"/>
      <c r="AC48" s="92"/>
      <c r="AD48" s="92"/>
      <c r="AE48" s="92"/>
      <c r="AF48" s="92"/>
      <c r="AG48" s="92"/>
      <c r="AH48" s="92"/>
      <c r="AI48" s="92"/>
      <c r="AJ48" s="92"/>
      <c r="AK48" s="92" t="s">
        <v>288</v>
      </c>
      <c r="AL48" s="92" t="s">
        <v>372</v>
      </c>
      <c r="AM48" s="92">
        <v>-0.13</v>
      </c>
      <c r="AN48" s="92">
        <v>0.57999999999999996</v>
      </c>
      <c r="AO48" s="92">
        <v>-1.48</v>
      </c>
      <c r="AP48" s="92">
        <v>0.32</v>
      </c>
      <c r="AQ48" s="92">
        <v>0.06</v>
      </c>
      <c r="AR48" s="92">
        <v>0.02</v>
      </c>
      <c r="AS48" s="92">
        <v>0</v>
      </c>
      <c r="AT48" s="92">
        <v>0.36</v>
      </c>
      <c r="AU48" s="92">
        <v>-0.47</v>
      </c>
      <c r="AV48" s="92">
        <v>-0.26</v>
      </c>
      <c r="AW48" s="92">
        <v>0.1</v>
      </c>
      <c r="AX48" s="92">
        <v>-0.68</v>
      </c>
      <c r="AY48" s="92">
        <v>-0.31</v>
      </c>
      <c r="AZ48" s="92">
        <v>0.03</v>
      </c>
      <c r="BA48" s="92">
        <v>0.45</v>
      </c>
      <c r="BB48" s="92">
        <v>-0.21</v>
      </c>
      <c r="BC48" s="92">
        <v>14.41</v>
      </c>
      <c r="BD48" s="92">
        <f t="shared" si="9"/>
        <v>-0.13</v>
      </c>
      <c r="BE48" s="92">
        <f t="shared" si="10"/>
        <v>0.57999999999999996</v>
      </c>
      <c r="BF48" s="92">
        <f t="shared" si="11"/>
        <v>-1.48</v>
      </c>
      <c r="BG48" s="92">
        <f t="shared" si="12"/>
        <v>0.32</v>
      </c>
      <c r="BH48" s="92">
        <f t="shared" si="13"/>
        <v>0.06</v>
      </c>
      <c r="BI48" s="92">
        <f t="shared" si="14"/>
        <v>0.02</v>
      </c>
      <c r="BJ48" s="92">
        <f t="shared" si="15"/>
        <v>0</v>
      </c>
      <c r="BK48" s="92">
        <f t="shared" si="16"/>
        <v>0.36</v>
      </c>
      <c r="BL48" s="92">
        <f t="shared" si="17"/>
        <v>-0.47</v>
      </c>
      <c r="BM48" s="92">
        <f t="shared" si="18"/>
        <v>-0.26</v>
      </c>
      <c r="BN48" s="92">
        <f t="shared" si="19"/>
        <v>0.1</v>
      </c>
      <c r="BO48" s="92">
        <f t="shared" si="20"/>
        <v>-1.36</v>
      </c>
      <c r="BP48" s="92">
        <f t="shared" si="21"/>
        <v>-0.31</v>
      </c>
      <c r="BQ48" s="92">
        <f t="shared" si="22"/>
        <v>0.03</v>
      </c>
      <c r="BR48" s="92">
        <f t="shared" si="23"/>
        <v>0.45</v>
      </c>
      <c r="BS48" s="92">
        <f t="shared" si="24"/>
        <v>-0.42</v>
      </c>
      <c r="BT48" s="92">
        <f t="shared" si="25"/>
        <v>14.41</v>
      </c>
      <c r="BU48" s="92">
        <f t="shared" si="26"/>
        <v>11.9</v>
      </c>
      <c r="BV48" s="92"/>
      <c r="BW48" s="118" t="s">
        <v>367</v>
      </c>
      <c r="BX48" s="92"/>
      <c r="BY48" s="92"/>
      <c r="BZ48" s="92"/>
      <c r="CA48" s="92"/>
      <c r="CB48" s="92"/>
    </row>
    <row r="49" spans="1:80" ht="12.75" customHeight="1">
      <c r="A49" s="117" t="s">
        <v>343</v>
      </c>
      <c r="B49" s="92"/>
      <c r="C49" s="92"/>
      <c r="D49" s="92"/>
      <c r="E49" s="92"/>
      <c r="F49" s="92">
        <v>15</v>
      </c>
      <c r="G49" s="93" t="s">
        <v>330</v>
      </c>
      <c r="H49" s="92">
        <v>1</v>
      </c>
      <c r="I49" s="92">
        <v>1</v>
      </c>
      <c r="J49" s="92">
        <v>1</v>
      </c>
      <c r="K49" s="92">
        <v>1</v>
      </c>
      <c r="L49" s="92">
        <v>1</v>
      </c>
      <c r="M49" s="92">
        <v>2</v>
      </c>
      <c r="N49" s="92">
        <v>3</v>
      </c>
      <c r="O49" s="92">
        <v>4</v>
      </c>
      <c r="P49" s="92">
        <v>5</v>
      </c>
      <c r="Q49" s="92">
        <v>6</v>
      </c>
      <c r="R49" s="92">
        <v>8</v>
      </c>
      <c r="S49" s="92">
        <v>9</v>
      </c>
      <c r="T49" s="92">
        <v>10</v>
      </c>
      <c r="U49" s="92">
        <v>10</v>
      </c>
      <c r="V49" s="92"/>
      <c r="W49" s="92"/>
      <c r="X49" s="92"/>
      <c r="Y49" s="92"/>
      <c r="Z49" s="92"/>
      <c r="AA49" s="92"/>
      <c r="AB49" s="92"/>
      <c r="AC49" s="92"/>
      <c r="AD49" s="92"/>
      <c r="AE49" s="92"/>
      <c r="AF49" s="92"/>
      <c r="AG49" s="92"/>
      <c r="AH49" s="92"/>
      <c r="AI49" s="92"/>
      <c r="AJ49" s="92"/>
      <c r="AK49" s="92" t="s">
        <v>288</v>
      </c>
      <c r="AL49" s="92" t="s">
        <v>373</v>
      </c>
      <c r="AM49" s="92">
        <v>-0.05</v>
      </c>
      <c r="AN49" s="92">
        <v>0.72</v>
      </c>
      <c r="AO49" s="92">
        <v>0.28999999999999998</v>
      </c>
      <c r="AP49" s="92">
        <v>-0.4</v>
      </c>
      <c r="AQ49" s="92">
        <v>0.2</v>
      </c>
      <c r="AR49" s="92">
        <v>-0.08</v>
      </c>
      <c r="AS49" s="92">
        <v>-0.11</v>
      </c>
      <c r="AT49" s="92">
        <v>-0.08</v>
      </c>
      <c r="AU49" s="92">
        <v>0.24</v>
      </c>
      <c r="AV49" s="92">
        <v>0.59</v>
      </c>
      <c r="AW49" s="92">
        <v>-0.22</v>
      </c>
      <c r="AX49" s="92">
        <v>0.05</v>
      </c>
      <c r="AY49" s="92">
        <v>-0.13</v>
      </c>
      <c r="AZ49" s="92">
        <v>-0.63</v>
      </c>
      <c r="BA49" s="92">
        <v>0.36</v>
      </c>
      <c r="BB49" s="92">
        <v>-0.03</v>
      </c>
      <c r="BC49" s="92">
        <v>1.54</v>
      </c>
      <c r="BD49" s="92">
        <f t="shared" si="9"/>
        <v>-0.05</v>
      </c>
      <c r="BE49" s="92">
        <f t="shared" si="10"/>
        <v>0.72</v>
      </c>
      <c r="BF49" s="92">
        <f t="shared" si="11"/>
        <v>0.28999999999999998</v>
      </c>
      <c r="BG49" s="92">
        <f t="shared" si="12"/>
        <v>-0.4</v>
      </c>
      <c r="BH49" s="92">
        <f t="shared" si="13"/>
        <v>0.2</v>
      </c>
      <c r="BI49" s="92">
        <f t="shared" si="14"/>
        <v>-0.08</v>
      </c>
      <c r="BJ49" s="92">
        <f t="shared" si="15"/>
        <v>-0.11</v>
      </c>
      <c r="BK49" s="92">
        <f t="shared" si="16"/>
        <v>-0.08</v>
      </c>
      <c r="BL49" s="92">
        <f t="shared" si="17"/>
        <v>0.24</v>
      </c>
      <c r="BM49" s="92">
        <f t="shared" si="18"/>
        <v>0.59</v>
      </c>
      <c r="BN49" s="92">
        <f t="shared" si="19"/>
        <v>-0.22</v>
      </c>
      <c r="BO49" s="92">
        <f t="shared" si="20"/>
        <v>0.1</v>
      </c>
      <c r="BP49" s="92">
        <f t="shared" si="21"/>
        <v>-0.13</v>
      </c>
      <c r="BQ49" s="92">
        <f t="shared" si="22"/>
        <v>-0.63</v>
      </c>
      <c r="BR49" s="92">
        <f t="shared" si="23"/>
        <v>0.36</v>
      </c>
      <c r="BS49" s="92">
        <f t="shared" si="24"/>
        <v>-0.06</v>
      </c>
      <c r="BT49" s="92">
        <f t="shared" si="25"/>
        <v>1.54</v>
      </c>
      <c r="BU49" s="92">
        <f t="shared" si="26"/>
        <v>2.2799999999999998</v>
      </c>
      <c r="BV49" s="92"/>
      <c r="BW49" s="118" t="s">
        <v>367</v>
      </c>
      <c r="BX49" s="92"/>
      <c r="BY49" s="92"/>
      <c r="BZ49" s="92"/>
      <c r="CA49" s="92"/>
      <c r="CB49" s="92"/>
    </row>
    <row r="50" spans="1:80" ht="12.75" customHeight="1">
      <c r="A50" s="117" t="s">
        <v>348</v>
      </c>
      <c r="B50" s="92"/>
      <c r="C50" s="92"/>
      <c r="D50" s="92"/>
      <c r="E50" s="92"/>
      <c r="F50" s="92">
        <v>16</v>
      </c>
      <c r="G50" s="93" t="s">
        <v>341</v>
      </c>
      <c r="H50" s="92">
        <v>1</v>
      </c>
      <c r="I50" s="92">
        <v>1</v>
      </c>
      <c r="J50" s="92">
        <v>1</v>
      </c>
      <c r="K50" s="92">
        <v>1</v>
      </c>
      <c r="L50" s="92">
        <v>2</v>
      </c>
      <c r="M50" s="92">
        <v>2</v>
      </c>
      <c r="N50" s="92">
        <v>3</v>
      </c>
      <c r="O50" s="92">
        <v>4</v>
      </c>
      <c r="P50" s="92">
        <v>4</v>
      </c>
      <c r="Q50" s="92">
        <v>4</v>
      </c>
      <c r="R50" s="92">
        <v>6</v>
      </c>
      <c r="S50" s="92">
        <v>6</v>
      </c>
      <c r="T50" s="92">
        <v>7</v>
      </c>
      <c r="U50" s="92">
        <v>9</v>
      </c>
      <c r="V50" s="92">
        <v>10</v>
      </c>
      <c r="W50" s="92">
        <v>10</v>
      </c>
      <c r="X50" s="92"/>
      <c r="Y50" s="92"/>
      <c r="Z50" s="92"/>
      <c r="AA50" s="92"/>
      <c r="AB50" s="92"/>
      <c r="AC50" s="92"/>
      <c r="AD50" s="92"/>
      <c r="AE50" s="92"/>
      <c r="AF50" s="92"/>
      <c r="AG50" s="92"/>
      <c r="AH50" s="92"/>
      <c r="AI50" s="92"/>
      <c r="AJ50" s="92"/>
      <c r="AK50" s="92" t="s">
        <v>288</v>
      </c>
      <c r="AL50" s="92" t="s">
        <v>374</v>
      </c>
      <c r="AM50" s="92">
        <v>0.06</v>
      </c>
      <c r="AN50" s="92">
        <v>0.38</v>
      </c>
      <c r="AO50" s="92">
        <v>-0.51</v>
      </c>
      <c r="AP50" s="92">
        <v>-0.94</v>
      </c>
      <c r="AQ50" s="92">
        <v>0.55000000000000004</v>
      </c>
      <c r="AR50" s="92">
        <v>-0.7</v>
      </c>
      <c r="AS50" s="92">
        <v>0.21</v>
      </c>
      <c r="AT50" s="92">
        <v>-7.0000000000000007E-2</v>
      </c>
      <c r="AU50" s="92">
        <v>0.2</v>
      </c>
      <c r="AV50" s="92">
        <v>-7.0000000000000007E-2</v>
      </c>
      <c r="AW50" s="92">
        <v>0.15</v>
      </c>
      <c r="AX50" s="92">
        <v>0.45</v>
      </c>
      <c r="AY50" s="92">
        <v>-0.01</v>
      </c>
      <c r="AZ50" s="92">
        <v>0.59</v>
      </c>
      <c r="BA50" s="92">
        <v>0.63</v>
      </c>
      <c r="BB50" s="92">
        <v>-0.55000000000000004</v>
      </c>
      <c r="BC50" s="92">
        <v>3.46</v>
      </c>
      <c r="BD50" s="92">
        <f t="shared" si="9"/>
        <v>0.06</v>
      </c>
      <c r="BE50" s="92">
        <f t="shared" si="10"/>
        <v>0.38</v>
      </c>
      <c r="BF50" s="92">
        <f t="shared" si="11"/>
        <v>-0.51</v>
      </c>
      <c r="BG50" s="92">
        <f t="shared" si="12"/>
        <v>-0.94</v>
      </c>
      <c r="BH50" s="92">
        <f t="shared" si="13"/>
        <v>0.55000000000000004</v>
      </c>
      <c r="BI50" s="92">
        <f t="shared" si="14"/>
        <v>-0.7</v>
      </c>
      <c r="BJ50" s="92">
        <f t="shared" si="15"/>
        <v>0.21</v>
      </c>
      <c r="BK50" s="92">
        <f t="shared" si="16"/>
        <v>-7.0000000000000007E-2</v>
      </c>
      <c r="BL50" s="92">
        <f t="shared" si="17"/>
        <v>0.2</v>
      </c>
      <c r="BM50" s="92">
        <f t="shared" si="18"/>
        <v>-7.0000000000000007E-2</v>
      </c>
      <c r="BN50" s="92">
        <f t="shared" si="19"/>
        <v>0.15</v>
      </c>
      <c r="BO50" s="92">
        <f t="shared" si="20"/>
        <v>0.9</v>
      </c>
      <c r="BP50" s="92">
        <f t="shared" si="21"/>
        <v>-0.01</v>
      </c>
      <c r="BQ50" s="92">
        <f t="shared" si="22"/>
        <v>0.59</v>
      </c>
      <c r="BR50" s="92">
        <f t="shared" si="23"/>
        <v>0.63</v>
      </c>
      <c r="BS50" s="92">
        <f t="shared" si="24"/>
        <v>-1.1000000000000001</v>
      </c>
      <c r="BT50" s="92">
        <f t="shared" si="25"/>
        <v>3.46</v>
      </c>
      <c r="BU50" s="92">
        <f t="shared" si="26"/>
        <v>3.7299999999999995</v>
      </c>
      <c r="BV50" s="92"/>
      <c r="BW50" s="118" t="s">
        <v>367</v>
      </c>
      <c r="BX50" s="92"/>
      <c r="BY50" s="92"/>
      <c r="BZ50" s="92"/>
      <c r="CA50" s="92"/>
      <c r="CB50" s="92"/>
    </row>
    <row r="51" spans="1:80" ht="12.75" customHeight="1">
      <c r="A51" s="92"/>
      <c r="B51" s="92"/>
      <c r="C51" s="92"/>
      <c r="D51" s="92"/>
      <c r="E51" s="92"/>
      <c r="F51" s="92">
        <v>17</v>
      </c>
      <c r="G51" s="93" t="s">
        <v>343</v>
      </c>
      <c r="H51" s="92">
        <v>1</v>
      </c>
      <c r="I51" s="92">
        <v>1</v>
      </c>
      <c r="J51" s="92">
        <v>1</v>
      </c>
      <c r="K51" s="92">
        <v>1</v>
      </c>
      <c r="L51" s="92">
        <v>1</v>
      </c>
      <c r="M51" s="92">
        <v>2</v>
      </c>
      <c r="N51" s="92">
        <v>3</v>
      </c>
      <c r="O51" s="92">
        <v>3</v>
      </c>
      <c r="P51" s="92">
        <v>4</v>
      </c>
      <c r="Q51" s="92">
        <v>4</v>
      </c>
      <c r="R51" s="92">
        <v>6</v>
      </c>
      <c r="S51" s="92">
        <v>7</v>
      </c>
      <c r="T51" s="92">
        <v>8</v>
      </c>
      <c r="U51" s="92">
        <v>9</v>
      </c>
      <c r="V51" s="92">
        <v>10</v>
      </c>
      <c r="W51" s="92">
        <v>10</v>
      </c>
      <c r="X51" s="92"/>
      <c r="Y51" s="92"/>
      <c r="Z51" s="92"/>
      <c r="AA51" s="92"/>
      <c r="AB51" s="92"/>
      <c r="AC51" s="92"/>
      <c r="AD51" s="92"/>
      <c r="AE51" s="92"/>
      <c r="AF51" s="92"/>
      <c r="AG51" s="92"/>
      <c r="AH51" s="92"/>
      <c r="AI51" s="92"/>
      <c r="AJ51" s="92"/>
      <c r="AK51" s="92" t="s">
        <v>288</v>
      </c>
      <c r="AL51" s="92" t="s">
        <v>375</v>
      </c>
      <c r="AM51" s="92">
        <v>-1.0900000000000001</v>
      </c>
      <c r="AN51" s="92">
        <v>0.17</v>
      </c>
      <c r="AO51" s="92">
        <v>-0.56999999999999995</v>
      </c>
      <c r="AP51" s="92">
        <v>0.08</v>
      </c>
      <c r="AQ51" s="92">
        <v>0.37</v>
      </c>
      <c r="AR51" s="92">
        <v>0.05</v>
      </c>
      <c r="AS51" s="92">
        <v>-0.01</v>
      </c>
      <c r="AT51" s="92">
        <v>0.24</v>
      </c>
      <c r="AU51" s="92">
        <v>-0.37</v>
      </c>
      <c r="AV51" s="92">
        <v>0.28000000000000003</v>
      </c>
      <c r="AW51" s="92">
        <v>0.01</v>
      </c>
      <c r="AX51" s="92">
        <v>0.11</v>
      </c>
      <c r="AY51" s="92">
        <v>-0.01</v>
      </c>
      <c r="AZ51" s="92">
        <v>-0.53</v>
      </c>
      <c r="BA51" s="92">
        <v>0.16</v>
      </c>
      <c r="BB51" s="92">
        <v>-0.46</v>
      </c>
      <c r="BC51" s="92">
        <v>14.13</v>
      </c>
      <c r="BD51" s="92">
        <f t="shared" si="9"/>
        <v>-1.0900000000000001</v>
      </c>
      <c r="BE51" s="92">
        <f t="shared" si="10"/>
        <v>0.17</v>
      </c>
      <c r="BF51" s="92">
        <f t="shared" si="11"/>
        <v>-0.56999999999999995</v>
      </c>
      <c r="BG51" s="92">
        <f t="shared" si="12"/>
        <v>0.08</v>
      </c>
      <c r="BH51" s="92">
        <f t="shared" si="13"/>
        <v>0.37</v>
      </c>
      <c r="BI51" s="92">
        <f t="shared" si="14"/>
        <v>0.05</v>
      </c>
      <c r="BJ51" s="92">
        <f t="shared" si="15"/>
        <v>-0.01</v>
      </c>
      <c r="BK51" s="92">
        <f t="shared" si="16"/>
        <v>0.24</v>
      </c>
      <c r="BL51" s="92">
        <f t="shared" si="17"/>
        <v>-0.37</v>
      </c>
      <c r="BM51" s="92">
        <f t="shared" si="18"/>
        <v>0.28000000000000003</v>
      </c>
      <c r="BN51" s="92">
        <f t="shared" si="19"/>
        <v>0.01</v>
      </c>
      <c r="BO51" s="92">
        <f t="shared" si="20"/>
        <v>0.22</v>
      </c>
      <c r="BP51" s="92">
        <f t="shared" si="21"/>
        <v>-0.01</v>
      </c>
      <c r="BQ51" s="92">
        <f t="shared" si="22"/>
        <v>-0.53</v>
      </c>
      <c r="BR51" s="92">
        <f t="shared" si="23"/>
        <v>0.16</v>
      </c>
      <c r="BS51" s="92">
        <f t="shared" si="24"/>
        <v>-0.92</v>
      </c>
      <c r="BT51" s="92">
        <f t="shared" si="25"/>
        <v>14.13</v>
      </c>
      <c r="BU51" s="92">
        <f t="shared" si="26"/>
        <v>12.21</v>
      </c>
      <c r="BV51" s="92"/>
      <c r="BW51" s="119" t="s">
        <v>367</v>
      </c>
      <c r="BX51" s="92"/>
      <c r="BY51" s="92"/>
      <c r="BZ51" s="92"/>
      <c r="CA51" s="92"/>
      <c r="CB51" s="92"/>
    </row>
    <row r="52" spans="1:80" ht="12.75" customHeight="1">
      <c r="A52" s="92"/>
      <c r="B52" s="92"/>
      <c r="C52" s="92"/>
      <c r="D52" s="92"/>
      <c r="E52" s="92"/>
      <c r="F52" s="92">
        <v>18</v>
      </c>
      <c r="G52" s="93" t="s">
        <v>348</v>
      </c>
      <c r="H52" s="92">
        <v>1</v>
      </c>
      <c r="I52" s="92">
        <v>1</v>
      </c>
      <c r="J52" s="92">
        <v>1</v>
      </c>
      <c r="K52" s="92">
        <v>1</v>
      </c>
      <c r="L52" s="92">
        <v>2</v>
      </c>
      <c r="M52" s="92">
        <v>2</v>
      </c>
      <c r="N52" s="92">
        <v>3</v>
      </c>
      <c r="O52" s="92">
        <v>3</v>
      </c>
      <c r="P52" s="92">
        <v>4</v>
      </c>
      <c r="Q52" s="92">
        <v>4</v>
      </c>
      <c r="R52" s="92">
        <v>6</v>
      </c>
      <c r="S52" s="92">
        <v>6</v>
      </c>
      <c r="T52" s="92">
        <v>8</v>
      </c>
      <c r="U52" s="92">
        <v>9</v>
      </c>
      <c r="V52" s="92">
        <v>10</v>
      </c>
      <c r="W52" s="92">
        <v>10</v>
      </c>
      <c r="X52" s="92"/>
      <c r="Y52" s="92"/>
      <c r="Z52" s="92"/>
      <c r="AA52" s="92"/>
      <c r="AB52" s="92"/>
      <c r="AC52" s="92"/>
      <c r="AD52" s="92"/>
      <c r="AE52" s="92"/>
      <c r="AF52" s="92"/>
      <c r="AG52" s="92"/>
      <c r="AH52" s="92"/>
      <c r="AI52" s="92"/>
      <c r="AJ52" s="92"/>
      <c r="AK52" s="92" t="s">
        <v>288</v>
      </c>
      <c r="AL52" s="92" t="s">
        <v>376</v>
      </c>
      <c r="AM52" s="92">
        <v>-0.89</v>
      </c>
      <c r="AN52" s="92">
        <v>0.31</v>
      </c>
      <c r="AO52" s="92">
        <v>-0.55000000000000004</v>
      </c>
      <c r="AP52" s="92">
        <v>-0.4</v>
      </c>
      <c r="AQ52" s="92">
        <v>0.25</v>
      </c>
      <c r="AR52" s="92">
        <v>-0.24</v>
      </c>
      <c r="AS52" s="92">
        <v>0.3</v>
      </c>
      <c r="AT52" s="92">
        <v>0.28999999999999998</v>
      </c>
      <c r="AU52" s="92">
        <v>0.09</v>
      </c>
      <c r="AV52" s="92">
        <v>0</v>
      </c>
      <c r="AW52" s="92">
        <v>0</v>
      </c>
      <c r="AX52" s="92">
        <v>0.42</v>
      </c>
      <c r="AY52" s="92">
        <v>0.12</v>
      </c>
      <c r="AZ52" s="92">
        <v>-0.28999999999999998</v>
      </c>
      <c r="BA52" s="92">
        <v>-0.04</v>
      </c>
      <c r="BB52" s="92">
        <v>-1.02</v>
      </c>
      <c r="BC52" s="92">
        <v>14.57</v>
      </c>
      <c r="BD52" s="92">
        <f t="shared" si="9"/>
        <v>-0.89</v>
      </c>
      <c r="BE52" s="92">
        <f t="shared" si="10"/>
        <v>0.31</v>
      </c>
      <c r="BF52" s="92">
        <f t="shared" si="11"/>
        <v>-0.55000000000000004</v>
      </c>
      <c r="BG52" s="92">
        <f t="shared" si="12"/>
        <v>-0.4</v>
      </c>
      <c r="BH52" s="92">
        <f t="shared" si="13"/>
        <v>0.25</v>
      </c>
      <c r="BI52" s="92">
        <f t="shared" si="14"/>
        <v>-0.24</v>
      </c>
      <c r="BJ52" s="92">
        <f t="shared" si="15"/>
        <v>0.3</v>
      </c>
      <c r="BK52" s="92">
        <f t="shared" si="16"/>
        <v>0.28999999999999998</v>
      </c>
      <c r="BL52" s="92">
        <f t="shared" si="17"/>
        <v>0.09</v>
      </c>
      <c r="BM52" s="92">
        <f t="shared" si="18"/>
        <v>0</v>
      </c>
      <c r="BN52" s="92">
        <f t="shared" si="19"/>
        <v>0</v>
      </c>
      <c r="BO52" s="92">
        <f t="shared" si="20"/>
        <v>0.84</v>
      </c>
      <c r="BP52" s="92">
        <f t="shared" si="21"/>
        <v>0.12</v>
      </c>
      <c r="BQ52" s="92">
        <f t="shared" si="22"/>
        <v>-0.28999999999999998</v>
      </c>
      <c r="BR52" s="92">
        <f t="shared" si="23"/>
        <v>-0.04</v>
      </c>
      <c r="BS52" s="92">
        <f t="shared" si="24"/>
        <v>-2.04</v>
      </c>
      <c r="BT52" s="92">
        <f t="shared" si="25"/>
        <v>14.57</v>
      </c>
      <c r="BU52" s="92">
        <f t="shared" si="26"/>
        <v>12.32</v>
      </c>
      <c r="BV52" s="92"/>
      <c r="BW52" s="119" t="s">
        <v>367</v>
      </c>
      <c r="BX52" s="92"/>
      <c r="BY52" s="92"/>
      <c r="BZ52" s="92"/>
      <c r="CA52" s="92"/>
      <c r="CB52" s="92"/>
    </row>
    <row r="53" spans="1:80" ht="12.75" customHeight="1">
      <c r="A53" s="92"/>
      <c r="B53" s="120" t="s">
        <v>54</v>
      </c>
      <c r="C53" s="121">
        <f>HLOOKUP('PTI-16'!B4,$BE$2:$BS$7,2)</f>
        <v>5.3100000000000005</v>
      </c>
      <c r="D53" s="92">
        <f t="shared" ref="D53:D57" si="27">+IF(C53&gt;10,10,C53)</f>
        <v>5.3100000000000005</v>
      </c>
      <c r="E53" s="92">
        <f t="shared" ref="E53:E57" si="28">+IF(D53&lt;1,1,D53)</f>
        <v>5.3100000000000005</v>
      </c>
      <c r="F53" s="92"/>
      <c r="G53" s="93"/>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t="s">
        <v>288</v>
      </c>
      <c r="AL53" s="92" t="s">
        <v>377</v>
      </c>
      <c r="AM53" s="92">
        <v>0.15</v>
      </c>
      <c r="AN53" s="92">
        <v>0.56000000000000005</v>
      </c>
      <c r="AO53" s="92">
        <v>-0.41</v>
      </c>
      <c r="AP53" s="92">
        <v>-0.92</v>
      </c>
      <c r="AQ53" s="92">
        <v>-0.44</v>
      </c>
      <c r="AR53" s="92">
        <v>-0.75</v>
      </c>
      <c r="AS53" s="92">
        <v>0.48</v>
      </c>
      <c r="AT53" s="92">
        <v>0.03</v>
      </c>
      <c r="AU53" s="92">
        <v>0.5</v>
      </c>
      <c r="AV53" s="92">
        <v>-0.04</v>
      </c>
      <c r="AW53" s="92">
        <v>-0.14000000000000001</v>
      </c>
      <c r="AX53" s="92">
        <v>-0.28000000000000003</v>
      </c>
      <c r="AY53" s="92">
        <v>0.2</v>
      </c>
      <c r="AZ53" s="92">
        <v>0.13</v>
      </c>
      <c r="BA53" s="92">
        <v>0.46</v>
      </c>
      <c r="BB53" s="92">
        <v>0.04</v>
      </c>
      <c r="BC53" s="92">
        <v>7.86</v>
      </c>
      <c r="BD53" s="92">
        <f t="shared" si="9"/>
        <v>0.15</v>
      </c>
      <c r="BE53" s="92">
        <f t="shared" si="10"/>
        <v>0.56000000000000005</v>
      </c>
      <c r="BF53" s="92">
        <f t="shared" si="11"/>
        <v>-0.41</v>
      </c>
      <c r="BG53" s="92">
        <f t="shared" si="12"/>
        <v>-0.92</v>
      </c>
      <c r="BH53" s="92">
        <f t="shared" si="13"/>
        <v>-0.44</v>
      </c>
      <c r="BI53" s="92">
        <f t="shared" si="14"/>
        <v>-0.75</v>
      </c>
      <c r="BJ53" s="92">
        <f t="shared" si="15"/>
        <v>0.48</v>
      </c>
      <c r="BK53" s="92">
        <f t="shared" si="16"/>
        <v>0.03</v>
      </c>
      <c r="BL53" s="92">
        <f t="shared" si="17"/>
        <v>0.5</v>
      </c>
      <c r="BM53" s="92">
        <f t="shared" si="18"/>
        <v>-0.04</v>
      </c>
      <c r="BN53" s="92">
        <f t="shared" si="19"/>
        <v>-0.14000000000000001</v>
      </c>
      <c r="BO53" s="92">
        <f t="shared" si="20"/>
        <v>-0.56000000000000005</v>
      </c>
      <c r="BP53" s="92">
        <f t="shared" si="21"/>
        <v>0.2</v>
      </c>
      <c r="BQ53" s="92">
        <f t="shared" si="22"/>
        <v>0.13</v>
      </c>
      <c r="BR53" s="92">
        <f t="shared" si="23"/>
        <v>0.46</v>
      </c>
      <c r="BS53" s="92">
        <f t="shared" si="24"/>
        <v>0.08</v>
      </c>
      <c r="BT53" s="92">
        <f t="shared" si="25"/>
        <v>7.86</v>
      </c>
      <c r="BU53" s="92">
        <f t="shared" si="26"/>
        <v>7.19</v>
      </c>
      <c r="BV53" s="92"/>
      <c r="BW53" s="119" t="s">
        <v>367</v>
      </c>
      <c r="BX53" s="92"/>
      <c r="BY53" s="92"/>
      <c r="BZ53" s="92"/>
      <c r="CA53" s="92"/>
      <c r="CB53" s="92"/>
    </row>
    <row r="54" spans="1:80" ht="12.75" customHeight="1">
      <c r="A54" s="92"/>
      <c r="B54" s="120" t="s">
        <v>56</v>
      </c>
      <c r="C54" s="122">
        <f>HLOOKUP('PTI-16'!B4,Cálculos!$BE$2:$BS$7,3)</f>
        <v>1.2400000000000002</v>
      </c>
      <c r="D54" s="92">
        <f t="shared" si="27"/>
        <v>1.2400000000000002</v>
      </c>
      <c r="E54" s="92">
        <f t="shared" si="28"/>
        <v>1.2400000000000002</v>
      </c>
      <c r="F54" s="92"/>
      <c r="G54" s="93"/>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t="s">
        <v>288</v>
      </c>
      <c r="AL54" s="92" t="s">
        <v>378</v>
      </c>
      <c r="AM54" s="92">
        <v>-0.59</v>
      </c>
      <c r="AN54" s="92">
        <v>0.35</v>
      </c>
      <c r="AO54" s="92">
        <v>-0.68</v>
      </c>
      <c r="AP54" s="92">
        <v>0.26</v>
      </c>
      <c r="AQ54" s="92">
        <v>0.27</v>
      </c>
      <c r="AR54" s="92">
        <v>-0.46</v>
      </c>
      <c r="AS54" s="92">
        <v>-0.11</v>
      </c>
      <c r="AT54" s="92">
        <v>0.05</v>
      </c>
      <c r="AU54" s="92">
        <v>-0.3</v>
      </c>
      <c r="AV54" s="92">
        <v>0.44</v>
      </c>
      <c r="AW54" s="92">
        <v>-0.03</v>
      </c>
      <c r="AX54" s="92">
        <v>-0.14000000000000001</v>
      </c>
      <c r="AY54" s="92">
        <v>-0.08</v>
      </c>
      <c r="AZ54" s="92">
        <v>-0.56000000000000005</v>
      </c>
      <c r="BA54" s="92">
        <v>0.78</v>
      </c>
      <c r="BB54" s="92">
        <v>-0.37</v>
      </c>
      <c r="BC54" s="92">
        <v>11.93</v>
      </c>
      <c r="BD54" s="92">
        <f t="shared" si="9"/>
        <v>-0.59</v>
      </c>
      <c r="BE54" s="92">
        <f t="shared" si="10"/>
        <v>0.35</v>
      </c>
      <c r="BF54" s="92">
        <f t="shared" si="11"/>
        <v>-0.68</v>
      </c>
      <c r="BG54" s="92">
        <f t="shared" si="12"/>
        <v>0.26</v>
      </c>
      <c r="BH54" s="92">
        <f t="shared" si="13"/>
        <v>0.27</v>
      </c>
      <c r="BI54" s="92">
        <f t="shared" si="14"/>
        <v>-0.46</v>
      </c>
      <c r="BJ54" s="92">
        <f t="shared" si="15"/>
        <v>-0.11</v>
      </c>
      <c r="BK54" s="92">
        <f t="shared" si="16"/>
        <v>0.05</v>
      </c>
      <c r="BL54" s="92">
        <f t="shared" si="17"/>
        <v>-0.3</v>
      </c>
      <c r="BM54" s="92">
        <f t="shared" si="18"/>
        <v>0.44</v>
      </c>
      <c r="BN54" s="92">
        <f t="shared" si="19"/>
        <v>-0.03</v>
      </c>
      <c r="BO54" s="92">
        <f t="shared" si="20"/>
        <v>-0.28000000000000003</v>
      </c>
      <c r="BP54" s="92">
        <f t="shared" si="21"/>
        <v>-0.08</v>
      </c>
      <c r="BQ54" s="92">
        <f t="shared" si="22"/>
        <v>-0.56000000000000005</v>
      </c>
      <c r="BR54" s="92">
        <f t="shared" si="23"/>
        <v>0.78</v>
      </c>
      <c r="BS54" s="92">
        <f t="shared" si="24"/>
        <v>-0.74</v>
      </c>
      <c r="BT54" s="92">
        <f t="shared" si="25"/>
        <v>11.93</v>
      </c>
      <c r="BU54" s="92">
        <f t="shared" si="26"/>
        <v>10.25</v>
      </c>
      <c r="BV54" s="92"/>
      <c r="BW54" s="119" t="s">
        <v>367</v>
      </c>
      <c r="BX54" s="92"/>
      <c r="BY54" s="92"/>
      <c r="BZ54" s="92"/>
      <c r="CA54" s="92"/>
      <c r="CB54" s="92"/>
    </row>
    <row r="55" spans="1:80" ht="12.75" customHeight="1">
      <c r="A55" s="92"/>
      <c r="B55" s="120" t="s">
        <v>58</v>
      </c>
      <c r="C55" s="121">
        <f>HLOOKUP('PTI-16'!B4,Cálculos!$BE$2:$BS$7,4)</f>
        <v>3.0100000000000002</v>
      </c>
      <c r="D55" s="92">
        <f t="shared" si="27"/>
        <v>3.0100000000000002</v>
      </c>
      <c r="E55" s="92">
        <f t="shared" si="28"/>
        <v>3.0100000000000002</v>
      </c>
      <c r="F55" s="92"/>
      <c r="G55" s="93"/>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t="s">
        <v>288</v>
      </c>
      <c r="AL55" s="92" t="s">
        <v>379</v>
      </c>
      <c r="AM55" s="92">
        <v>-0.61</v>
      </c>
      <c r="AN55" s="92">
        <v>0.36</v>
      </c>
      <c r="AO55" s="92">
        <v>-0.86</v>
      </c>
      <c r="AP55" s="92">
        <v>-0.16</v>
      </c>
      <c r="AQ55" s="92">
        <v>0.1</v>
      </c>
      <c r="AR55" s="92">
        <v>-0.41</v>
      </c>
      <c r="AS55" s="92">
        <v>0.36</v>
      </c>
      <c r="AT55" s="92">
        <v>0.13</v>
      </c>
      <c r="AU55" s="92">
        <v>0.02</v>
      </c>
      <c r="AV55" s="92">
        <v>0.4</v>
      </c>
      <c r="AW55" s="92">
        <v>0.06</v>
      </c>
      <c r="AX55" s="92">
        <v>-0.14000000000000001</v>
      </c>
      <c r="AY55" s="92">
        <v>-0.13</v>
      </c>
      <c r="AZ55" s="92">
        <v>-0.45</v>
      </c>
      <c r="BA55" s="92">
        <v>0.36</v>
      </c>
      <c r="BB55" s="92">
        <v>-0.89</v>
      </c>
      <c r="BC55" s="92">
        <v>15.73</v>
      </c>
      <c r="BD55" s="92">
        <f t="shared" si="9"/>
        <v>-0.61</v>
      </c>
      <c r="BE55" s="92">
        <f t="shared" si="10"/>
        <v>0.36</v>
      </c>
      <c r="BF55" s="92">
        <f t="shared" si="11"/>
        <v>-0.86</v>
      </c>
      <c r="BG55" s="92">
        <f t="shared" si="12"/>
        <v>-0.16</v>
      </c>
      <c r="BH55" s="92">
        <f t="shared" si="13"/>
        <v>0.1</v>
      </c>
      <c r="BI55" s="92">
        <f t="shared" si="14"/>
        <v>-0.41</v>
      </c>
      <c r="BJ55" s="92">
        <f t="shared" si="15"/>
        <v>0.36</v>
      </c>
      <c r="BK55" s="92">
        <f t="shared" si="16"/>
        <v>0.13</v>
      </c>
      <c r="BL55" s="92">
        <f t="shared" si="17"/>
        <v>0.02</v>
      </c>
      <c r="BM55" s="92">
        <f t="shared" si="18"/>
        <v>0.4</v>
      </c>
      <c r="BN55" s="92">
        <f t="shared" si="19"/>
        <v>0.06</v>
      </c>
      <c r="BO55" s="92">
        <f t="shared" si="20"/>
        <v>-0.28000000000000003</v>
      </c>
      <c r="BP55" s="92">
        <f t="shared" si="21"/>
        <v>-0.13</v>
      </c>
      <c r="BQ55" s="92">
        <f t="shared" si="22"/>
        <v>-0.45</v>
      </c>
      <c r="BR55" s="92">
        <f t="shared" si="23"/>
        <v>0.36</v>
      </c>
      <c r="BS55" s="92">
        <f t="shared" si="24"/>
        <v>-1.78</v>
      </c>
      <c r="BT55" s="92">
        <f t="shared" si="25"/>
        <v>15.73</v>
      </c>
      <c r="BU55" s="92">
        <f t="shared" si="26"/>
        <v>12.84</v>
      </c>
      <c r="BV55" s="92"/>
      <c r="BW55" s="119" t="s">
        <v>367</v>
      </c>
      <c r="BX55" s="92"/>
      <c r="BY55" s="92"/>
      <c r="BZ55" s="92"/>
      <c r="CA55" s="92"/>
      <c r="CB55" s="92"/>
    </row>
    <row r="56" spans="1:80" ht="12.75" customHeight="1">
      <c r="A56" s="92"/>
      <c r="B56" s="123" t="s">
        <v>60</v>
      </c>
      <c r="C56" s="124">
        <f>HLOOKUP('PTI-16'!B4,Cálculos!$BE$2:$BS$7,5)</f>
        <v>-2.8199999999999994</v>
      </c>
      <c r="D56" s="92">
        <f t="shared" si="27"/>
        <v>-2.8199999999999994</v>
      </c>
      <c r="E56" s="92">
        <f t="shared" si="28"/>
        <v>1</v>
      </c>
      <c r="F56" s="92"/>
      <c r="G56" s="93" t="s">
        <v>380</v>
      </c>
      <c r="H56" s="92">
        <v>0</v>
      </c>
      <c r="I56" s="92">
        <v>1</v>
      </c>
      <c r="J56" s="92">
        <v>2</v>
      </c>
      <c r="K56" s="92">
        <v>3</v>
      </c>
      <c r="L56" s="92">
        <v>4</v>
      </c>
      <c r="M56" s="92">
        <v>5</v>
      </c>
      <c r="N56" s="92">
        <v>6</v>
      </c>
      <c r="O56" s="92">
        <v>7</v>
      </c>
      <c r="P56" s="92">
        <v>8</v>
      </c>
      <c r="Q56" s="92">
        <v>9</v>
      </c>
      <c r="R56" s="92">
        <v>10</v>
      </c>
      <c r="S56" s="92">
        <v>11</v>
      </c>
      <c r="T56" s="92">
        <v>12</v>
      </c>
      <c r="U56" s="92">
        <v>13</v>
      </c>
      <c r="V56" s="92">
        <v>14</v>
      </c>
      <c r="W56" s="92">
        <v>15</v>
      </c>
      <c r="X56" s="92">
        <v>16</v>
      </c>
      <c r="Y56" s="92">
        <v>17</v>
      </c>
      <c r="Z56" s="92">
        <v>18</v>
      </c>
      <c r="AA56" s="92">
        <v>19</v>
      </c>
      <c r="AB56" s="92">
        <v>20</v>
      </c>
      <c r="AC56" s="92">
        <v>21</v>
      </c>
      <c r="AD56" s="92">
        <v>22</v>
      </c>
      <c r="AE56" s="92">
        <v>23</v>
      </c>
      <c r="AF56" s="92">
        <v>24</v>
      </c>
      <c r="AG56" s="92">
        <v>25</v>
      </c>
      <c r="AH56" s="92">
        <v>26</v>
      </c>
      <c r="AI56" s="92">
        <v>27</v>
      </c>
      <c r="AJ56" s="92">
        <v>99</v>
      </c>
      <c r="AK56" s="92" t="s">
        <v>288</v>
      </c>
      <c r="AL56" s="92" t="s">
        <v>381</v>
      </c>
      <c r="AM56" s="92">
        <v>-0.22</v>
      </c>
      <c r="AN56" s="92">
        <v>0.55000000000000004</v>
      </c>
      <c r="AO56" s="92">
        <v>-0.34</v>
      </c>
      <c r="AP56" s="92">
        <v>0.57999999999999996</v>
      </c>
      <c r="AQ56" s="92">
        <v>-0.64</v>
      </c>
      <c r="AR56" s="92">
        <v>-0.52</v>
      </c>
      <c r="AS56" s="92">
        <v>0.42</v>
      </c>
      <c r="AT56" s="92">
        <v>0.53</v>
      </c>
      <c r="AU56" s="92">
        <v>-0.23</v>
      </c>
      <c r="AV56" s="92">
        <v>-0.28000000000000003</v>
      </c>
      <c r="AW56" s="92">
        <v>-0.24</v>
      </c>
      <c r="AX56" s="92">
        <v>-0.52</v>
      </c>
      <c r="AY56" s="92">
        <v>-0.27</v>
      </c>
      <c r="AZ56" s="92">
        <v>-0.19</v>
      </c>
      <c r="BA56" s="92">
        <v>0.48</v>
      </c>
      <c r="BB56" s="92">
        <v>0.4</v>
      </c>
      <c r="BC56" s="92">
        <v>8.19</v>
      </c>
      <c r="BD56" s="92">
        <f t="shared" si="9"/>
        <v>-0.22</v>
      </c>
      <c r="BE56" s="92">
        <f t="shared" si="10"/>
        <v>0.55000000000000004</v>
      </c>
      <c r="BF56" s="92">
        <f t="shared" si="11"/>
        <v>-0.34</v>
      </c>
      <c r="BG56" s="92">
        <f t="shared" si="12"/>
        <v>0.57999999999999996</v>
      </c>
      <c r="BH56" s="92">
        <f t="shared" si="13"/>
        <v>-0.64</v>
      </c>
      <c r="BI56" s="92">
        <f t="shared" si="14"/>
        <v>-0.52</v>
      </c>
      <c r="BJ56" s="92">
        <f t="shared" si="15"/>
        <v>0.42</v>
      </c>
      <c r="BK56" s="92">
        <f t="shared" si="16"/>
        <v>0.53</v>
      </c>
      <c r="BL56" s="92">
        <f t="shared" si="17"/>
        <v>-0.23</v>
      </c>
      <c r="BM56" s="92">
        <f t="shared" si="18"/>
        <v>-0.28000000000000003</v>
      </c>
      <c r="BN56" s="92">
        <f t="shared" si="19"/>
        <v>-0.24</v>
      </c>
      <c r="BO56" s="92">
        <f t="shared" si="20"/>
        <v>-1.04</v>
      </c>
      <c r="BP56" s="92">
        <f t="shared" si="21"/>
        <v>-0.27</v>
      </c>
      <c r="BQ56" s="92">
        <f t="shared" si="22"/>
        <v>-0.19</v>
      </c>
      <c r="BR56" s="92">
        <f t="shared" si="23"/>
        <v>0.48</v>
      </c>
      <c r="BS56" s="92">
        <f t="shared" si="24"/>
        <v>0.8</v>
      </c>
      <c r="BT56" s="92">
        <f t="shared" si="25"/>
        <v>8.19</v>
      </c>
      <c r="BU56" s="92">
        <f t="shared" si="26"/>
        <v>7.5799999999999992</v>
      </c>
      <c r="BV56" s="92"/>
      <c r="BW56" s="118" t="s">
        <v>367</v>
      </c>
      <c r="BX56" s="92"/>
      <c r="BY56" s="92"/>
      <c r="BZ56" s="92"/>
      <c r="CA56" s="92"/>
      <c r="CB56" s="92"/>
    </row>
    <row r="57" spans="1:80" ht="12.75" customHeight="1">
      <c r="A57" s="92"/>
      <c r="B57" s="120" t="s">
        <v>65</v>
      </c>
      <c r="C57" s="122">
        <f>HLOOKUP('PTI-16'!B4,Cálculos!$BE$2:$BS$7,6)</f>
        <v>1.8200000000000003</v>
      </c>
      <c r="D57" s="92">
        <f t="shared" si="27"/>
        <v>1.8200000000000003</v>
      </c>
      <c r="E57" s="92">
        <f t="shared" si="28"/>
        <v>1.8200000000000003</v>
      </c>
      <c r="F57" s="92">
        <v>1</v>
      </c>
      <c r="G57" s="93" t="s">
        <v>300</v>
      </c>
      <c r="H57" s="99">
        <v>1</v>
      </c>
      <c r="I57" s="99">
        <v>1</v>
      </c>
      <c r="J57" s="99">
        <v>1</v>
      </c>
      <c r="K57" s="99">
        <v>1</v>
      </c>
      <c r="L57" s="99">
        <v>1</v>
      </c>
      <c r="M57" s="99">
        <v>1</v>
      </c>
      <c r="N57" s="99">
        <v>1</v>
      </c>
      <c r="O57" s="99">
        <v>1</v>
      </c>
      <c r="P57" s="99">
        <v>1</v>
      </c>
      <c r="Q57" s="99">
        <v>2</v>
      </c>
      <c r="R57" s="99">
        <v>2</v>
      </c>
      <c r="S57" s="99">
        <v>3</v>
      </c>
      <c r="T57" s="99">
        <v>3</v>
      </c>
      <c r="U57" s="99">
        <v>4</v>
      </c>
      <c r="V57" s="99">
        <v>4</v>
      </c>
      <c r="W57" s="99">
        <v>5</v>
      </c>
      <c r="X57" s="99">
        <v>5</v>
      </c>
      <c r="Y57" s="99">
        <v>6</v>
      </c>
      <c r="Z57" s="99">
        <v>6</v>
      </c>
      <c r="AA57" s="99">
        <v>7</v>
      </c>
      <c r="AB57" s="99">
        <v>7</v>
      </c>
      <c r="AC57" s="99">
        <v>8</v>
      </c>
      <c r="AD57" s="99">
        <v>8</v>
      </c>
      <c r="AE57" s="99">
        <v>9</v>
      </c>
      <c r="AF57" s="99">
        <v>9</v>
      </c>
      <c r="AG57" s="99">
        <v>10</v>
      </c>
      <c r="AH57" s="99">
        <v>10</v>
      </c>
      <c r="AI57" s="92" t="s">
        <v>301</v>
      </c>
      <c r="AJ57" s="92" t="s">
        <v>301</v>
      </c>
      <c r="AK57" s="92" t="s">
        <v>288</v>
      </c>
      <c r="AL57" s="92" t="s">
        <v>382</v>
      </c>
      <c r="AM57" s="92">
        <v>0.36</v>
      </c>
      <c r="AN57" s="92">
        <v>0.64</v>
      </c>
      <c r="AO57" s="92">
        <v>0.28999999999999998</v>
      </c>
      <c r="AP57" s="92">
        <v>0.3</v>
      </c>
      <c r="AQ57" s="92">
        <v>-0.53</v>
      </c>
      <c r="AR57" s="92">
        <v>0.18</v>
      </c>
      <c r="AS57" s="92">
        <v>0.01</v>
      </c>
      <c r="AT57" s="92">
        <v>0.51</v>
      </c>
      <c r="AU57" s="92">
        <v>0.45</v>
      </c>
      <c r="AV57" s="92">
        <v>-0.12</v>
      </c>
      <c r="AW57" s="92">
        <v>-0.05</v>
      </c>
      <c r="AX57" s="92">
        <v>-0.03</v>
      </c>
      <c r="AY57" s="92">
        <v>-0.05</v>
      </c>
      <c r="AZ57" s="92">
        <v>-0.38</v>
      </c>
      <c r="BA57" s="92">
        <v>0.37</v>
      </c>
      <c r="BB57" s="92">
        <v>0.02</v>
      </c>
      <c r="BC57" s="92">
        <v>-5.32</v>
      </c>
      <c r="BD57" s="92">
        <f t="shared" si="9"/>
        <v>0.36</v>
      </c>
      <c r="BE57" s="92">
        <f t="shared" si="10"/>
        <v>0.64</v>
      </c>
      <c r="BF57" s="92">
        <f t="shared" si="11"/>
        <v>0.28999999999999998</v>
      </c>
      <c r="BG57" s="92">
        <f t="shared" si="12"/>
        <v>0.3</v>
      </c>
      <c r="BH57" s="92">
        <f t="shared" si="13"/>
        <v>-0.53</v>
      </c>
      <c r="BI57" s="92">
        <f t="shared" si="14"/>
        <v>0.18</v>
      </c>
      <c r="BJ57" s="92">
        <f t="shared" si="15"/>
        <v>0.01</v>
      </c>
      <c r="BK57" s="92">
        <f t="shared" si="16"/>
        <v>0.51</v>
      </c>
      <c r="BL57" s="92">
        <f t="shared" si="17"/>
        <v>0.45</v>
      </c>
      <c r="BM57" s="92">
        <f t="shared" si="18"/>
        <v>-0.12</v>
      </c>
      <c r="BN57" s="92">
        <f t="shared" si="19"/>
        <v>-0.05</v>
      </c>
      <c r="BO57" s="92">
        <f t="shared" si="20"/>
        <v>-0.06</v>
      </c>
      <c r="BP57" s="92">
        <f t="shared" si="21"/>
        <v>-0.05</v>
      </c>
      <c r="BQ57" s="92">
        <f t="shared" si="22"/>
        <v>-0.38</v>
      </c>
      <c r="BR57" s="92">
        <f t="shared" si="23"/>
        <v>0.37</v>
      </c>
      <c r="BS57" s="92">
        <f t="shared" si="24"/>
        <v>0.04</v>
      </c>
      <c r="BT57" s="92">
        <f t="shared" si="25"/>
        <v>-5.32</v>
      </c>
      <c r="BU57" s="92">
        <f t="shared" si="26"/>
        <v>-3.3600000000000003</v>
      </c>
      <c r="BV57" s="92"/>
      <c r="BW57" s="118" t="s">
        <v>367</v>
      </c>
      <c r="BX57" s="92"/>
      <c r="BY57" s="92"/>
      <c r="BZ57" s="92"/>
      <c r="CA57" s="92"/>
      <c r="CB57" s="92"/>
    </row>
    <row r="58" spans="1:80" ht="12.75" customHeight="1">
      <c r="A58" s="92"/>
      <c r="B58" s="120" t="s">
        <v>67</v>
      </c>
      <c r="C58" s="120"/>
      <c r="D58" s="122"/>
      <c r="E58" s="92"/>
      <c r="F58" s="92">
        <v>2</v>
      </c>
      <c r="G58" s="93" t="s">
        <v>303</v>
      </c>
      <c r="H58" s="99">
        <v>1</v>
      </c>
      <c r="I58" s="99">
        <v>1</v>
      </c>
      <c r="J58" s="99">
        <v>1</v>
      </c>
      <c r="K58" s="99">
        <v>1</v>
      </c>
      <c r="L58" s="99">
        <v>1</v>
      </c>
      <c r="M58" s="99">
        <v>1</v>
      </c>
      <c r="N58" s="99">
        <v>1</v>
      </c>
      <c r="O58" s="99">
        <v>1</v>
      </c>
      <c r="P58" s="99">
        <v>1</v>
      </c>
      <c r="Q58" s="99">
        <v>1</v>
      </c>
      <c r="R58" s="99">
        <v>2</v>
      </c>
      <c r="S58" s="99">
        <v>2</v>
      </c>
      <c r="T58" s="99">
        <v>3</v>
      </c>
      <c r="U58" s="99">
        <v>4</v>
      </c>
      <c r="V58" s="99">
        <v>4</v>
      </c>
      <c r="W58" s="99">
        <v>5</v>
      </c>
      <c r="X58" s="99">
        <v>5</v>
      </c>
      <c r="Y58" s="99">
        <v>6</v>
      </c>
      <c r="Z58" s="99">
        <v>6</v>
      </c>
      <c r="AA58" s="99">
        <v>7</v>
      </c>
      <c r="AB58" s="99">
        <v>7</v>
      </c>
      <c r="AC58" s="99">
        <v>8</v>
      </c>
      <c r="AD58" s="99">
        <v>8</v>
      </c>
      <c r="AE58" s="99">
        <v>9</v>
      </c>
      <c r="AF58" s="99">
        <v>9</v>
      </c>
      <c r="AG58" s="99">
        <v>10</v>
      </c>
      <c r="AH58" s="99">
        <v>10</v>
      </c>
      <c r="AI58" s="92" t="s">
        <v>301</v>
      </c>
      <c r="AJ58" s="92" t="s">
        <v>301</v>
      </c>
      <c r="AK58" s="92"/>
      <c r="AL58" s="92" t="s">
        <v>383</v>
      </c>
      <c r="AM58" s="92">
        <v>0.01</v>
      </c>
      <c r="AN58" s="92">
        <v>0.26</v>
      </c>
      <c r="AO58" s="92">
        <v>0.41</v>
      </c>
      <c r="AP58" s="92">
        <v>0.19</v>
      </c>
      <c r="AQ58" s="92">
        <v>-0.69</v>
      </c>
      <c r="AR58" s="92">
        <v>-0.64</v>
      </c>
      <c r="AS58" s="92">
        <v>0.47</v>
      </c>
      <c r="AT58" s="92">
        <v>0.66</v>
      </c>
      <c r="AU58" s="92">
        <v>0.17</v>
      </c>
      <c r="AV58" s="92">
        <v>-0.36</v>
      </c>
      <c r="AW58" s="92">
        <v>-0.33</v>
      </c>
      <c r="AX58" s="92">
        <v>-0.35</v>
      </c>
      <c r="AY58" s="92">
        <v>-0.15</v>
      </c>
      <c r="AZ58" s="92">
        <v>-0.2</v>
      </c>
      <c r="BA58" s="92">
        <v>0.68</v>
      </c>
      <c r="BB58" s="92">
        <v>0.81</v>
      </c>
      <c r="BC58" s="92">
        <v>0.33</v>
      </c>
      <c r="BD58" s="92">
        <f t="shared" si="9"/>
        <v>0.01</v>
      </c>
      <c r="BE58" s="92">
        <f t="shared" si="10"/>
        <v>0.26</v>
      </c>
      <c r="BF58" s="92">
        <f t="shared" si="11"/>
        <v>0.41</v>
      </c>
      <c r="BG58" s="92">
        <f t="shared" si="12"/>
        <v>0.19</v>
      </c>
      <c r="BH58" s="92">
        <f t="shared" si="13"/>
        <v>-0.69</v>
      </c>
      <c r="BI58" s="92">
        <f t="shared" si="14"/>
        <v>-0.64</v>
      </c>
      <c r="BJ58" s="92">
        <f t="shared" si="15"/>
        <v>0.47</v>
      </c>
      <c r="BK58" s="92">
        <f t="shared" si="16"/>
        <v>0.66</v>
      </c>
      <c r="BL58" s="92">
        <f t="shared" si="17"/>
        <v>0.17</v>
      </c>
      <c r="BM58" s="92">
        <f t="shared" si="18"/>
        <v>-0.36</v>
      </c>
      <c r="BN58" s="92">
        <f t="shared" si="19"/>
        <v>-0.33</v>
      </c>
      <c r="BO58" s="92">
        <f t="shared" si="20"/>
        <v>-0.7</v>
      </c>
      <c r="BP58" s="92">
        <f t="shared" si="21"/>
        <v>-0.15</v>
      </c>
      <c r="BQ58" s="92">
        <f t="shared" si="22"/>
        <v>-0.2</v>
      </c>
      <c r="BR58" s="92">
        <f t="shared" si="23"/>
        <v>0.68</v>
      </c>
      <c r="BS58" s="92">
        <f t="shared" si="24"/>
        <v>1.62</v>
      </c>
      <c r="BT58" s="92">
        <f t="shared" si="25"/>
        <v>0.33</v>
      </c>
      <c r="BU58" s="92">
        <f t="shared" si="26"/>
        <v>1.73</v>
      </c>
      <c r="BV58" s="92"/>
      <c r="BW58" s="118" t="s">
        <v>367</v>
      </c>
      <c r="BX58" s="92"/>
      <c r="BY58" s="92"/>
      <c r="BZ58" s="92"/>
      <c r="CA58" s="92"/>
      <c r="CB58" s="92"/>
    </row>
    <row r="59" spans="1:80" ht="12.75" customHeight="1">
      <c r="A59" s="92"/>
      <c r="B59" s="120" t="s">
        <v>69</v>
      </c>
      <c r="C59" s="120"/>
      <c r="D59" s="121"/>
      <c r="E59" s="92"/>
      <c r="F59" s="92">
        <v>3</v>
      </c>
      <c r="G59" s="93" t="s">
        <v>305</v>
      </c>
      <c r="H59" s="99">
        <v>1</v>
      </c>
      <c r="I59" s="99">
        <v>1</v>
      </c>
      <c r="J59" s="99">
        <v>1</v>
      </c>
      <c r="K59" s="99">
        <v>1</v>
      </c>
      <c r="L59" s="99">
        <v>1</v>
      </c>
      <c r="M59" s="99">
        <v>1</v>
      </c>
      <c r="N59" s="99">
        <v>1</v>
      </c>
      <c r="O59" s="99">
        <v>1</v>
      </c>
      <c r="P59" s="99">
        <v>1</v>
      </c>
      <c r="Q59" s="99">
        <v>2</v>
      </c>
      <c r="R59" s="99">
        <v>2</v>
      </c>
      <c r="S59" s="99">
        <v>3</v>
      </c>
      <c r="T59" s="99">
        <v>3</v>
      </c>
      <c r="U59" s="99">
        <v>4</v>
      </c>
      <c r="V59" s="99">
        <v>4</v>
      </c>
      <c r="W59" s="99">
        <v>5</v>
      </c>
      <c r="X59" s="99">
        <v>5</v>
      </c>
      <c r="Y59" s="99">
        <v>6</v>
      </c>
      <c r="Z59" s="99">
        <v>6</v>
      </c>
      <c r="AA59" s="99">
        <v>7</v>
      </c>
      <c r="AB59" s="99">
        <v>7</v>
      </c>
      <c r="AC59" s="99">
        <v>8</v>
      </c>
      <c r="AD59" s="99">
        <v>8</v>
      </c>
      <c r="AE59" s="99">
        <v>9</v>
      </c>
      <c r="AF59" s="99">
        <v>9</v>
      </c>
      <c r="AG59" s="99">
        <v>10</v>
      </c>
      <c r="AH59" s="99">
        <v>10</v>
      </c>
      <c r="AI59" s="92" t="s">
        <v>301</v>
      </c>
      <c r="AJ59" s="92" t="s">
        <v>301</v>
      </c>
      <c r="AK59" s="92"/>
      <c r="AL59" s="92" t="s">
        <v>384</v>
      </c>
      <c r="AM59" s="92">
        <v>0.62</v>
      </c>
      <c r="AN59" s="92">
        <v>0.25</v>
      </c>
      <c r="AO59" s="92">
        <v>-0.06</v>
      </c>
      <c r="AP59" s="92">
        <v>0.53</v>
      </c>
      <c r="AQ59" s="92">
        <v>-0.67</v>
      </c>
      <c r="AR59" s="92">
        <v>-0.08</v>
      </c>
      <c r="AS59" s="92">
        <v>-0.13</v>
      </c>
      <c r="AT59" s="92">
        <v>0.41</v>
      </c>
      <c r="AU59" s="92">
        <v>-0.2</v>
      </c>
      <c r="AV59" s="92">
        <v>0.05</v>
      </c>
      <c r="AW59" s="92">
        <v>-0.09</v>
      </c>
      <c r="AX59" s="92">
        <v>-0.39</v>
      </c>
      <c r="AY59" s="92">
        <v>-0.03</v>
      </c>
      <c r="AZ59" s="92">
        <v>-0.45</v>
      </c>
      <c r="BA59" s="92">
        <v>-0.06</v>
      </c>
      <c r="BB59" s="92">
        <v>-7.0000000000000007E-2</v>
      </c>
      <c r="BC59" s="92">
        <v>7.54</v>
      </c>
      <c r="BD59" s="92">
        <f t="shared" si="9"/>
        <v>0.62</v>
      </c>
      <c r="BE59" s="92">
        <f t="shared" si="10"/>
        <v>0.25</v>
      </c>
      <c r="BF59" s="92">
        <f t="shared" si="11"/>
        <v>-0.06</v>
      </c>
      <c r="BG59" s="92">
        <f t="shared" si="12"/>
        <v>0.53</v>
      </c>
      <c r="BH59" s="92">
        <f t="shared" si="13"/>
        <v>-0.67</v>
      </c>
      <c r="BI59" s="92">
        <f t="shared" si="14"/>
        <v>-0.08</v>
      </c>
      <c r="BJ59" s="92">
        <f t="shared" si="15"/>
        <v>-0.13</v>
      </c>
      <c r="BK59" s="92">
        <f t="shared" si="16"/>
        <v>0.41</v>
      </c>
      <c r="BL59" s="92">
        <f t="shared" si="17"/>
        <v>-0.2</v>
      </c>
      <c r="BM59" s="92">
        <f t="shared" si="18"/>
        <v>0.05</v>
      </c>
      <c r="BN59" s="92">
        <f t="shared" si="19"/>
        <v>-0.09</v>
      </c>
      <c r="BO59" s="92">
        <f t="shared" si="20"/>
        <v>-0.78</v>
      </c>
      <c r="BP59" s="92">
        <f t="shared" si="21"/>
        <v>-0.03</v>
      </c>
      <c r="BQ59" s="92">
        <f t="shared" si="22"/>
        <v>-0.45</v>
      </c>
      <c r="BR59" s="92">
        <f t="shared" si="23"/>
        <v>-0.06</v>
      </c>
      <c r="BS59" s="92">
        <f t="shared" si="24"/>
        <v>-0.14000000000000001</v>
      </c>
      <c r="BT59" s="92">
        <f t="shared" si="25"/>
        <v>7.54</v>
      </c>
      <c r="BU59" s="92">
        <f t="shared" si="26"/>
        <v>6.71</v>
      </c>
      <c r="BV59" s="92"/>
      <c r="BW59" s="118" t="s">
        <v>367</v>
      </c>
      <c r="BX59" s="92"/>
      <c r="BY59" s="92"/>
      <c r="BZ59" s="92"/>
      <c r="CA59" s="92"/>
      <c r="CB59" s="92"/>
    </row>
    <row r="60" spans="1:80" ht="12.75" customHeight="1">
      <c r="A60" s="92"/>
      <c r="B60" s="120" t="s">
        <v>71</v>
      </c>
      <c r="C60" s="120"/>
      <c r="D60" s="121"/>
      <c r="E60" s="92"/>
      <c r="F60" s="92">
        <v>4</v>
      </c>
      <c r="G60" s="93" t="s">
        <v>307</v>
      </c>
      <c r="H60" s="92">
        <v>1</v>
      </c>
      <c r="I60" s="92">
        <v>1</v>
      </c>
      <c r="J60" s="92">
        <v>1</v>
      </c>
      <c r="K60" s="92">
        <v>1</v>
      </c>
      <c r="L60" s="92">
        <v>1</v>
      </c>
      <c r="M60" s="92">
        <v>1</v>
      </c>
      <c r="N60" s="92">
        <v>1</v>
      </c>
      <c r="O60" s="92">
        <v>2</v>
      </c>
      <c r="P60" s="92">
        <v>2</v>
      </c>
      <c r="Q60" s="92">
        <v>3</v>
      </c>
      <c r="R60" s="92">
        <v>3</v>
      </c>
      <c r="S60" s="92">
        <v>3</v>
      </c>
      <c r="T60" s="92">
        <v>4</v>
      </c>
      <c r="U60" s="92">
        <v>4</v>
      </c>
      <c r="V60" s="92">
        <v>5</v>
      </c>
      <c r="W60" s="92">
        <v>5</v>
      </c>
      <c r="X60" s="92">
        <v>6</v>
      </c>
      <c r="Y60" s="92">
        <v>6</v>
      </c>
      <c r="Z60" s="92">
        <v>7</v>
      </c>
      <c r="AA60" s="92">
        <v>7</v>
      </c>
      <c r="AB60" s="92">
        <v>8</v>
      </c>
      <c r="AC60" s="92">
        <v>8</v>
      </c>
      <c r="AD60" s="92">
        <v>8</v>
      </c>
      <c r="AE60" s="92">
        <v>9</v>
      </c>
      <c r="AF60" s="92">
        <v>9</v>
      </c>
      <c r="AG60" s="92">
        <v>10</v>
      </c>
      <c r="AH60" s="92">
        <v>10</v>
      </c>
      <c r="AI60" s="92" t="s">
        <v>301</v>
      </c>
      <c r="AJ60" s="92" t="s">
        <v>301</v>
      </c>
      <c r="AK60" s="92" t="s">
        <v>288</v>
      </c>
      <c r="AL60" s="92" t="s">
        <v>385</v>
      </c>
      <c r="AM60" s="92">
        <v>0.68</v>
      </c>
      <c r="AN60" s="92">
        <v>0.13</v>
      </c>
      <c r="AO60" s="92">
        <v>-0.17</v>
      </c>
      <c r="AP60" s="92">
        <v>0.06</v>
      </c>
      <c r="AQ60" s="92">
        <v>-0.15</v>
      </c>
      <c r="AR60" s="92">
        <v>-0.7</v>
      </c>
      <c r="AS60" s="92">
        <v>-0.03</v>
      </c>
      <c r="AT60" s="92">
        <v>-0.13</v>
      </c>
      <c r="AU60" s="92">
        <v>-0.47</v>
      </c>
      <c r="AV60" s="92">
        <v>0.14000000000000001</v>
      </c>
      <c r="AW60" s="92">
        <v>-0.17</v>
      </c>
      <c r="AX60" s="92">
        <v>0.04</v>
      </c>
      <c r="AY60" s="92">
        <v>-0.05</v>
      </c>
      <c r="AZ60" s="92">
        <v>0.27</v>
      </c>
      <c r="BA60" s="92">
        <v>-0.03</v>
      </c>
      <c r="BB60" s="92">
        <v>-0.45</v>
      </c>
      <c r="BC60" s="92">
        <v>11.16</v>
      </c>
      <c r="BD60" s="92">
        <f t="shared" si="9"/>
        <v>0.68</v>
      </c>
      <c r="BE60" s="92">
        <f t="shared" si="10"/>
        <v>0.13</v>
      </c>
      <c r="BF60" s="92">
        <f t="shared" si="11"/>
        <v>-0.17</v>
      </c>
      <c r="BG60" s="92">
        <f t="shared" si="12"/>
        <v>0.06</v>
      </c>
      <c r="BH60" s="92">
        <f t="shared" si="13"/>
        <v>-0.15</v>
      </c>
      <c r="BI60" s="92">
        <f t="shared" si="14"/>
        <v>-0.7</v>
      </c>
      <c r="BJ60" s="92">
        <f t="shared" si="15"/>
        <v>-0.03</v>
      </c>
      <c r="BK60" s="92">
        <f t="shared" si="16"/>
        <v>-0.13</v>
      </c>
      <c r="BL60" s="92">
        <f t="shared" si="17"/>
        <v>-0.47</v>
      </c>
      <c r="BM60" s="92">
        <f t="shared" si="18"/>
        <v>0.14000000000000001</v>
      </c>
      <c r="BN60" s="92">
        <f t="shared" si="19"/>
        <v>-0.17</v>
      </c>
      <c r="BO60" s="92">
        <f t="shared" si="20"/>
        <v>0.08</v>
      </c>
      <c r="BP60" s="92">
        <f t="shared" si="21"/>
        <v>-0.05</v>
      </c>
      <c r="BQ60" s="92">
        <f t="shared" si="22"/>
        <v>0.27</v>
      </c>
      <c r="BR60" s="92">
        <f t="shared" si="23"/>
        <v>-0.03</v>
      </c>
      <c r="BS60" s="92">
        <f t="shared" si="24"/>
        <v>-0.9</v>
      </c>
      <c r="BT60" s="92">
        <f t="shared" si="25"/>
        <v>11.16</v>
      </c>
      <c r="BU60" s="92">
        <f t="shared" si="26"/>
        <v>9.7200000000000006</v>
      </c>
      <c r="BV60" s="92"/>
      <c r="BW60" s="118" t="s">
        <v>367</v>
      </c>
      <c r="BX60" s="92"/>
      <c r="BY60" s="92"/>
      <c r="BZ60" s="92"/>
      <c r="CA60" s="92"/>
      <c r="CB60" s="92"/>
    </row>
    <row r="61" spans="1:80" ht="12.75" customHeight="1">
      <c r="A61" s="92"/>
      <c r="B61" s="120" t="s">
        <v>73</v>
      </c>
      <c r="C61" s="120"/>
      <c r="D61" s="122"/>
      <c r="E61" s="92"/>
      <c r="F61" s="92">
        <v>5</v>
      </c>
      <c r="G61" s="93" t="s">
        <v>309</v>
      </c>
      <c r="H61" s="92">
        <v>1</v>
      </c>
      <c r="I61" s="92">
        <v>1</v>
      </c>
      <c r="J61" s="92">
        <v>1</v>
      </c>
      <c r="K61" s="92">
        <v>1</v>
      </c>
      <c r="L61" s="92">
        <v>1</v>
      </c>
      <c r="M61" s="92">
        <v>1</v>
      </c>
      <c r="N61" s="92">
        <v>2</v>
      </c>
      <c r="O61" s="92">
        <v>3</v>
      </c>
      <c r="P61" s="92">
        <v>3</v>
      </c>
      <c r="Q61" s="92">
        <v>4</v>
      </c>
      <c r="R61" s="92">
        <v>4</v>
      </c>
      <c r="S61" s="92">
        <v>4</v>
      </c>
      <c r="T61" s="92">
        <v>5</v>
      </c>
      <c r="U61" s="92">
        <v>5</v>
      </c>
      <c r="V61" s="92">
        <v>5</v>
      </c>
      <c r="W61" s="92">
        <v>6</v>
      </c>
      <c r="X61" s="92">
        <v>6</v>
      </c>
      <c r="Y61" s="92">
        <v>7</v>
      </c>
      <c r="Z61" s="92">
        <v>7</v>
      </c>
      <c r="AA61" s="92">
        <v>8</v>
      </c>
      <c r="AB61" s="92">
        <v>8</v>
      </c>
      <c r="AC61" s="92">
        <v>9</v>
      </c>
      <c r="AD61" s="92">
        <v>9</v>
      </c>
      <c r="AE61" s="92">
        <v>10</v>
      </c>
      <c r="AF61" s="92">
        <v>10</v>
      </c>
      <c r="AG61" s="92">
        <v>10</v>
      </c>
      <c r="AH61" s="92">
        <v>10</v>
      </c>
      <c r="AI61" s="92" t="s">
        <v>301</v>
      </c>
      <c r="AJ61" s="92" t="s">
        <v>301</v>
      </c>
      <c r="AK61" s="92" t="s">
        <v>288</v>
      </c>
      <c r="AL61" s="92" t="s">
        <v>386</v>
      </c>
      <c r="AM61" s="92">
        <v>-0.12</v>
      </c>
      <c r="AN61" s="92">
        <v>0.17</v>
      </c>
      <c r="AO61" s="92">
        <v>-0.21</v>
      </c>
      <c r="AP61" s="92">
        <v>0.36</v>
      </c>
      <c r="AQ61" s="92">
        <v>0.28999999999999998</v>
      </c>
      <c r="AR61" s="92">
        <v>0.41</v>
      </c>
      <c r="AS61" s="92">
        <v>0</v>
      </c>
      <c r="AT61" s="92">
        <v>0.12</v>
      </c>
      <c r="AU61" s="92">
        <v>-0.19</v>
      </c>
      <c r="AV61" s="92">
        <v>-7.0000000000000007E-2</v>
      </c>
      <c r="AW61" s="92">
        <v>0.2</v>
      </c>
      <c r="AX61" s="92">
        <v>0.33</v>
      </c>
      <c r="AY61" s="92">
        <v>0.15</v>
      </c>
      <c r="AZ61" s="92">
        <v>-0.38</v>
      </c>
      <c r="BA61" s="92">
        <v>0.23</v>
      </c>
      <c r="BB61" s="92">
        <v>-0.77</v>
      </c>
      <c r="BC61" s="92">
        <v>2.64</v>
      </c>
      <c r="BD61" s="92">
        <f t="shared" si="9"/>
        <v>-0.12</v>
      </c>
      <c r="BE61" s="92">
        <f t="shared" si="10"/>
        <v>0.17</v>
      </c>
      <c r="BF61" s="92">
        <f t="shared" si="11"/>
        <v>-0.21</v>
      </c>
      <c r="BG61" s="92">
        <f t="shared" si="12"/>
        <v>0.36</v>
      </c>
      <c r="BH61" s="92">
        <f t="shared" si="13"/>
        <v>0.28999999999999998</v>
      </c>
      <c r="BI61" s="92">
        <f t="shared" si="14"/>
        <v>0.41</v>
      </c>
      <c r="BJ61" s="92">
        <f t="shared" si="15"/>
        <v>0</v>
      </c>
      <c r="BK61" s="92">
        <f t="shared" si="16"/>
        <v>0.12</v>
      </c>
      <c r="BL61" s="92">
        <f t="shared" si="17"/>
        <v>-0.19</v>
      </c>
      <c r="BM61" s="92">
        <f t="shared" si="18"/>
        <v>-7.0000000000000007E-2</v>
      </c>
      <c r="BN61" s="92">
        <f t="shared" si="19"/>
        <v>0.2</v>
      </c>
      <c r="BO61" s="92">
        <f t="shared" si="20"/>
        <v>0.66</v>
      </c>
      <c r="BP61" s="92">
        <f t="shared" si="21"/>
        <v>0.15</v>
      </c>
      <c r="BQ61" s="92">
        <f t="shared" si="22"/>
        <v>-0.38</v>
      </c>
      <c r="BR61" s="92">
        <f t="shared" si="23"/>
        <v>0.23</v>
      </c>
      <c r="BS61" s="92">
        <f t="shared" si="24"/>
        <v>-1.54</v>
      </c>
      <c r="BT61" s="92">
        <f t="shared" si="25"/>
        <v>2.64</v>
      </c>
      <c r="BU61" s="92">
        <f t="shared" si="26"/>
        <v>2.72</v>
      </c>
      <c r="BV61" s="92"/>
      <c r="BW61" s="118" t="s">
        <v>387</v>
      </c>
      <c r="BX61" s="106">
        <f>+AVERAGE('PTI-16'!F76:F93)</f>
        <v>4.5966666666666667</v>
      </c>
      <c r="BY61" s="125" t="str">
        <f>+TEXT(BX61,"##.##")</f>
        <v>5</v>
      </c>
      <c r="BZ61" s="92"/>
      <c r="CA61" s="92"/>
      <c r="CB61" s="92"/>
    </row>
    <row r="62" spans="1:80" ht="12.75" customHeight="1">
      <c r="A62" s="92"/>
      <c r="B62" s="120" t="s">
        <v>75</v>
      </c>
      <c r="C62" s="120"/>
      <c r="D62" s="121"/>
      <c r="E62" s="92"/>
      <c r="F62" s="92">
        <v>6</v>
      </c>
      <c r="G62" s="93" t="s">
        <v>311</v>
      </c>
      <c r="H62" s="92">
        <v>1</v>
      </c>
      <c r="I62" s="92">
        <v>1</v>
      </c>
      <c r="J62" s="92">
        <v>1</v>
      </c>
      <c r="K62" s="92">
        <v>1</v>
      </c>
      <c r="L62" s="92">
        <v>1</v>
      </c>
      <c r="M62" s="92">
        <v>1</v>
      </c>
      <c r="N62" s="92">
        <v>2</v>
      </c>
      <c r="O62" s="92">
        <v>2</v>
      </c>
      <c r="P62" s="92">
        <v>3</v>
      </c>
      <c r="Q62" s="92">
        <v>3</v>
      </c>
      <c r="R62" s="92">
        <v>3</v>
      </c>
      <c r="S62" s="92">
        <v>4</v>
      </c>
      <c r="T62" s="92">
        <v>4</v>
      </c>
      <c r="U62" s="92">
        <v>5</v>
      </c>
      <c r="V62" s="92">
        <v>5</v>
      </c>
      <c r="W62" s="92">
        <v>6</v>
      </c>
      <c r="X62" s="92">
        <v>7</v>
      </c>
      <c r="Y62" s="92">
        <v>7</v>
      </c>
      <c r="Z62" s="92">
        <v>8</v>
      </c>
      <c r="AA62" s="92">
        <v>8</v>
      </c>
      <c r="AB62" s="92">
        <v>9</v>
      </c>
      <c r="AC62" s="92">
        <v>9</v>
      </c>
      <c r="AD62" s="92">
        <v>10</v>
      </c>
      <c r="AE62" s="92">
        <v>10</v>
      </c>
      <c r="AF62" s="92">
        <v>10</v>
      </c>
      <c r="AG62" s="92">
        <v>10</v>
      </c>
      <c r="AH62" s="92">
        <v>10</v>
      </c>
      <c r="AI62" s="92" t="s">
        <v>301</v>
      </c>
      <c r="AJ62" s="92" t="s">
        <v>301</v>
      </c>
      <c r="AK62" s="92" t="s">
        <v>288</v>
      </c>
      <c r="AL62" s="92" t="s">
        <v>388</v>
      </c>
      <c r="AM62" s="92">
        <v>-0.48</v>
      </c>
      <c r="AN62" s="92">
        <v>0.46</v>
      </c>
      <c r="AO62" s="92">
        <v>-0.03</v>
      </c>
      <c r="AP62" s="92">
        <v>0.51</v>
      </c>
      <c r="AQ62" s="92">
        <v>-0.66</v>
      </c>
      <c r="AR62" s="92">
        <v>-0.44</v>
      </c>
      <c r="AS62" s="92">
        <v>0.42</v>
      </c>
      <c r="AT62" s="92">
        <v>0.71</v>
      </c>
      <c r="AU62" s="92">
        <v>-0.14000000000000001</v>
      </c>
      <c r="AV62" s="92">
        <v>-0.44</v>
      </c>
      <c r="AW62" s="92">
        <v>-0.15</v>
      </c>
      <c r="AX62" s="92">
        <v>-0.4</v>
      </c>
      <c r="AY62" s="92">
        <v>-0.16</v>
      </c>
      <c r="AZ62" s="92">
        <v>-0.24</v>
      </c>
      <c r="BA62" s="92">
        <v>0.57999999999999996</v>
      </c>
      <c r="BB62" s="92">
        <v>0.64</v>
      </c>
      <c r="BC62" s="92">
        <v>4.51</v>
      </c>
      <c r="BD62" s="92">
        <f t="shared" si="9"/>
        <v>-0.48</v>
      </c>
      <c r="BE62" s="92">
        <f t="shared" si="10"/>
        <v>0.46</v>
      </c>
      <c r="BF62" s="92">
        <f t="shared" si="11"/>
        <v>-0.03</v>
      </c>
      <c r="BG62" s="92">
        <f t="shared" si="12"/>
        <v>0.51</v>
      </c>
      <c r="BH62" s="92">
        <f t="shared" si="13"/>
        <v>-0.66</v>
      </c>
      <c r="BI62" s="92">
        <f t="shared" si="14"/>
        <v>-0.44</v>
      </c>
      <c r="BJ62" s="92">
        <f t="shared" si="15"/>
        <v>0.42</v>
      </c>
      <c r="BK62" s="92">
        <f t="shared" si="16"/>
        <v>0.71</v>
      </c>
      <c r="BL62" s="92">
        <f t="shared" si="17"/>
        <v>-0.14000000000000001</v>
      </c>
      <c r="BM62" s="92">
        <f t="shared" si="18"/>
        <v>-0.44</v>
      </c>
      <c r="BN62" s="92">
        <f t="shared" si="19"/>
        <v>-0.15</v>
      </c>
      <c r="BO62" s="92">
        <f t="shared" si="20"/>
        <v>-0.8</v>
      </c>
      <c r="BP62" s="92">
        <f t="shared" si="21"/>
        <v>-0.16</v>
      </c>
      <c r="BQ62" s="92">
        <f t="shared" si="22"/>
        <v>-0.24</v>
      </c>
      <c r="BR62" s="92">
        <f t="shared" si="23"/>
        <v>0.57999999999999996</v>
      </c>
      <c r="BS62" s="92">
        <f t="shared" si="24"/>
        <v>1.28</v>
      </c>
      <c r="BT62" s="92">
        <f t="shared" si="25"/>
        <v>4.51</v>
      </c>
      <c r="BU62" s="92">
        <f t="shared" si="26"/>
        <v>4.93</v>
      </c>
      <c r="BV62" s="92"/>
      <c r="BW62" s="118" t="s">
        <v>387</v>
      </c>
      <c r="BX62" s="92"/>
      <c r="BY62" s="92"/>
      <c r="BZ62" s="92"/>
      <c r="CA62" s="92"/>
      <c r="CB62" s="92"/>
    </row>
    <row r="63" spans="1:80" ht="12.75" customHeight="1">
      <c r="A63" s="92"/>
      <c r="B63" s="92"/>
      <c r="C63" s="92"/>
      <c r="D63" s="92"/>
      <c r="E63" s="92"/>
      <c r="F63" s="92">
        <v>7</v>
      </c>
      <c r="G63" s="93" t="s">
        <v>313</v>
      </c>
      <c r="H63" s="92">
        <v>1</v>
      </c>
      <c r="I63" s="92">
        <v>1</v>
      </c>
      <c r="J63" s="92">
        <v>1</v>
      </c>
      <c r="K63" s="92">
        <v>1</v>
      </c>
      <c r="L63" s="92">
        <v>1</v>
      </c>
      <c r="M63" s="92">
        <v>2</v>
      </c>
      <c r="N63" s="92">
        <v>2</v>
      </c>
      <c r="O63" s="92">
        <v>3</v>
      </c>
      <c r="P63" s="92">
        <v>3</v>
      </c>
      <c r="Q63" s="92">
        <v>4</v>
      </c>
      <c r="R63" s="92">
        <v>4</v>
      </c>
      <c r="S63" s="92">
        <v>5</v>
      </c>
      <c r="T63" s="92">
        <v>5</v>
      </c>
      <c r="U63" s="92">
        <v>5</v>
      </c>
      <c r="V63" s="92">
        <v>6</v>
      </c>
      <c r="W63" s="92">
        <v>6</v>
      </c>
      <c r="X63" s="92">
        <v>7</v>
      </c>
      <c r="Y63" s="92">
        <v>7</v>
      </c>
      <c r="Z63" s="92">
        <v>8</v>
      </c>
      <c r="AA63" s="92">
        <v>8</v>
      </c>
      <c r="AB63" s="92">
        <v>9</v>
      </c>
      <c r="AC63" s="92">
        <v>9</v>
      </c>
      <c r="AD63" s="92">
        <v>10</v>
      </c>
      <c r="AE63" s="92">
        <v>10</v>
      </c>
      <c r="AF63" s="92">
        <v>10</v>
      </c>
      <c r="AG63" s="92">
        <v>10</v>
      </c>
      <c r="AH63" s="92">
        <v>10</v>
      </c>
      <c r="AI63" s="92" t="s">
        <v>301</v>
      </c>
      <c r="AJ63" s="92" t="s">
        <v>301</v>
      </c>
      <c r="AK63" s="92" t="s">
        <v>288</v>
      </c>
      <c r="AL63" s="92" t="s">
        <v>389</v>
      </c>
      <c r="AM63" s="92">
        <v>-0.47</v>
      </c>
      <c r="AN63" s="92">
        <v>0.51</v>
      </c>
      <c r="AO63" s="92">
        <v>-7.0000000000000007E-2</v>
      </c>
      <c r="AP63" s="92">
        <v>0.56000000000000005</v>
      </c>
      <c r="AQ63" s="92">
        <v>-0.61</v>
      </c>
      <c r="AR63" s="92">
        <v>-0.46</v>
      </c>
      <c r="AS63" s="92">
        <v>0.4</v>
      </c>
      <c r="AT63" s="92">
        <v>0.67</v>
      </c>
      <c r="AU63" s="92">
        <v>-0.18</v>
      </c>
      <c r="AV63" s="92">
        <v>-0.4</v>
      </c>
      <c r="AW63" s="92">
        <v>-0.18</v>
      </c>
      <c r="AX63" s="92">
        <v>-0.37</v>
      </c>
      <c r="AY63" s="92">
        <v>-0.2</v>
      </c>
      <c r="AZ63" s="92">
        <v>-0.23</v>
      </c>
      <c r="BA63" s="92">
        <v>0.56000000000000005</v>
      </c>
      <c r="BB63" s="92">
        <v>0.55000000000000004</v>
      </c>
      <c r="BC63" s="92">
        <v>5.0599999999999996</v>
      </c>
      <c r="BD63" s="92">
        <f t="shared" si="9"/>
        <v>-0.47</v>
      </c>
      <c r="BE63" s="92">
        <f t="shared" si="10"/>
        <v>0.51</v>
      </c>
      <c r="BF63" s="92">
        <f t="shared" si="11"/>
        <v>-7.0000000000000007E-2</v>
      </c>
      <c r="BG63" s="92">
        <f t="shared" si="12"/>
        <v>0.56000000000000005</v>
      </c>
      <c r="BH63" s="92">
        <f t="shared" si="13"/>
        <v>-0.61</v>
      </c>
      <c r="BI63" s="92">
        <f t="shared" si="14"/>
        <v>-0.46</v>
      </c>
      <c r="BJ63" s="92">
        <f t="shared" si="15"/>
        <v>0.4</v>
      </c>
      <c r="BK63" s="92">
        <f t="shared" si="16"/>
        <v>0.67</v>
      </c>
      <c r="BL63" s="92">
        <f t="shared" si="17"/>
        <v>-0.18</v>
      </c>
      <c r="BM63" s="92">
        <f t="shared" si="18"/>
        <v>-0.4</v>
      </c>
      <c r="BN63" s="92">
        <f t="shared" si="19"/>
        <v>-0.18</v>
      </c>
      <c r="BO63" s="92">
        <f t="shared" si="20"/>
        <v>-0.74</v>
      </c>
      <c r="BP63" s="92">
        <f t="shared" si="21"/>
        <v>-0.2</v>
      </c>
      <c r="BQ63" s="92">
        <f t="shared" si="22"/>
        <v>-0.23</v>
      </c>
      <c r="BR63" s="92">
        <f t="shared" si="23"/>
        <v>0.56000000000000005</v>
      </c>
      <c r="BS63" s="92">
        <f t="shared" si="24"/>
        <v>1.1000000000000001</v>
      </c>
      <c r="BT63" s="92">
        <f t="shared" si="25"/>
        <v>5.0599999999999996</v>
      </c>
      <c r="BU63" s="92">
        <f t="shared" si="26"/>
        <v>5.32</v>
      </c>
      <c r="BV63" s="92"/>
      <c r="BW63" s="118" t="s">
        <v>387</v>
      </c>
      <c r="BX63" s="92"/>
      <c r="BY63" s="92"/>
      <c r="BZ63" s="92"/>
      <c r="CA63" s="92"/>
      <c r="CB63" s="92"/>
    </row>
    <row r="64" spans="1:80" ht="12.75" customHeight="1">
      <c r="A64" s="92"/>
      <c r="B64" s="92"/>
      <c r="C64" s="92"/>
      <c r="D64" s="92"/>
      <c r="E64" s="92"/>
      <c r="F64" s="92">
        <v>8</v>
      </c>
      <c r="G64" s="93" t="s">
        <v>315</v>
      </c>
      <c r="H64" s="92">
        <v>1</v>
      </c>
      <c r="I64" s="92">
        <v>1</v>
      </c>
      <c r="J64" s="92">
        <v>1</v>
      </c>
      <c r="K64" s="92">
        <v>1</v>
      </c>
      <c r="L64" s="92">
        <v>1</v>
      </c>
      <c r="M64" s="92">
        <v>1</v>
      </c>
      <c r="N64" s="92">
        <v>1</v>
      </c>
      <c r="O64" s="92">
        <v>1</v>
      </c>
      <c r="P64" s="92">
        <v>1</v>
      </c>
      <c r="Q64" s="92">
        <v>1</v>
      </c>
      <c r="R64" s="92">
        <v>1</v>
      </c>
      <c r="S64" s="92">
        <v>1</v>
      </c>
      <c r="T64" s="92">
        <v>1</v>
      </c>
      <c r="U64" s="92">
        <v>2</v>
      </c>
      <c r="V64" s="92">
        <v>3</v>
      </c>
      <c r="W64" s="92">
        <v>4</v>
      </c>
      <c r="X64" s="92">
        <v>4</v>
      </c>
      <c r="Y64" s="92">
        <v>5</v>
      </c>
      <c r="Z64" s="92">
        <v>5</v>
      </c>
      <c r="AA64" s="92">
        <v>6</v>
      </c>
      <c r="AB64" s="92">
        <v>6</v>
      </c>
      <c r="AC64" s="92">
        <v>6</v>
      </c>
      <c r="AD64" s="92">
        <v>7</v>
      </c>
      <c r="AE64" s="92">
        <v>7</v>
      </c>
      <c r="AF64" s="92">
        <v>8</v>
      </c>
      <c r="AG64" s="92">
        <v>8</v>
      </c>
      <c r="AH64" s="92">
        <v>9</v>
      </c>
      <c r="AI64" s="92" t="s">
        <v>301</v>
      </c>
      <c r="AJ64" s="92" t="s">
        <v>301</v>
      </c>
      <c r="AK64" s="92"/>
      <c r="AL64" s="92" t="s">
        <v>390</v>
      </c>
      <c r="AM64" s="92">
        <v>-0.03</v>
      </c>
      <c r="AN64" s="92">
        <v>-0.01</v>
      </c>
      <c r="AO64" s="92">
        <v>0.3</v>
      </c>
      <c r="AP64" s="92">
        <v>0.41</v>
      </c>
      <c r="AQ64" s="92">
        <v>-0.8</v>
      </c>
      <c r="AR64" s="92">
        <v>-0.48</v>
      </c>
      <c r="AS64" s="92">
        <v>0.28999999999999998</v>
      </c>
      <c r="AT64" s="92">
        <v>0.53</v>
      </c>
      <c r="AU64" s="92">
        <v>-0.06</v>
      </c>
      <c r="AV64" s="92">
        <v>-0.19</v>
      </c>
      <c r="AW64" s="92">
        <v>-0.24</v>
      </c>
      <c r="AX64" s="92">
        <v>-0.57999999999999996</v>
      </c>
      <c r="AY64" s="92">
        <v>-0.4</v>
      </c>
      <c r="AZ64" s="92">
        <v>-0.49</v>
      </c>
      <c r="BA64" s="92">
        <v>0.49</v>
      </c>
      <c r="BB64" s="92">
        <v>0.8</v>
      </c>
      <c r="BC64" s="92">
        <v>8.0299999999999994</v>
      </c>
      <c r="BD64" s="92">
        <f t="shared" si="9"/>
        <v>-0.03</v>
      </c>
      <c r="BE64" s="92">
        <f t="shared" si="10"/>
        <v>-0.01</v>
      </c>
      <c r="BF64" s="92">
        <f t="shared" si="11"/>
        <v>0.3</v>
      </c>
      <c r="BG64" s="92">
        <f t="shared" si="12"/>
        <v>0.41</v>
      </c>
      <c r="BH64" s="92">
        <f t="shared" si="13"/>
        <v>-0.8</v>
      </c>
      <c r="BI64" s="92">
        <f t="shared" si="14"/>
        <v>-0.48</v>
      </c>
      <c r="BJ64" s="92">
        <f t="shared" si="15"/>
        <v>0.28999999999999998</v>
      </c>
      <c r="BK64" s="92">
        <f t="shared" si="16"/>
        <v>0.53</v>
      </c>
      <c r="BL64" s="92">
        <f t="shared" si="17"/>
        <v>-0.06</v>
      </c>
      <c r="BM64" s="92">
        <f t="shared" si="18"/>
        <v>-0.19</v>
      </c>
      <c r="BN64" s="92">
        <f t="shared" si="19"/>
        <v>-0.24</v>
      </c>
      <c r="BO64" s="92">
        <f t="shared" si="20"/>
        <v>-1.1599999999999999</v>
      </c>
      <c r="BP64" s="92">
        <f t="shared" si="21"/>
        <v>-0.4</v>
      </c>
      <c r="BQ64" s="92">
        <f t="shared" si="22"/>
        <v>-0.49</v>
      </c>
      <c r="BR64" s="92">
        <f t="shared" si="23"/>
        <v>0.49</v>
      </c>
      <c r="BS64" s="92">
        <f t="shared" si="24"/>
        <v>1.6</v>
      </c>
      <c r="BT64" s="92">
        <f t="shared" si="25"/>
        <v>8.0299999999999994</v>
      </c>
      <c r="BU64" s="92">
        <f t="shared" si="26"/>
        <v>7.7899999999999991</v>
      </c>
      <c r="BV64" s="92"/>
      <c r="BW64" s="118" t="s">
        <v>387</v>
      </c>
      <c r="BX64" s="92"/>
      <c r="BY64" s="92"/>
      <c r="BZ64" s="92"/>
      <c r="CA64" s="92"/>
      <c r="CB64" s="92"/>
    </row>
    <row r="65" spans="1:80" ht="12.75" customHeight="1">
      <c r="A65" s="92"/>
      <c r="B65" s="92"/>
      <c r="C65" s="92"/>
      <c r="D65" s="92"/>
      <c r="E65" s="92"/>
      <c r="F65" s="92">
        <v>9</v>
      </c>
      <c r="G65" s="93" t="s">
        <v>318</v>
      </c>
      <c r="H65" s="92">
        <v>1</v>
      </c>
      <c r="I65" s="92">
        <v>1</v>
      </c>
      <c r="J65" s="92">
        <v>1</v>
      </c>
      <c r="K65" s="92">
        <v>1</v>
      </c>
      <c r="L65" s="92">
        <v>1</v>
      </c>
      <c r="M65" s="92">
        <v>1</v>
      </c>
      <c r="N65" s="92">
        <v>1</v>
      </c>
      <c r="O65" s="92">
        <v>1</v>
      </c>
      <c r="P65" s="92">
        <v>1</v>
      </c>
      <c r="Q65" s="92">
        <v>1</v>
      </c>
      <c r="R65" s="92">
        <v>1</v>
      </c>
      <c r="S65" s="92">
        <v>1</v>
      </c>
      <c r="T65" s="92">
        <v>1</v>
      </c>
      <c r="U65" s="92">
        <v>2</v>
      </c>
      <c r="V65" s="92">
        <v>2</v>
      </c>
      <c r="W65" s="92">
        <v>3</v>
      </c>
      <c r="X65" s="92">
        <v>3</v>
      </c>
      <c r="Y65" s="92">
        <v>4</v>
      </c>
      <c r="Z65" s="92">
        <v>4</v>
      </c>
      <c r="AA65" s="92">
        <v>5</v>
      </c>
      <c r="AB65" s="92">
        <v>5</v>
      </c>
      <c r="AC65" s="92">
        <v>6</v>
      </c>
      <c r="AD65" s="92">
        <v>7</v>
      </c>
      <c r="AE65" s="92">
        <v>7</v>
      </c>
      <c r="AF65" s="92">
        <v>8</v>
      </c>
      <c r="AG65" s="92">
        <v>8</v>
      </c>
      <c r="AH65" s="92">
        <v>9</v>
      </c>
      <c r="AI65" s="92" t="s">
        <v>301</v>
      </c>
      <c r="AJ65" s="92" t="s">
        <v>301</v>
      </c>
      <c r="AK65" s="92" t="s">
        <v>288</v>
      </c>
      <c r="AL65" s="92" t="s">
        <v>391</v>
      </c>
      <c r="AM65" s="92">
        <v>0.85</v>
      </c>
      <c r="AN65" s="92">
        <v>0.63</v>
      </c>
      <c r="AO65" s="92">
        <v>-0.28999999999999998</v>
      </c>
      <c r="AP65" s="92">
        <v>-0.34</v>
      </c>
      <c r="AQ65" s="92">
        <v>-0.22</v>
      </c>
      <c r="AR65" s="92">
        <v>0.34</v>
      </c>
      <c r="AS65" s="92">
        <v>-0.05</v>
      </c>
      <c r="AT65" s="92">
        <v>-0.74</v>
      </c>
      <c r="AU65" s="92">
        <v>0.41</v>
      </c>
      <c r="AV65" s="92">
        <v>0.41</v>
      </c>
      <c r="AW65" s="92">
        <v>0.11</v>
      </c>
      <c r="AX65" s="92">
        <v>0.15</v>
      </c>
      <c r="AY65" s="92">
        <v>-0.02</v>
      </c>
      <c r="AZ65" s="92">
        <v>0.27</v>
      </c>
      <c r="BA65" s="92">
        <v>-0.04</v>
      </c>
      <c r="BB65" s="92">
        <v>-0.48</v>
      </c>
      <c r="BC65" s="92">
        <v>0.06</v>
      </c>
      <c r="BD65" s="92">
        <f t="shared" si="9"/>
        <v>0.85</v>
      </c>
      <c r="BE65" s="92">
        <f t="shared" si="10"/>
        <v>0.63</v>
      </c>
      <c r="BF65" s="92">
        <f t="shared" si="11"/>
        <v>-0.28999999999999998</v>
      </c>
      <c r="BG65" s="92">
        <f t="shared" si="12"/>
        <v>-0.34</v>
      </c>
      <c r="BH65" s="92">
        <f t="shared" si="13"/>
        <v>-0.22</v>
      </c>
      <c r="BI65" s="92">
        <f t="shared" si="14"/>
        <v>0.34</v>
      </c>
      <c r="BJ65" s="92">
        <f t="shared" si="15"/>
        <v>-0.05</v>
      </c>
      <c r="BK65" s="92">
        <f t="shared" si="16"/>
        <v>-0.74</v>
      </c>
      <c r="BL65" s="92">
        <f t="shared" si="17"/>
        <v>0.41</v>
      </c>
      <c r="BM65" s="92">
        <f t="shared" si="18"/>
        <v>0.41</v>
      </c>
      <c r="BN65" s="92">
        <f t="shared" si="19"/>
        <v>0.11</v>
      </c>
      <c r="BO65" s="92">
        <f t="shared" si="20"/>
        <v>0.3</v>
      </c>
      <c r="BP65" s="92">
        <f t="shared" si="21"/>
        <v>-0.02</v>
      </c>
      <c r="BQ65" s="92">
        <f t="shared" si="22"/>
        <v>0.27</v>
      </c>
      <c r="BR65" s="92">
        <f t="shared" si="23"/>
        <v>-0.04</v>
      </c>
      <c r="BS65" s="92">
        <f t="shared" si="24"/>
        <v>-0.96</v>
      </c>
      <c r="BT65" s="92">
        <f t="shared" si="25"/>
        <v>0.06</v>
      </c>
      <c r="BU65" s="92">
        <f t="shared" si="26"/>
        <v>0.72</v>
      </c>
      <c r="BV65" s="92"/>
      <c r="BW65" s="118" t="s">
        <v>387</v>
      </c>
      <c r="BX65" s="92"/>
      <c r="BY65" s="92"/>
      <c r="BZ65" s="92"/>
      <c r="CA65" s="92"/>
      <c r="CB65" s="92"/>
    </row>
    <row r="66" spans="1:80" ht="12.75" customHeight="1">
      <c r="A66" s="92"/>
      <c r="B66" s="92"/>
      <c r="C66" s="92"/>
      <c r="D66" s="92"/>
      <c r="E66" s="92"/>
      <c r="F66" s="92">
        <v>10</v>
      </c>
      <c r="G66" s="93" t="s">
        <v>320</v>
      </c>
      <c r="H66" s="92">
        <v>1</v>
      </c>
      <c r="I66" s="92">
        <v>1</v>
      </c>
      <c r="J66" s="92">
        <v>1</v>
      </c>
      <c r="K66" s="92">
        <v>1</v>
      </c>
      <c r="L66" s="92">
        <v>1</v>
      </c>
      <c r="M66" s="92">
        <v>1</v>
      </c>
      <c r="N66" s="92">
        <v>1</v>
      </c>
      <c r="O66" s="92">
        <v>1</v>
      </c>
      <c r="P66" s="92">
        <v>1</v>
      </c>
      <c r="Q66" s="92">
        <v>1</v>
      </c>
      <c r="R66" s="92">
        <v>1</v>
      </c>
      <c r="S66" s="92">
        <v>1</v>
      </c>
      <c r="T66" s="92">
        <v>1</v>
      </c>
      <c r="U66" s="92">
        <v>2</v>
      </c>
      <c r="V66" s="92">
        <v>3</v>
      </c>
      <c r="W66" s="92">
        <v>4</v>
      </c>
      <c r="X66" s="92">
        <v>4</v>
      </c>
      <c r="Y66" s="92">
        <v>5</v>
      </c>
      <c r="Z66" s="92">
        <v>5</v>
      </c>
      <c r="AA66" s="92">
        <v>6</v>
      </c>
      <c r="AB66" s="92">
        <v>6</v>
      </c>
      <c r="AC66" s="92">
        <v>6</v>
      </c>
      <c r="AD66" s="92">
        <v>7</v>
      </c>
      <c r="AE66" s="92">
        <v>7</v>
      </c>
      <c r="AF66" s="92">
        <v>8</v>
      </c>
      <c r="AG66" s="92">
        <v>8</v>
      </c>
      <c r="AH66" s="92">
        <v>9</v>
      </c>
      <c r="AI66" s="92" t="s">
        <v>301</v>
      </c>
      <c r="AJ66" s="92" t="s">
        <v>301</v>
      </c>
      <c r="AK66" s="92"/>
      <c r="AL66" s="92" t="s">
        <v>392</v>
      </c>
      <c r="AM66" s="92">
        <v>-0.23</v>
      </c>
      <c r="AN66" s="92">
        <v>0.41</v>
      </c>
      <c r="AO66" s="92">
        <v>0.28000000000000003</v>
      </c>
      <c r="AP66" s="92">
        <v>0.15</v>
      </c>
      <c r="AQ66" s="92">
        <v>-0.36</v>
      </c>
      <c r="AR66" s="92">
        <v>-0.1</v>
      </c>
      <c r="AS66" s="92">
        <v>0.1</v>
      </c>
      <c r="AT66" s="92">
        <v>-0.16</v>
      </c>
      <c r="AU66" s="92">
        <v>-0.32</v>
      </c>
      <c r="AV66" s="92">
        <v>-0.31</v>
      </c>
      <c r="AW66" s="92">
        <v>0.27</v>
      </c>
      <c r="AX66" s="92">
        <v>-0.56000000000000005</v>
      </c>
      <c r="AY66" s="92">
        <v>-0.44</v>
      </c>
      <c r="AZ66" s="92">
        <v>-0.06</v>
      </c>
      <c r="BA66" s="92">
        <v>0.1</v>
      </c>
      <c r="BB66" s="92">
        <v>0.84</v>
      </c>
      <c r="BC66" s="92">
        <v>7.64</v>
      </c>
      <c r="BD66" s="92">
        <f t="shared" si="9"/>
        <v>-0.23</v>
      </c>
      <c r="BE66" s="92">
        <f t="shared" si="10"/>
        <v>0.41</v>
      </c>
      <c r="BF66" s="92">
        <f t="shared" si="11"/>
        <v>0.28000000000000003</v>
      </c>
      <c r="BG66" s="92">
        <f t="shared" si="12"/>
        <v>0.15</v>
      </c>
      <c r="BH66" s="92">
        <f t="shared" si="13"/>
        <v>-0.36</v>
      </c>
      <c r="BI66" s="92">
        <f t="shared" si="14"/>
        <v>-0.1</v>
      </c>
      <c r="BJ66" s="92">
        <f t="shared" si="15"/>
        <v>0.1</v>
      </c>
      <c r="BK66" s="92">
        <f t="shared" si="16"/>
        <v>-0.16</v>
      </c>
      <c r="BL66" s="92">
        <f t="shared" si="17"/>
        <v>-0.32</v>
      </c>
      <c r="BM66" s="92">
        <f t="shared" si="18"/>
        <v>-0.31</v>
      </c>
      <c r="BN66" s="92">
        <f t="shared" si="19"/>
        <v>0.27</v>
      </c>
      <c r="BO66" s="92">
        <f t="shared" si="20"/>
        <v>-1.1200000000000001</v>
      </c>
      <c r="BP66" s="92">
        <f t="shared" si="21"/>
        <v>-0.44</v>
      </c>
      <c r="BQ66" s="92">
        <f t="shared" si="22"/>
        <v>-0.06</v>
      </c>
      <c r="BR66" s="92">
        <f t="shared" si="23"/>
        <v>0.1</v>
      </c>
      <c r="BS66" s="92">
        <f t="shared" si="24"/>
        <v>1.68</v>
      </c>
      <c r="BT66" s="92">
        <f t="shared" si="25"/>
        <v>7.64</v>
      </c>
      <c r="BU66" s="92">
        <f t="shared" si="26"/>
        <v>7.5299999999999994</v>
      </c>
      <c r="BV66" s="92"/>
      <c r="BW66" s="118" t="s">
        <v>387</v>
      </c>
      <c r="BX66" s="92"/>
      <c r="BY66" s="92"/>
      <c r="BZ66" s="92"/>
      <c r="CA66" s="92"/>
      <c r="CB66" s="92"/>
    </row>
    <row r="67" spans="1:80" ht="12.75" customHeight="1">
      <c r="A67" s="92"/>
      <c r="B67" s="92"/>
      <c r="C67" s="92"/>
      <c r="D67" s="92"/>
      <c r="E67" s="92"/>
      <c r="F67" s="92">
        <v>11</v>
      </c>
      <c r="G67" s="93" t="s">
        <v>322</v>
      </c>
      <c r="H67" s="92">
        <v>1</v>
      </c>
      <c r="I67" s="92">
        <v>1</v>
      </c>
      <c r="J67" s="92">
        <v>1</v>
      </c>
      <c r="K67" s="92">
        <v>1</v>
      </c>
      <c r="L67" s="92">
        <v>1</v>
      </c>
      <c r="M67" s="92">
        <v>1</v>
      </c>
      <c r="N67" s="92">
        <v>1</v>
      </c>
      <c r="O67" s="92">
        <v>1</v>
      </c>
      <c r="P67" s="92">
        <v>1</v>
      </c>
      <c r="Q67" s="92">
        <v>2</v>
      </c>
      <c r="R67" s="92">
        <v>2</v>
      </c>
      <c r="S67" s="92">
        <v>3</v>
      </c>
      <c r="T67" s="92">
        <v>3</v>
      </c>
      <c r="U67" s="92">
        <v>4</v>
      </c>
      <c r="V67" s="92">
        <v>4</v>
      </c>
      <c r="W67" s="92">
        <v>4</v>
      </c>
      <c r="X67" s="92">
        <v>5</v>
      </c>
      <c r="Y67" s="92">
        <v>5</v>
      </c>
      <c r="Z67" s="92">
        <v>6</v>
      </c>
      <c r="AA67" s="92">
        <v>6</v>
      </c>
      <c r="AB67" s="92">
        <v>7</v>
      </c>
      <c r="AC67" s="92">
        <v>7</v>
      </c>
      <c r="AD67" s="92">
        <v>7</v>
      </c>
      <c r="AE67" s="92">
        <v>8</v>
      </c>
      <c r="AF67" s="92">
        <v>8</v>
      </c>
      <c r="AG67" s="92">
        <v>9</v>
      </c>
      <c r="AH67" s="92">
        <v>9</v>
      </c>
      <c r="AI67" s="92" t="s">
        <v>301</v>
      </c>
      <c r="AJ67" s="92" t="s">
        <v>301</v>
      </c>
      <c r="AK67" s="92"/>
      <c r="AL67" s="92" t="s">
        <v>393</v>
      </c>
      <c r="AM67" s="92">
        <v>-0.56000000000000005</v>
      </c>
      <c r="AN67" s="92">
        <v>0.5</v>
      </c>
      <c r="AO67" s="92">
        <v>0.04</v>
      </c>
      <c r="AP67" s="92">
        <v>0.38</v>
      </c>
      <c r="AQ67" s="92">
        <v>-0.59</v>
      </c>
      <c r="AR67" s="92">
        <v>-0.48</v>
      </c>
      <c r="AS67" s="92">
        <v>0.43</v>
      </c>
      <c r="AT67" s="92">
        <v>0.62</v>
      </c>
      <c r="AU67" s="92">
        <v>-0.17</v>
      </c>
      <c r="AV67" s="92">
        <v>-0.43</v>
      </c>
      <c r="AW67" s="92">
        <v>-0.1</v>
      </c>
      <c r="AX67" s="92">
        <v>-0.32</v>
      </c>
      <c r="AY67" s="92">
        <v>-0.19</v>
      </c>
      <c r="AZ67" s="92">
        <v>-0.27</v>
      </c>
      <c r="BA67" s="92">
        <v>0.56999999999999995</v>
      </c>
      <c r="BB67" s="92">
        <v>0.66</v>
      </c>
      <c r="BC67" s="92">
        <v>5</v>
      </c>
      <c r="BD67" s="92">
        <f t="shared" si="9"/>
        <v>-0.56000000000000005</v>
      </c>
      <c r="BE67" s="92">
        <f t="shared" si="10"/>
        <v>0.5</v>
      </c>
      <c r="BF67" s="92">
        <f t="shared" si="11"/>
        <v>0.04</v>
      </c>
      <c r="BG67" s="92">
        <f t="shared" si="12"/>
        <v>0.38</v>
      </c>
      <c r="BH67" s="92">
        <f t="shared" si="13"/>
        <v>-0.59</v>
      </c>
      <c r="BI67" s="92">
        <f t="shared" si="14"/>
        <v>-0.48</v>
      </c>
      <c r="BJ67" s="92">
        <f t="shared" si="15"/>
        <v>0.43</v>
      </c>
      <c r="BK67" s="92">
        <f t="shared" si="16"/>
        <v>0.62</v>
      </c>
      <c r="BL67" s="92">
        <f t="shared" si="17"/>
        <v>-0.17</v>
      </c>
      <c r="BM67" s="92">
        <f t="shared" si="18"/>
        <v>-0.43</v>
      </c>
      <c r="BN67" s="92">
        <f t="shared" si="19"/>
        <v>-0.1</v>
      </c>
      <c r="BO67" s="92">
        <f t="shared" si="20"/>
        <v>-0.64</v>
      </c>
      <c r="BP67" s="92">
        <f t="shared" si="21"/>
        <v>-0.19</v>
      </c>
      <c r="BQ67" s="92">
        <f t="shared" si="22"/>
        <v>-0.27</v>
      </c>
      <c r="BR67" s="92">
        <f t="shared" si="23"/>
        <v>0.56999999999999995</v>
      </c>
      <c r="BS67" s="92">
        <f t="shared" si="24"/>
        <v>1.32</v>
      </c>
      <c r="BT67" s="92">
        <f t="shared" si="25"/>
        <v>5</v>
      </c>
      <c r="BU67" s="92">
        <f t="shared" si="26"/>
        <v>5.43</v>
      </c>
      <c r="BV67" s="92"/>
      <c r="BW67" s="118" t="s">
        <v>387</v>
      </c>
      <c r="BX67" s="92"/>
      <c r="BY67" s="92"/>
      <c r="BZ67" s="92"/>
      <c r="CA67" s="92"/>
      <c r="CB67" s="92"/>
    </row>
    <row r="68" spans="1:80" ht="12.75" customHeight="1">
      <c r="A68" s="92"/>
      <c r="B68" s="92"/>
      <c r="C68" s="92"/>
      <c r="D68" s="92"/>
      <c r="E68" s="92"/>
      <c r="F68" s="92">
        <v>12</v>
      </c>
      <c r="G68" s="93" t="s">
        <v>324</v>
      </c>
      <c r="H68" s="92">
        <v>1</v>
      </c>
      <c r="I68" s="92">
        <v>1</v>
      </c>
      <c r="J68" s="92">
        <v>1</v>
      </c>
      <c r="K68" s="92">
        <v>1</v>
      </c>
      <c r="L68" s="92">
        <v>1</v>
      </c>
      <c r="M68" s="92">
        <v>1</v>
      </c>
      <c r="N68" s="92">
        <v>1</v>
      </c>
      <c r="O68" s="92">
        <v>1</v>
      </c>
      <c r="P68" s="92">
        <v>1</v>
      </c>
      <c r="Q68" s="92">
        <v>1</v>
      </c>
      <c r="R68" s="92">
        <v>2</v>
      </c>
      <c r="S68" s="92">
        <v>2</v>
      </c>
      <c r="T68" s="92">
        <v>3</v>
      </c>
      <c r="U68" s="92">
        <v>3</v>
      </c>
      <c r="V68" s="92">
        <v>4</v>
      </c>
      <c r="W68" s="92">
        <v>4</v>
      </c>
      <c r="X68" s="92">
        <v>5</v>
      </c>
      <c r="Y68" s="92">
        <v>5</v>
      </c>
      <c r="Z68" s="92">
        <v>6</v>
      </c>
      <c r="AA68" s="92">
        <v>6</v>
      </c>
      <c r="AB68" s="92">
        <v>7</v>
      </c>
      <c r="AC68" s="92">
        <v>7</v>
      </c>
      <c r="AD68" s="92">
        <v>8</v>
      </c>
      <c r="AE68" s="92">
        <v>8</v>
      </c>
      <c r="AF68" s="92">
        <v>9</v>
      </c>
      <c r="AG68" s="92">
        <v>9</v>
      </c>
      <c r="AH68" s="92">
        <v>10</v>
      </c>
      <c r="AI68" s="92" t="s">
        <v>301</v>
      </c>
      <c r="AJ68" s="92" t="s">
        <v>301</v>
      </c>
      <c r="AK68" s="92" t="s">
        <v>288</v>
      </c>
      <c r="AL68" s="92" t="s">
        <v>394</v>
      </c>
      <c r="AM68" s="92">
        <v>0.05</v>
      </c>
      <c r="AN68" s="92">
        <v>0.85</v>
      </c>
      <c r="AO68" s="92">
        <v>-0.06</v>
      </c>
      <c r="AP68" s="92">
        <v>-0.1</v>
      </c>
      <c r="AQ68" s="92">
        <v>0.05</v>
      </c>
      <c r="AR68" s="92">
        <v>-0.23</v>
      </c>
      <c r="AS68" s="92">
        <v>-0.26</v>
      </c>
      <c r="AT68" s="92">
        <v>-0.03</v>
      </c>
      <c r="AU68" s="92">
        <v>-0.13</v>
      </c>
      <c r="AV68" s="92">
        <v>-0.53</v>
      </c>
      <c r="AW68" s="92">
        <v>-0.17</v>
      </c>
      <c r="AX68" s="92">
        <v>-0.09</v>
      </c>
      <c r="AY68" s="92">
        <v>0.28999999999999998</v>
      </c>
      <c r="AZ68" s="92">
        <v>0.08</v>
      </c>
      <c r="BA68" s="92">
        <v>0.3</v>
      </c>
      <c r="BB68" s="92">
        <v>0.18</v>
      </c>
      <c r="BC68" s="92">
        <v>6.1</v>
      </c>
      <c r="BD68" s="92">
        <f t="shared" si="9"/>
        <v>0.05</v>
      </c>
      <c r="BE68" s="92">
        <f t="shared" si="10"/>
        <v>0.85</v>
      </c>
      <c r="BF68" s="92">
        <f t="shared" si="11"/>
        <v>-0.06</v>
      </c>
      <c r="BG68" s="92">
        <f t="shared" si="12"/>
        <v>-0.1</v>
      </c>
      <c r="BH68" s="92">
        <f t="shared" si="13"/>
        <v>0.05</v>
      </c>
      <c r="BI68" s="92">
        <f t="shared" si="14"/>
        <v>-0.23</v>
      </c>
      <c r="BJ68" s="92">
        <f t="shared" si="15"/>
        <v>-0.26</v>
      </c>
      <c r="BK68" s="92">
        <f t="shared" si="16"/>
        <v>-0.03</v>
      </c>
      <c r="BL68" s="92">
        <f t="shared" si="17"/>
        <v>-0.13</v>
      </c>
      <c r="BM68" s="92">
        <f t="shared" si="18"/>
        <v>-0.53</v>
      </c>
      <c r="BN68" s="92">
        <f t="shared" si="19"/>
        <v>-0.17</v>
      </c>
      <c r="BO68" s="92">
        <f t="shared" si="20"/>
        <v>-0.18</v>
      </c>
      <c r="BP68" s="92">
        <f t="shared" si="21"/>
        <v>0.28999999999999998</v>
      </c>
      <c r="BQ68" s="92">
        <f t="shared" si="22"/>
        <v>0.08</v>
      </c>
      <c r="BR68" s="92">
        <f t="shared" si="23"/>
        <v>0.3</v>
      </c>
      <c r="BS68" s="92">
        <f t="shared" si="24"/>
        <v>0.36</v>
      </c>
      <c r="BT68" s="92">
        <f t="shared" si="25"/>
        <v>6.1</v>
      </c>
      <c r="BU68" s="92">
        <f t="shared" si="26"/>
        <v>6.39</v>
      </c>
      <c r="BV68" s="92"/>
      <c r="BW68" s="118" t="s">
        <v>387</v>
      </c>
      <c r="BX68" s="92"/>
      <c r="BY68" s="92"/>
      <c r="BZ68" s="92"/>
      <c r="CA68" s="92"/>
      <c r="CB68" s="92"/>
    </row>
    <row r="69" spans="1:80" ht="12.75" customHeight="1">
      <c r="A69" s="92"/>
      <c r="B69" s="92"/>
      <c r="C69" s="92"/>
      <c r="D69" s="92"/>
      <c r="E69" s="92"/>
      <c r="F69" s="92">
        <v>13</v>
      </c>
      <c r="G69" s="93" t="s">
        <v>326</v>
      </c>
      <c r="H69" s="92">
        <v>1</v>
      </c>
      <c r="I69" s="92">
        <v>1</v>
      </c>
      <c r="J69" s="92">
        <v>1</v>
      </c>
      <c r="K69" s="92">
        <v>1</v>
      </c>
      <c r="L69" s="92">
        <v>1</v>
      </c>
      <c r="M69" s="92">
        <v>1</v>
      </c>
      <c r="N69" s="92">
        <v>2</v>
      </c>
      <c r="O69" s="92">
        <v>2</v>
      </c>
      <c r="P69" s="92">
        <v>3</v>
      </c>
      <c r="Q69" s="92">
        <v>3</v>
      </c>
      <c r="R69" s="92">
        <v>4</v>
      </c>
      <c r="S69" s="92">
        <v>4</v>
      </c>
      <c r="T69" s="92">
        <v>5</v>
      </c>
      <c r="U69" s="92">
        <v>5</v>
      </c>
      <c r="V69" s="92">
        <v>6</v>
      </c>
      <c r="W69" s="92">
        <v>6</v>
      </c>
      <c r="X69" s="92">
        <v>7</v>
      </c>
      <c r="Y69" s="92">
        <v>7</v>
      </c>
      <c r="Z69" s="92">
        <v>7</v>
      </c>
      <c r="AA69" s="92">
        <v>8</v>
      </c>
      <c r="AB69" s="92">
        <v>8</v>
      </c>
      <c r="AC69" s="92">
        <v>9</v>
      </c>
      <c r="AD69" s="92">
        <v>10</v>
      </c>
      <c r="AE69" s="92">
        <v>10</v>
      </c>
      <c r="AF69" s="92">
        <v>10</v>
      </c>
      <c r="AG69" s="92">
        <v>10</v>
      </c>
      <c r="AH69" s="92">
        <v>10</v>
      </c>
      <c r="AI69" s="92" t="s">
        <v>301</v>
      </c>
      <c r="AJ69" s="92" t="s">
        <v>301</v>
      </c>
      <c r="AK69" s="92"/>
      <c r="AL69" s="92" t="s">
        <v>395</v>
      </c>
      <c r="AM69" s="92">
        <v>-0.64</v>
      </c>
      <c r="AN69" s="92">
        <v>0.04</v>
      </c>
      <c r="AO69" s="92">
        <v>0.66</v>
      </c>
      <c r="AP69" s="92">
        <v>0.66</v>
      </c>
      <c r="AQ69" s="92">
        <v>-0.25</v>
      </c>
      <c r="AR69" s="92">
        <v>-0.08</v>
      </c>
      <c r="AS69" s="92">
        <v>-0.28000000000000003</v>
      </c>
      <c r="AT69" s="92">
        <v>0.4</v>
      </c>
      <c r="AU69" s="92">
        <v>-0.15</v>
      </c>
      <c r="AV69" s="92">
        <v>-0.22</v>
      </c>
      <c r="AW69" s="92">
        <v>-0.35</v>
      </c>
      <c r="AX69" s="92">
        <v>-0.45</v>
      </c>
      <c r="AY69" s="92">
        <v>0.02</v>
      </c>
      <c r="AZ69" s="92">
        <v>-0.61</v>
      </c>
      <c r="BA69" s="92">
        <v>0.35</v>
      </c>
      <c r="BB69" s="92">
        <v>0.83</v>
      </c>
      <c r="BC69" s="92">
        <v>5.88</v>
      </c>
      <c r="BD69" s="92">
        <f t="shared" si="9"/>
        <v>-0.64</v>
      </c>
      <c r="BE69" s="92">
        <f t="shared" si="10"/>
        <v>0.04</v>
      </c>
      <c r="BF69" s="92">
        <f t="shared" si="11"/>
        <v>0.66</v>
      </c>
      <c r="BG69" s="92">
        <f t="shared" si="12"/>
        <v>0.66</v>
      </c>
      <c r="BH69" s="92">
        <f t="shared" si="13"/>
        <v>-0.25</v>
      </c>
      <c r="BI69" s="92">
        <f t="shared" si="14"/>
        <v>-0.08</v>
      </c>
      <c r="BJ69" s="92">
        <f t="shared" si="15"/>
        <v>-0.28000000000000003</v>
      </c>
      <c r="BK69" s="92">
        <f t="shared" si="16"/>
        <v>0.4</v>
      </c>
      <c r="BL69" s="92">
        <f t="shared" si="17"/>
        <v>-0.15</v>
      </c>
      <c r="BM69" s="92">
        <f t="shared" si="18"/>
        <v>-0.22</v>
      </c>
      <c r="BN69" s="92">
        <f t="shared" si="19"/>
        <v>-0.35</v>
      </c>
      <c r="BO69" s="92">
        <f t="shared" si="20"/>
        <v>-0.9</v>
      </c>
      <c r="BP69" s="92">
        <f t="shared" si="21"/>
        <v>0.02</v>
      </c>
      <c r="BQ69" s="92">
        <f t="shared" si="22"/>
        <v>-0.61</v>
      </c>
      <c r="BR69" s="92">
        <f t="shared" si="23"/>
        <v>0.35</v>
      </c>
      <c r="BS69" s="92">
        <f t="shared" si="24"/>
        <v>1.66</v>
      </c>
      <c r="BT69" s="92">
        <f t="shared" si="25"/>
        <v>5.88</v>
      </c>
      <c r="BU69" s="92">
        <f t="shared" si="26"/>
        <v>6.1899999999999995</v>
      </c>
      <c r="BV69" s="92"/>
      <c r="BW69" s="118" t="s">
        <v>387</v>
      </c>
      <c r="BX69" s="92"/>
      <c r="BY69" s="92"/>
      <c r="BZ69" s="92"/>
      <c r="CA69" s="92"/>
      <c r="CB69" s="92"/>
    </row>
    <row r="70" spans="1:80" ht="12.75" customHeight="1">
      <c r="A70" s="92"/>
      <c r="B70" s="92"/>
      <c r="C70" s="92"/>
      <c r="D70" s="92"/>
      <c r="E70" s="92"/>
      <c r="F70" s="92">
        <v>14</v>
      </c>
      <c r="G70" s="93" t="s">
        <v>328</v>
      </c>
      <c r="H70" s="92">
        <v>1</v>
      </c>
      <c r="I70" s="92">
        <v>1</v>
      </c>
      <c r="J70" s="92">
        <v>1</v>
      </c>
      <c r="K70" s="92">
        <v>1</v>
      </c>
      <c r="L70" s="92">
        <v>1</v>
      </c>
      <c r="M70" s="92">
        <v>1</v>
      </c>
      <c r="N70" s="92">
        <v>1</v>
      </c>
      <c r="O70" s="92">
        <v>2</v>
      </c>
      <c r="P70" s="92">
        <v>3</v>
      </c>
      <c r="Q70" s="92">
        <v>3</v>
      </c>
      <c r="R70" s="92">
        <v>4</v>
      </c>
      <c r="S70" s="92">
        <v>4</v>
      </c>
      <c r="T70" s="92">
        <v>5</v>
      </c>
      <c r="U70" s="92">
        <v>5</v>
      </c>
      <c r="V70" s="92">
        <v>6</v>
      </c>
      <c r="W70" s="92">
        <v>6</v>
      </c>
      <c r="X70" s="92">
        <v>7</v>
      </c>
      <c r="Y70" s="92">
        <v>7</v>
      </c>
      <c r="Z70" s="92">
        <v>8</v>
      </c>
      <c r="AA70" s="92">
        <v>8</v>
      </c>
      <c r="AB70" s="92">
        <v>9</v>
      </c>
      <c r="AC70" s="92">
        <v>9</v>
      </c>
      <c r="AD70" s="92">
        <v>10</v>
      </c>
      <c r="AE70" s="92">
        <v>10</v>
      </c>
      <c r="AF70" s="92">
        <v>10</v>
      </c>
      <c r="AG70" s="92">
        <v>10</v>
      </c>
      <c r="AH70" s="92">
        <v>10</v>
      </c>
      <c r="AI70" s="92" t="s">
        <v>301</v>
      </c>
      <c r="AJ70" s="92" t="s">
        <v>301</v>
      </c>
      <c r="AK70" s="92"/>
      <c r="AL70" s="92" t="s">
        <v>396</v>
      </c>
      <c r="AM70" s="92">
        <v>0.64</v>
      </c>
      <c r="AN70" s="92">
        <v>0.67</v>
      </c>
      <c r="AO70" s="92">
        <v>-0.55000000000000004</v>
      </c>
      <c r="AP70" s="92">
        <v>-0.27</v>
      </c>
      <c r="AQ70" s="92">
        <v>0.05</v>
      </c>
      <c r="AR70" s="92">
        <v>0.41</v>
      </c>
      <c r="AS70" s="92">
        <v>-0.15</v>
      </c>
      <c r="AT70" s="92">
        <v>-0.69</v>
      </c>
      <c r="AU70" s="92">
        <v>0.32</v>
      </c>
      <c r="AV70" s="92">
        <v>0.54</v>
      </c>
      <c r="AW70" s="92">
        <v>0.13</v>
      </c>
      <c r="AX70" s="92">
        <v>-0.11</v>
      </c>
      <c r="AY70" s="92">
        <v>-7.0000000000000007E-2</v>
      </c>
      <c r="AZ70" s="92">
        <v>0.2</v>
      </c>
      <c r="BA70" s="92">
        <v>0.05</v>
      </c>
      <c r="BB70" s="92">
        <v>-0.52</v>
      </c>
      <c r="BC70" s="92">
        <v>1.93</v>
      </c>
      <c r="BD70" s="92">
        <f t="shared" si="9"/>
        <v>0.64</v>
      </c>
      <c r="BE70" s="92">
        <f t="shared" si="10"/>
        <v>0.67</v>
      </c>
      <c r="BF70" s="92">
        <f t="shared" si="11"/>
        <v>-0.55000000000000004</v>
      </c>
      <c r="BG70" s="92">
        <f t="shared" si="12"/>
        <v>-0.27</v>
      </c>
      <c r="BH70" s="92">
        <f t="shared" si="13"/>
        <v>0.05</v>
      </c>
      <c r="BI70" s="92">
        <f t="shared" si="14"/>
        <v>0.41</v>
      </c>
      <c r="BJ70" s="92">
        <f t="shared" si="15"/>
        <v>-0.15</v>
      </c>
      <c r="BK70" s="92">
        <f t="shared" si="16"/>
        <v>-0.69</v>
      </c>
      <c r="BL70" s="92">
        <f t="shared" si="17"/>
        <v>0.32</v>
      </c>
      <c r="BM70" s="92">
        <f t="shared" si="18"/>
        <v>0.54</v>
      </c>
      <c r="BN70" s="92">
        <f t="shared" si="19"/>
        <v>0.13</v>
      </c>
      <c r="BO70" s="92">
        <f t="shared" si="20"/>
        <v>-0.22</v>
      </c>
      <c r="BP70" s="92">
        <f t="shared" si="21"/>
        <v>-7.0000000000000007E-2</v>
      </c>
      <c r="BQ70" s="92">
        <f t="shared" si="22"/>
        <v>0.2</v>
      </c>
      <c r="BR70" s="92">
        <f t="shared" si="23"/>
        <v>0.05</v>
      </c>
      <c r="BS70" s="92">
        <f t="shared" si="24"/>
        <v>-1.04</v>
      </c>
      <c r="BT70" s="92">
        <f t="shared" si="25"/>
        <v>1.93</v>
      </c>
      <c r="BU70" s="92">
        <f t="shared" si="26"/>
        <v>1.95</v>
      </c>
      <c r="BV70" s="92"/>
      <c r="BW70" s="118" t="s">
        <v>387</v>
      </c>
      <c r="BX70" s="92"/>
      <c r="BY70" s="92"/>
      <c r="BZ70" s="92"/>
      <c r="CA70" s="92"/>
      <c r="CB70" s="92"/>
    </row>
    <row r="71" spans="1:80" ht="12.75" customHeight="1">
      <c r="A71" s="92"/>
      <c r="B71" s="92"/>
      <c r="C71" s="92"/>
      <c r="D71" s="92"/>
      <c r="E71" s="92"/>
      <c r="F71" s="92">
        <v>15</v>
      </c>
      <c r="G71" s="93" t="s">
        <v>330</v>
      </c>
      <c r="H71" s="92">
        <v>1</v>
      </c>
      <c r="I71" s="92">
        <v>1</v>
      </c>
      <c r="J71" s="92">
        <v>1</v>
      </c>
      <c r="K71" s="92">
        <v>1</v>
      </c>
      <c r="L71" s="92">
        <v>1</v>
      </c>
      <c r="M71" s="92">
        <v>2</v>
      </c>
      <c r="N71" s="92">
        <v>2</v>
      </c>
      <c r="O71" s="92">
        <v>3</v>
      </c>
      <c r="P71" s="92">
        <v>3</v>
      </c>
      <c r="Q71" s="92">
        <v>4</v>
      </c>
      <c r="R71" s="92">
        <v>4</v>
      </c>
      <c r="S71" s="92">
        <v>5</v>
      </c>
      <c r="T71" s="92">
        <v>5</v>
      </c>
      <c r="U71" s="92">
        <v>6</v>
      </c>
      <c r="V71" s="92">
        <v>6</v>
      </c>
      <c r="W71" s="92">
        <v>7</v>
      </c>
      <c r="X71" s="92">
        <v>7</v>
      </c>
      <c r="Y71" s="92">
        <v>7</v>
      </c>
      <c r="Z71" s="92">
        <v>8</v>
      </c>
      <c r="AA71" s="92">
        <v>8</v>
      </c>
      <c r="AB71" s="92">
        <v>9</v>
      </c>
      <c r="AC71" s="92">
        <v>9</v>
      </c>
      <c r="AD71" s="92">
        <v>10</v>
      </c>
      <c r="AE71" s="92">
        <v>10</v>
      </c>
      <c r="AF71" s="92">
        <v>10</v>
      </c>
      <c r="AG71" s="92">
        <v>10</v>
      </c>
      <c r="AH71" s="92">
        <v>10</v>
      </c>
      <c r="AI71" s="92" t="s">
        <v>301</v>
      </c>
      <c r="AJ71" s="92" t="s">
        <v>301</v>
      </c>
      <c r="AK71" s="92"/>
      <c r="AL71" s="92" t="s">
        <v>397</v>
      </c>
      <c r="AM71" s="92">
        <v>0</v>
      </c>
      <c r="AN71" s="92">
        <v>0.74</v>
      </c>
      <c r="AO71" s="92">
        <v>-0.16</v>
      </c>
      <c r="AP71" s="92">
        <v>-0.12</v>
      </c>
      <c r="AQ71" s="92">
        <v>0.09</v>
      </c>
      <c r="AR71" s="92">
        <v>-0.13</v>
      </c>
      <c r="AS71" s="92">
        <v>0.22</v>
      </c>
      <c r="AT71" s="92">
        <v>-0.37</v>
      </c>
      <c r="AU71" s="92">
        <v>-0.1</v>
      </c>
      <c r="AV71" s="92">
        <v>-0.48</v>
      </c>
      <c r="AW71" s="92">
        <v>-0.08</v>
      </c>
      <c r="AX71" s="92">
        <v>0.23</v>
      </c>
      <c r="AY71" s="92">
        <v>0.37</v>
      </c>
      <c r="AZ71" s="92">
        <v>0.34</v>
      </c>
      <c r="BA71" s="92">
        <v>-7.0000000000000007E-2</v>
      </c>
      <c r="BB71" s="92">
        <v>0.03</v>
      </c>
      <c r="BC71" s="92">
        <v>2.7</v>
      </c>
      <c r="BD71" s="92">
        <f t="shared" si="9"/>
        <v>0</v>
      </c>
      <c r="BE71" s="92">
        <f t="shared" si="10"/>
        <v>0.74</v>
      </c>
      <c r="BF71" s="92">
        <f t="shared" si="11"/>
        <v>-0.16</v>
      </c>
      <c r="BG71" s="92">
        <f t="shared" si="12"/>
        <v>-0.12</v>
      </c>
      <c r="BH71" s="92">
        <f t="shared" si="13"/>
        <v>0.09</v>
      </c>
      <c r="BI71" s="92">
        <f t="shared" si="14"/>
        <v>-0.13</v>
      </c>
      <c r="BJ71" s="92">
        <f t="shared" si="15"/>
        <v>0.22</v>
      </c>
      <c r="BK71" s="92">
        <f t="shared" si="16"/>
        <v>-0.37</v>
      </c>
      <c r="BL71" s="92">
        <f t="shared" si="17"/>
        <v>-0.1</v>
      </c>
      <c r="BM71" s="92">
        <f t="shared" si="18"/>
        <v>-0.48</v>
      </c>
      <c r="BN71" s="92">
        <f t="shared" si="19"/>
        <v>-0.08</v>
      </c>
      <c r="BO71" s="92">
        <f t="shared" si="20"/>
        <v>0.46</v>
      </c>
      <c r="BP71" s="92">
        <f t="shared" si="21"/>
        <v>0.37</v>
      </c>
      <c r="BQ71" s="92">
        <f t="shared" si="22"/>
        <v>0.34</v>
      </c>
      <c r="BR71" s="92">
        <f t="shared" si="23"/>
        <v>-7.0000000000000007E-2</v>
      </c>
      <c r="BS71" s="92">
        <f t="shared" si="24"/>
        <v>0.06</v>
      </c>
      <c r="BT71" s="92">
        <f t="shared" si="25"/>
        <v>2.7</v>
      </c>
      <c r="BU71" s="92">
        <f t="shared" si="26"/>
        <v>3.47</v>
      </c>
      <c r="BV71" s="92"/>
      <c r="BW71" s="118" t="s">
        <v>387</v>
      </c>
      <c r="BX71" s="92"/>
      <c r="BY71" s="92"/>
      <c r="BZ71" s="92"/>
      <c r="CA71" s="92"/>
      <c r="CB71" s="92"/>
    </row>
    <row r="72" spans="1:80" ht="12.75" customHeight="1">
      <c r="A72" s="92"/>
      <c r="B72" s="92"/>
      <c r="C72" s="92"/>
      <c r="D72" s="92"/>
      <c r="E72" s="92"/>
      <c r="F72" s="92">
        <v>16</v>
      </c>
      <c r="G72" s="93" t="s">
        <v>341</v>
      </c>
      <c r="H72" s="92">
        <v>1</v>
      </c>
      <c r="I72" s="92">
        <v>1</v>
      </c>
      <c r="J72" s="92">
        <v>1</v>
      </c>
      <c r="K72" s="92">
        <v>1</v>
      </c>
      <c r="L72" s="92">
        <v>2</v>
      </c>
      <c r="M72" s="92">
        <v>2</v>
      </c>
      <c r="N72" s="92">
        <v>2</v>
      </c>
      <c r="O72" s="92">
        <v>3</v>
      </c>
      <c r="P72" s="92">
        <v>3</v>
      </c>
      <c r="Q72" s="92">
        <v>3</v>
      </c>
      <c r="R72" s="92">
        <v>3</v>
      </c>
      <c r="S72" s="92">
        <v>4</v>
      </c>
      <c r="T72" s="92">
        <v>4</v>
      </c>
      <c r="U72" s="92">
        <v>4</v>
      </c>
      <c r="V72" s="92">
        <v>4</v>
      </c>
      <c r="W72" s="92">
        <v>4</v>
      </c>
      <c r="X72" s="92">
        <v>4</v>
      </c>
      <c r="Y72" s="92">
        <v>5</v>
      </c>
      <c r="Z72" s="92">
        <v>6</v>
      </c>
      <c r="AA72" s="92">
        <v>7</v>
      </c>
      <c r="AB72" s="92">
        <v>8</v>
      </c>
      <c r="AC72" s="92" t="s">
        <v>301</v>
      </c>
      <c r="AD72" s="92" t="s">
        <v>301</v>
      </c>
      <c r="AE72" s="92" t="s">
        <v>301</v>
      </c>
      <c r="AF72" s="92" t="s">
        <v>301</v>
      </c>
      <c r="AG72" s="92" t="s">
        <v>301</v>
      </c>
      <c r="AH72" s="92" t="s">
        <v>301</v>
      </c>
      <c r="AI72" s="92" t="s">
        <v>301</v>
      </c>
      <c r="AJ72" s="92" t="s">
        <v>301</v>
      </c>
      <c r="AK72" s="92"/>
      <c r="AL72" s="92" t="s">
        <v>398</v>
      </c>
      <c r="AM72" s="92">
        <v>0.56999999999999995</v>
      </c>
      <c r="AN72" s="92">
        <v>0.26</v>
      </c>
      <c r="AO72" s="92">
        <v>0.04</v>
      </c>
      <c r="AP72" s="92">
        <v>-0.14000000000000001</v>
      </c>
      <c r="AQ72" s="92">
        <v>-1.01</v>
      </c>
      <c r="AR72" s="92">
        <v>-0.37</v>
      </c>
      <c r="AS72" s="92">
        <v>0.26</v>
      </c>
      <c r="AT72" s="92">
        <v>-0.3</v>
      </c>
      <c r="AU72" s="92">
        <v>0.33</v>
      </c>
      <c r="AV72" s="92">
        <v>0.16</v>
      </c>
      <c r="AW72" s="92">
        <v>-0.25</v>
      </c>
      <c r="AX72" s="92">
        <v>-0.13</v>
      </c>
      <c r="AY72" s="92">
        <v>0.2</v>
      </c>
      <c r="AZ72" s="92">
        <v>0.02</v>
      </c>
      <c r="BA72" s="92">
        <v>0.6</v>
      </c>
      <c r="BB72" s="92">
        <v>0.62</v>
      </c>
      <c r="BC72" s="92">
        <v>0.77</v>
      </c>
      <c r="BD72" s="92">
        <f t="shared" si="9"/>
        <v>0.56999999999999995</v>
      </c>
      <c r="BE72" s="92">
        <f t="shared" si="10"/>
        <v>0.26</v>
      </c>
      <c r="BF72" s="92">
        <f t="shared" si="11"/>
        <v>0.04</v>
      </c>
      <c r="BG72" s="92">
        <f t="shared" si="12"/>
        <v>-0.14000000000000001</v>
      </c>
      <c r="BH72" s="92">
        <f t="shared" si="13"/>
        <v>-1.01</v>
      </c>
      <c r="BI72" s="92">
        <f t="shared" si="14"/>
        <v>-0.37</v>
      </c>
      <c r="BJ72" s="92">
        <f t="shared" si="15"/>
        <v>0.26</v>
      </c>
      <c r="BK72" s="92">
        <f t="shared" si="16"/>
        <v>-0.3</v>
      </c>
      <c r="BL72" s="92">
        <f t="shared" si="17"/>
        <v>0.33</v>
      </c>
      <c r="BM72" s="92">
        <f t="shared" si="18"/>
        <v>0.16</v>
      </c>
      <c r="BN72" s="92">
        <f t="shared" si="19"/>
        <v>-0.25</v>
      </c>
      <c r="BO72" s="92">
        <f t="shared" si="20"/>
        <v>-0.26</v>
      </c>
      <c r="BP72" s="92">
        <f t="shared" si="21"/>
        <v>0.2</v>
      </c>
      <c r="BQ72" s="92">
        <f t="shared" si="22"/>
        <v>0.02</v>
      </c>
      <c r="BR72" s="92">
        <f t="shared" si="23"/>
        <v>0.6</v>
      </c>
      <c r="BS72" s="92">
        <f t="shared" si="24"/>
        <v>1.24</v>
      </c>
      <c r="BT72" s="92">
        <f t="shared" si="25"/>
        <v>0.77</v>
      </c>
      <c r="BU72" s="92">
        <f t="shared" si="26"/>
        <v>2.12</v>
      </c>
      <c r="BV72" s="92"/>
      <c r="BW72" s="118" t="s">
        <v>387</v>
      </c>
      <c r="BX72" s="92"/>
      <c r="BY72" s="92"/>
      <c r="BZ72" s="92"/>
      <c r="CA72" s="92"/>
      <c r="CB72" s="92"/>
    </row>
    <row r="73" spans="1:80" ht="12.75" customHeight="1">
      <c r="A73" s="92"/>
      <c r="B73" s="92"/>
      <c r="C73" s="92"/>
      <c r="D73" s="92"/>
      <c r="E73" s="92"/>
      <c r="F73" s="92">
        <v>17</v>
      </c>
      <c r="G73" s="93" t="s">
        <v>343</v>
      </c>
      <c r="H73" s="92">
        <v>1</v>
      </c>
      <c r="I73" s="92">
        <v>1</v>
      </c>
      <c r="J73" s="92">
        <v>2</v>
      </c>
      <c r="K73" s="92">
        <v>2</v>
      </c>
      <c r="L73" s="92">
        <v>3</v>
      </c>
      <c r="M73" s="92">
        <v>3</v>
      </c>
      <c r="N73" s="92">
        <v>3</v>
      </c>
      <c r="O73" s="92">
        <v>4</v>
      </c>
      <c r="P73" s="92">
        <v>4</v>
      </c>
      <c r="Q73" s="92">
        <v>4</v>
      </c>
      <c r="R73" s="92">
        <v>4</v>
      </c>
      <c r="S73" s="92">
        <v>4</v>
      </c>
      <c r="T73" s="92">
        <v>5</v>
      </c>
      <c r="U73" s="92">
        <v>5</v>
      </c>
      <c r="V73" s="92">
        <v>6</v>
      </c>
      <c r="W73" s="92">
        <v>6</v>
      </c>
      <c r="X73" s="92">
        <v>6</v>
      </c>
      <c r="Y73" s="92">
        <v>7</v>
      </c>
      <c r="Z73" s="92">
        <v>7</v>
      </c>
      <c r="AA73" s="92">
        <v>8</v>
      </c>
      <c r="AB73" s="92">
        <v>9</v>
      </c>
      <c r="AC73" s="92" t="s">
        <v>301</v>
      </c>
      <c r="AD73" s="92" t="s">
        <v>301</v>
      </c>
      <c r="AE73" s="92" t="s">
        <v>301</v>
      </c>
      <c r="AF73" s="92" t="s">
        <v>301</v>
      </c>
      <c r="AG73" s="92" t="s">
        <v>301</v>
      </c>
      <c r="AH73" s="92" t="s">
        <v>301</v>
      </c>
      <c r="AI73" s="92" t="s">
        <v>301</v>
      </c>
      <c r="AJ73" s="92" t="s">
        <v>301</v>
      </c>
      <c r="AK73" s="92" t="s">
        <v>288</v>
      </c>
      <c r="AL73" s="92" t="s">
        <v>399</v>
      </c>
      <c r="AM73" s="92">
        <v>-0.2</v>
      </c>
      <c r="AN73" s="92">
        <v>0.43</v>
      </c>
      <c r="AO73" s="92">
        <v>0.15</v>
      </c>
      <c r="AP73" s="92">
        <v>0.49</v>
      </c>
      <c r="AQ73" s="92">
        <v>-0.67</v>
      </c>
      <c r="AR73" s="92">
        <v>-0.1</v>
      </c>
      <c r="AS73" s="92">
        <v>0.44</v>
      </c>
      <c r="AT73" s="92">
        <v>0.19</v>
      </c>
      <c r="AU73" s="92">
        <v>-0.23</v>
      </c>
      <c r="AV73" s="92">
        <v>-0.01</v>
      </c>
      <c r="AW73" s="92">
        <v>0</v>
      </c>
      <c r="AX73" s="92">
        <v>-0.74</v>
      </c>
      <c r="AY73" s="92">
        <v>-0.35</v>
      </c>
      <c r="AZ73" s="92">
        <v>-0.4</v>
      </c>
      <c r="BA73" s="92">
        <v>0.48</v>
      </c>
      <c r="BB73" s="92">
        <v>1.1100000000000001</v>
      </c>
      <c r="BC73" s="92">
        <v>2.2599999999999998</v>
      </c>
      <c r="BD73" s="92">
        <f t="shared" si="9"/>
        <v>-0.2</v>
      </c>
      <c r="BE73" s="92">
        <f t="shared" si="10"/>
        <v>0.43</v>
      </c>
      <c r="BF73" s="92">
        <f t="shared" si="11"/>
        <v>0.15</v>
      </c>
      <c r="BG73" s="92">
        <f t="shared" si="12"/>
        <v>0.49</v>
      </c>
      <c r="BH73" s="92">
        <f t="shared" si="13"/>
        <v>-0.67</v>
      </c>
      <c r="BI73" s="92">
        <f t="shared" si="14"/>
        <v>-0.1</v>
      </c>
      <c r="BJ73" s="92">
        <f t="shared" si="15"/>
        <v>0.44</v>
      </c>
      <c r="BK73" s="92">
        <f t="shared" si="16"/>
        <v>0.19</v>
      </c>
      <c r="BL73" s="92">
        <f t="shared" si="17"/>
        <v>-0.23</v>
      </c>
      <c r="BM73" s="92">
        <f t="shared" si="18"/>
        <v>-0.01</v>
      </c>
      <c r="BN73" s="92">
        <f t="shared" si="19"/>
        <v>0</v>
      </c>
      <c r="BO73" s="92">
        <f t="shared" si="20"/>
        <v>-1.48</v>
      </c>
      <c r="BP73" s="92">
        <f t="shared" si="21"/>
        <v>-0.35</v>
      </c>
      <c r="BQ73" s="92">
        <f t="shared" si="22"/>
        <v>-0.4</v>
      </c>
      <c r="BR73" s="92">
        <f t="shared" si="23"/>
        <v>0.48</v>
      </c>
      <c r="BS73" s="92">
        <f t="shared" si="24"/>
        <v>2.2200000000000002</v>
      </c>
      <c r="BT73" s="92">
        <f t="shared" si="25"/>
        <v>2.2599999999999998</v>
      </c>
      <c r="BU73" s="92">
        <f t="shared" si="26"/>
        <v>3.22</v>
      </c>
      <c r="BV73" s="92"/>
      <c r="BW73" s="118" t="s">
        <v>387</v>
      </c>
      <c r="BX73" s="92"/>
      <c r="BY73" s="92"/>
      <c r="BZ73" s="92"/>
      <c r="CA73" s="92"/>
      <c r="CB73" s="92"/>
    </row>
    <row r="74" spans="1:80" ht="12.75" customHeight="1">
      <c r="A74" s="92"/>
      <c r="B74" s="92"/>
      <c r="C74" s="92"/>
      <c r="D74" s="92"/>
      <c r="E74" s="92"/>
      <c r="F74" s="92">
        <v>18</v>
      </c>
      <c r="G74" s="93" t="s">
        <v>348</v>
      </c>
      <c r="H74" s="92">
        <v>1</v>
      </c>
      <c r="I74" s="92">
        <v>1</v>
      </c>
      <c r="J74" s="92">
        <v>1</v>
      </c>
      <c r="K74" s="92">
        <v>2</v>
      </c>
      <c r="L74" s="92">
        <v>2</v>
      </c>
      <c r="M74" s="92">
        <v>2</v>
      </c>
      <c r="N74" s="92">
        <v>3</v>
      </c>
      <c r="O74" s="92">
        <v>3</v>
      </c>
      <c r="P74" s="92">
        <v>3</v>
      </c>
      <c r="Q74" s="92">
        <v>3</v>
      </c>
      <c r="R74" s="92">
        <v>4</v>
      </c>
      <c r="S74" s="92">
        <v>4</v>
      </c>
      <c r="T74" s="92">
        <v>4</v>
      </c>
      <c r="U74" s="92">
        <v>4</v>
      </c>
      <c r="V74" s="92">
        <v>4</v>
      </c>
      <c r="W74" s="92">
        <v>4</v>
      </c>
      <c r="X74" s="92">
        <v>5</v>
      </c>
      <c r="Y74" s="92">
        <v>6</v>
      </c>
      <c r="Z74" s="92">
        <v>6</v>
      </c>
      <c r="AA74" s="92">
        <v>7</v>
      </c>
      <c r="AB74" s="92">
        <v>8</v>
      </c>
      <c r="AC74" s="92" t="s">
        <v>301</v>
      </c>
      <c r="AD74" s="92" t="s">
        <v>301</v>
      </c>
      <c r="AE74" s="92" t="s">
        <v>301</v>
      </c>
      <c r="AF74" s="92" t="s">
        <v>301</v>
      </c>
      <c r="AG74" s="92" t="s">
        <v>301</v>
      </c>
      <c r="AH74" s="92" t="s">
        <v>301</v>
      </c>
      <c r="AI74" s="92" t="s">
        <v>301</v>
      </c>
      <c r="AJ74" s="92" t="s">
        <v>301</v>
      </c>
      <c r="AK74" s="92" t="s">
        <v>288</v>
      </c>
      <c r="AL74" s="92" t="s">
        <v>400</v>
      </c>
      <c r="AM74" s="92">
        <v>-0.26</v>
      </c>
      <c r="AN74" s="92">
        <v>0.45</v>
      </c>
      <c r="AO74" s="92">
        <v>-0.05</v>
      </c>
      <c r="AP74" s="92">
        <v>0.49</v>
      </c>
      <c r="AQ74" s="92">
        <v>0.46</v>
      </c>
      <c r="AR74" s="92">
        <v>0.52</v>
      </c>
      <c r="AS74" s="92">
        <v>-0.24</v>
      </c>
      <c r="AT74" s="92">
        <v>-0.26</v>
      </c>
      <c r="AU74" s="92">
        <v>-0.38</v>
      </c>
      <c r="AV74" s="92">
        <v>0</v>
      </c>
      <c r="AW74" s="92">
        <v>-0.09</v>
      </c>
      <c r="AX74" s="92">
        <v>0.28999999999999998</v>
      </c>
      <c r="AY74" s="92">
        <v>-0.03</v>
      </c>
      <c r="AZ74" s="92">
        <v>-0.12</v>
      </c>
      <c r="BA74" s="92">
        <v>0.18</v>
      </c>
      <c r="BB74" s="92">
        <v>-0.52</v>
      </c>
      <c r="BC74" s="92">
        <v>3.08</v>
      </c>
      <c r="BD74" s="92">
        <f t="shared" si="9"/>
        <v>-0.26</v>
      </c>
      <c r="BE74" s="92">
        <f t="shared" si="10"/>
        <v>0.45</v>
      </c>
      <c r="BF74" s="92">
        <f t="shared" si="11"/>
        <v>-0.05</v>
      </c>
      <c r="BG74" s="92">
        <f t="shared" si="12"/>
        <v>0.49</v>
      </c>
      <c r="BH74" s="92">
        <f t="shared" si="13"/>
        <v>0.46</v>
      </c>
      <c r="BI74" s="92">
        <f t="shared" si="14"/>
        <v>0.52</v>
      </c>
      <c r="BJ74" s="92">
        <f t="shared" si="15"/>
        <v>-0.24</v>
      </c>
      <c r="BK74" s="92">
        <f t="shared" si="16"/>
        <v>-0.26</v>
      </c>
      <c r="BL74" s="92">
        <f t="shared" si="17"/>
        <v>-0.38</v>
      </c>
      <c r="BM74" s="92">
        <f t="shared" si="18"/>
        <v>0</v>
      </c>
      <c r="BN74" s="92">
        <f t="shared" si="19"/>
        <v>-0.09</v>
      </c>
      <c r="BO74" s="92">
        <f t="shared" si="20"/>
        <v>0.57999999999999996</v>
      </c>
      <c r="BP74" s="92">
        <f t="shared" si="21"/>
        <v>-0.03</v>
      </c>
      <c r="BQ74" s="92">
        <f t="shared" si="22"/>
        <v>-0.12</v>
      </c>
      <c r="BR74" s="92">
        <f t="shared" si="23"/>
        <v>0.18</v>
      </c>
      <c r="BS74" s="92">
        <f t="shared" si="24"/>
        <v>-1.04</v>
      </c>
      <c r="BT74" s="92">
        <f t="shared" si="25"/>
        <v>3.08</v>
      </c>
      <c r="BU74" s="92">
        <f t="shared" si="26"/>
        <v>3.29</v>
      </c>
      <c r="BV74" s="92"/>
      <c r="BW74" s="118" t="s">
        <v>387</v>
      </c>
      <c r="BX74" s="92"/>
      <c r="BY74" s="92"/>
      <c r="BZ74" s="92"/>
      <c r="CA74" s="92"/>
      <c r="CB74" s="92"/>
    </row>
    <row r="75" spans="1:80" ht="12.75" customHeight="1">
      <c r="A75" s="92"/>
      <c r="B75" s="92"/>
      <c r="C75" s="92"/>
      <c r="D75" s="92"/>
      <c r="E75" s="92"/>
      <c r="F75" s="92"/>
      <c r="G75" s="93"/>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t="s">
        <v>288</v>
      </c>
      <c r="AL75" s="92" t="s">
        <v>401</v>
      </c>
      <c r="AM75" s="92">
        <v>0.43</v>
      </c>
      <c r="AN75" s="92">
        <v>-0.03</v>
      </c>
      <c r="AO75" s="92">
        <v>0.22</v>
      </c>
      <c r="AP75" s="92">
        <v>1.1100000000000001</v>
      </c>
      <c r="AQ75" s="92">
        <v>-0.57999999999999996</v>
      </c>
      <c r="AR75" s="92">
        <v>0.22</v>
      </c>
      <c r="AS75" s="92">
        <v>-0.41</v>
      </c>
      <c r="AT75" s="92">
        <v>-0.43</v>
      </c>
      <c r="AU75" s="92">
        <v>-0.41</v>
      </c>
      <c r="AV75" s="92">
        <v>-0.02</v>
      </c>
      <c r="AW75" s="92">
        <v>-0.2</v>
      </c>
      <c r="AX75" s="92">
        <v>-0.18</v>
      </c>
      <c r="AY75" s="92">
        <v>-0.35</v>
      </c>
      <c r="AZ75" s="92">
        <v>-0.24</v>
      </c>
      <c r="BA75" s="92">
        <v>0.08</v>
      </c>
      <c r="BB75" s="92">
        <v>0.43</v>
      </c>
      <c r="BC75" s="92">
        <v>7.48</v>
      </c>
      <c r="BD75" s="92">
        <f t="shared" si="9"/>
        <v>0.43</v>
      </c>
      <c r="BE75" s="92">
        <f t="shared" si="10"/>
        <v>-0.03</v>
      </c>
      <c r="BF75" s="92">
        <f t="shared" si="11"/>
        <v>0.22</v>
      </c>
      <c r="BG75" s="92">
        <f t="shared" si="12"/>
        <v>1.1100000000000001</v>
      </c>
      <c r="BH75" s="92">
        <f t="shared" si="13"/>
        <v>-0.57999999999999996</v>
      </c>
      <c r="BI75" s="92">
        <f t="shared" si="14"/>
        <v>0.22</v>
      </c>
      <c r="BJ75" s="92">
        <f t="shared" si="15"/>
        <v>-0.41</v>
      </c>
      <c r="BK75" s="92">
        <f t="shared" si="16"/>
        <v>-0.43</v>
      </c>
      <c r="BL75" s="92">
        <f t="shared" si="17"/>
        <v>-0.41</v>
      </c>
      <c r="BM75" s="92">
        <f t="shared" si="18"/>
        <v>-0.02</v>
      </c>
      <c r="BN75" s="92">
        <f t="shared" si="19"/>
        <v>-0.2</v>
      </c>
      <c r="BO75" s="92">
        <f t="shared" si="20"/>
        <v>-0.36</v>
      </c>
      <c r="BP75" s="92">
        <f t="shared" si="21"/>
        <v>-0.35</v>
      </c>
      <c r="BQ75" s="92">
        <f t="shared" si="22"/>
        <v>-0.24</v>
      </c>
      <c r="BR75" s="92">
        <f t="shared" si="23"/>
        <v>0.08</v>
      </c>
      <c r="BS75" s="92">
        <f t="shared" si="24"/>
        <v>0.86</v>
      </c>
      <c r="BT75" s="92">
        <f t="shared" si="25"/>
        <v>7.48</v>
      </c>
      <c r="BU75" s="92">
        <f t="shared" si="26"/>
        <v>7.370000000000001</v>
      </c>
      <c r="BV75" s="92"/>
      <c r="BW75" s="118" t="s">
        <v>387</v>
      </c>
      <c r="BX75" s="92"/>
      <c r="BY75" s="92"/>
      <c r="BZ75" s="92"/>
      <c r="CA75" s="92"/>
      <c r="CB75" s="92"/>
    </row>
    <row r="76" spans="1:80" ht="12.75" customHeight="1">
      <c r="A76" s="92"/>
      <c r="B76" s="92"/>
      <c r="C76" s="92"/>
      <c r="D76" s="92"/>
      <c r="E76" s="92"/>
      <c r="F76" s="92"/>
      <c r="G76" s="93"/>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t="s">
        <v>402</v>
      </c>
      <c r="AM76" s="92">
        <v>-0.05</v>
      </c>
      <c r="AN76" s="92">
        <v>0.97</v>
      </c>
      <c r="AO76" s="92">
        <v>0</v>
      </c>
      <c r="AP76" s="92">
        <v>-0.14000000000000001</v>
      </c>
      <c r="AQ76" s="92">
        <v>-0.33</v>
      </c>
      <c r="AR76" s="92">
        <v>0.08</v>
      </c>
      <c r="AS76" s="92">
        <v>0.14000000000000001</v>
      </c>
      <c r="AT76" s="92">
        <v>-0.37</v>
      </c>
      <c r="AU76" s="92">
        <v>0.13</v>
      </c>
      <c r="AV76" s="92">
        <v>0.02</v>
      </c>
      <c r="AW76" s="92">
        <v>-0.08</v>
      </c>
      <c r="AX76" s="92">
        <v>-0.01</v>
      </c>
      <c r="AY76" s="92">
        <v>7.0000000000000007E-2</v>
      </c>
      <c r="AZ76" s="92">
        <v>-0.06</v>
      </c>
      <c r="BA76" s="92">
        <v>0.14000000000000001</v>
      </c>
      <c r="BB76" s="92">
        <v>0.05</v>
      </c>
      <c r="BC76" s="92">
        <v>2.42</v>
      </c>
      <c r="BD76" s="92">
        <f t="shared" si="9"/>
        <v>-0.05</v>
      </c>
      <c r="BE76" s="92">
        <f t="shared" si="10"/>
        <v>0.97</v>
      </c>
      <c r="BF76" s="92">
        <f t="shared" si="11"/>
        <v>0</v>
      </c>
      <c r="BG76" s="92">
        <f t="shared" si="12"/>
        <v>-0.14000000000000001</v>
      </c>
      <c r="BH76" s="92">
        <f t="shared" si="13"/>
        <v>-0.33</v>
      </c>
      <c r="BI76" s="92">
        <f t="shared" si="14"/>
        <v>0.08</v>
      </c>
      <c r="BJ76" s="92">
        <f t="shared" si="15"/>
        <v>0.14000000000000001</v>
      </c>
      <c r="BK76" s="92">
        <f t="shared" si="16"/>
        <v>-0.37</v>
      </c>
      <c r="BL76" s="92">
        <f t="shared" si="17"/>
        <v>0.13</v>
      </c>
      <c r="BM76" s="92">
        <f t="shared" si="18"/>
        <v>0.02</v>
      </c>
      <c r="BN76" s="92">
        <f t="shared" si="19"/>
        <v>-0.08</v>
      </c>
      <c r="BO76" s="92">
        <f t="shared" si="20"/>
        <v>-0.02</v>
      </c>
      <c r="BP76" s="92">
        <f t="shared" si="21"/>
        <v>7.0000000000000007E-2</v>
      </c>
      <c r="BQ76" s="92">
        <f t="shared" si="22"/>
        <v>-0.06</v>
      </c>
      <c r="BR76" s="92">
        <f t="shared" si="23"/>
        <v>0.14000000000000001</v>
      </c>
      <c r="BS76" s="92">
        <f t="shared" si="24"/>
        <v>0.1</v>
      </c>
      <c r="BT76" s="92">
        <f t="shared" si="25"/>
        <v>2.42</v>
      </c>
      <c r="BU76" s="92">
        <f t="shared" si="26"/>
        <v>3.02</v>
      </c>
      <c r="BV76" s="92"/>
      <c r="BW76" s="118" t="s">
        <v>387</v>
      </c>
      <c r="BX76" s="92"/>
      <c r="BY76" s="92"/>
      <c r="BZ76" s="92"/>
      <c r="CA76" s="92"/>
      <c r="CB76" s="92"/>
    </row>
    <row r="77" spans="1:80" ht="12.75" customHeight="1">
      <c r="A77" s="92"/>
      <c r="B77" s="92"/>
      <c r="C77" s="92"/>
      <c r="D77" s="92"/>
      <c r="E77" s="92"/>
      <c r="F77" s="92"/>
      <c r="G77" s="93"/>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t="s">
        <v>403</v>
      </c>
      <c r="AM77" s="92">
        <v>-0.12</v>
      </c>
      <c r="AN77" s="92">
        <v>0.55000000000000004</v>
      </c>
      <c r="AO77" s="92">
        <v>-0.47</v>
      </c>
      <c r="AP77" s="92">
        <v>0.22</v>
      </c>
      <c r="AQ77" s="92">
        <v>-0.5</v>
      </c>
      <c r="AR77" s="92">
        <v>0.1</v>
      </c>
      <c r="AS77" s="92">
        <v>0.02</v>
      </c>
      <c r="AT77" s="92">
        <v>-0.21</v>
      </c>
      <c r="AU77" s="92">
        <v>-0.78</v>
      </c>
      <c r="AV77" s="92">
        <v>-0.51</v>
      </c>
      <c r="AW77" s="92">
        <v>0.12</v>
      </c>
      <c r="AX77" s="92">
        <v>0.26</v>
      </c>
      <c r="AY77" s="92">
        <v>0.11</v>
      </c>
      <c r="AZ77" s="92">
        <v>-0.14000000000000001</v>
      </c>
      <c r="BA77" s="92">
        <v>-0.15</v>
      </c>
      <c r="BB77" s="92">
        <v>-0.01</v>
      </c>
      <c r="BC77" s="92">
        <v>13.8</v>
      </c>
      <c r="BD77" s="92">
        <f t="shared" si="9"/>
        <v>-0.12</v>
      </c>
      <c r="BE77" s="92">
        <f t="shared" si="10"/>
        <v>0.55000000000000004</v>
      </c>
      <c r="BF77" s="92">
        <f t="shared" si="11"/>
        <v>-0.47</v>
      </c>
      <c r="BG77" s="92">
        <f t="shared" si="12"/>
        <v>0.22</v>
      </c>
      <c r="BH77" s="92">
        <f t="shared" si="13"/>
        <v>-0.5</v>
      </c>
      <c r="BI77" s="92">
        <f t="shared" si="14"/>
        <v>0.1</v>
      </c>
      <c r="BJ77" s="92">
        <f t="shared" si="15"/>
        <v>0.02</v>
      </c>
      <c r="BK77" s="92">
        <f t="shared" si="16"/>
        <v>-0.21</v>
      </c>
      <c r="BL77" s="92">
        <f t="shared" si="17"/>
        <v>-0.78</v>
      </c>
      <c r="BM77" s="92">
        <f t="shared" si="18"/>
        <v>-0.51</v>
      </c>
      <c r="BN77" s="92">
        <f t="shared" si="19"/>
        <v>0.12</v>
      </c>
      <c r="BO77" s="92">
        <f t="shared" si="20"/>
        <v>0.52</v>
      </c>
      <c r="BP77" s="92">
        <f t="shared" si="21"/>
        <v>0.11</v>
      </c>
      <c r="BQ77" s="92">
        <f t="shared" si="22"/>
        <v>-0.14000000000000001</v>
      </c>
      <c r="BR77" s="92">
        <f t="shared" si="23"/>
        <v>-0.15</v>
      </c>
      <c r="BS77" s="92">
        <f t="shared" si="24"/>
        <v>-0.02</v>
      </c>
      <c r="BT77" s="92">
        <f t="shared" si="25"/>
        <v>13.8</v>
      </c>
      <c r="BU77" s="92">
        <f t="shared" si="26"/>
        <v>12.540000000000001</v>
      </c>
      <c r="BV77" s="92"/>
      <c r="BW77" s="118" t="s">
        <v>387</v>
      </c>
      <c r="BX77" s="92"/>
      <c r="BY77" s="92"/>
      <c r="BZ77" s="92"/>
      <c r="CA77" s="92"/>
      <c r="CB77" s="92"/>
    </row>
    <row r="78" spans="1:80" ht="12.75" customHeight="1">
      <c r="A78" s="92"/>
      <c r="B78" s="92"/>
      <c r="C78" s="92"/>
      <c r="D78" s="92"/>
      <c r="E78" s="92"/>
      <c r="F78" s="92"/>
      <c r="G78" s="93" t="s">
        <v>404</v>
      </c>
      <c r="H78" s="92">
        <v>0</v>
      </c>
      <c r="I78" s="92">
        <v>1</v>
      </c>
      <c r="J78" s="92">
        <v>2</v>
      </c>
      <c r="K78" s="92">
        <v>3</v>
      </c>
      <c r="L78" s="92">
        <v>4</v>
      </c>
      <c r="M78" s="92">
        <v>5</v>
      </c>
      <c r="N78" s="92">
        <v>6</v>
      </c>
      <c r="O78" s="92">
        <v>7</v>
      </c>
      <c r="P78" s="92">
        <v>8</v>
      </c>
      <c r="Q78" s="92">
        <v>9</v>
      </c>
      <c r="R78" s="92">
        <v>10</v>
      </c>
      <c r="S78" s="92">
        <v>11</v>
      </c>
      <c r="T78" s="92">
        <v>12</v>
      </c>
      <c r="U78" s="92">
        <v>13</v>
      </c>
      <c r="V78" s="92">
        <v>14</v>
      </c>
      <c r="W78" s="92">
        <v>15</v>
      </c>
      <c r="X78" s="92">
        <v>16</v>
      </c>
      <c r="Y78" s="92">
        <v>17</v>
      </c>
      <c r="Z78" s="92">
        <v>18</v>
      </c>
      <c r="AA78" s="92">
        <v>19</v>
      </c>
      <c r="AB78" s="92">
        <v>20</v>
      </c>
      <c r="AC78" s="92">
        <v>21</v>
      </c>
      <c r="AD78" s="92">
        <v>22</v>
      </c>
      <c r="AE78" s="92">
        <v>23</v>
      </c>
      <c r="AF78" s="92">
        <v>24</v>
      </c>
      <c r="AG78" s="92">
        <v>25</v>
      </c>
      <c r="AH78" s="92">
        <v>26</v>
      </c>
      <c r="AI78" s="92">
        <v>99</v>
      </c>
      <c r="AJ78" s="92"/>
      <c r="AK78" s="92" t="s">
        <v>288</v>
      </c>
      <c r="AL78" s="92" t="s">
        <v>405</v>
      </c>
      <c r="AM78" s="92">
        <v>0.06</v>
      </c>
      <c r="AN78" s="92">
        <v>0.22</v>
      </c>
      <c r="AO78" s="92">
        <v>1.03</v>
      </c>
      <c r="AP78" s="92">
        <v>-0.43</v>
      </c>
      <c r="AQ78" s="92">
        <v>-0.01</v>
      </c>
      <c r="AR78" s="92">
        <v>-0.57999999999999996</v>
      </c>
      <c r="AS78" s="92">
        <v>0.34</v>
      </c>
      <c r="AT78" s="92">
        <v>0.14000000000000001</v>
      </c>
      <c r="AU78" s="92">
        <v>0.42</v>
      </c>
      <c r="AV78" s="92">
        <v>0.33</v>
      </c>
      <c r="AW78" s="92">
        <v>-0.22</v>
      </c>
      <c r="AX78" s="92">
        <v>0.21</v>
      </c>
      <c r="AY78" s="92">
        <v>0.09</v>
      </c>
      <c r="AZ78" s="92">
        <v>0</v>
      </c>
      <c r="BA78" s="92">
        <v>0.89</v>
      </c>
      <c r="BB78" s="92">
        <v>1.19</v>
      </c>
      <c r="BC78" s="92">
        <v>-14.73</v>
      </c>
      <c r="BD78" s="92">
        <f t="shared" si="9"/>
        <v>0.06</v>
      </c>
      <c r="BE78" s="92">
        <f t="shared" si="10"/>
        <v>0.22</v>
      </c>
      <c r="BF78" s="92">
        <f t="shared" si="11"/>
        <v>1.03</v>
      </c>
      <c r="BG78" s="92">
        <f t="shared" si="12"/>
        <v>-0.43</v>
      </c>
      <c r="BH78" s="92">
        <f t="shared" si="13"/>
        <v>-0.01</v>
      </c>
      <c r="BI78" s="92">
        <f t="shared" si="14"/>
        <v>-0.57999999999999996</v>
      </c>
      <c r="BJ78" s="92">
        <f t="shared" si="15"/>
        <v>0.34</v>
      </c>
      <c r="BK78" s="92">
        <f t="shared" si="16"/>
        <v>0.14000000000000001</v>
      </c>
      <c r="BL78" s="92">
        <f t="shared" si="17"/>
        <v>0.42</v>
      </c>
      <c r="BM78" s="92">
        <f t="shared" si="18"/>
        <v>0.33</v>
      </c>
      <c r="BN78" s="92">
        <f t="shared" si="19"/>
        <v>-0.22</v>
      </c>
      <c r="BO78" s="92">
        <f t="shared" si="20"/>
        <v>0.42</v>
      </c>
      <c r="BP78" s="92">
        <f t="shared" si="21"/>
        <v>0.09</v>
      </c>
      <c r="BQ78" s="92">
        <f t="shared" si="22"/>
        <v>0</v>
      </c>
      <c r="BR78" s="92">
        <f t="shared" si="23"/>
        <v>0.89</v>
      </c>
      <c r="BS78" s="92">
        <f t="shared" si="24"/>
        <v>2.38</v>
      </c>
      <c r="BT78" s="92">
        <f t="shared" si="25"/>
        <v>-14.73</v>
      </c>
      <c r="BU78" s="92">
        <f t="shared" si="26"/>
        <v>-9.65</v>
      </c>
      <c r="BV78" s="92"/>
      <c r="BW78" s="126" t="s">
        <v>387</v>
      </c>
      <c r="BX78" s="92"/>
      <c r="BY78" s="92"/>
      <c r="BZ78" s="92"/>
      <c r="CA78" s="92"/>
      <c r="CB78" s="92"/>
    </row>
    <row r="79" spans="1:80" ht="12.75" customHeight="1">
      <c r="A79" s="92"/>
      <c r="B79" s="92"/>
      <c r="C79" s="92"/>
      <c r="D79" s="92"/>
      <c r="E79" s="92"/>
      <c r="F79" s="92">
        <v>1</v>
      </c>
      <c r="G79" s="93" t="s">
        <v>300</v>
      </c>
      <c r="H79" s="99">
        <v>1</v>
      </c>
      <c r="I79" s="99">
        <v>1</v>
      </c>
      <c r="J79" s="99">
        <v>1</v>
      </c>
      <c r="K79" s="99">
        <v>1</v>
      </c>
      <c r="L79" s="99">
        <v>1</v>
      </c>
      <c r="M79" s="99">
        <v>1</v>
      </c>
      <c r="N79" s="99">
        <v>1</v>
      </c>
      <c r="O79" s="99">
        <v>2</v>
      </c>
      <c r="P79" s="99">
        <v>2</v>
      </c>
      <c r="Q79" s="99">
        <v>3</v>
      </c>
      <c r="R79" s="99">
        <v>4</v>
      </c>
      <c r="S79" s="99">
        <v>4</v>
      </c>
      <c r="T79" s="99">
        <v>5</v>
      </c>
      <c r="U79" s="99">
        <v>5</v>
      </c>
      <c r="V79" s="99">
        <v>6</v>
      </c>
      <c r="W79" s="99">
        <v>6</v>
      </c>
      <c r="X79" s="99">
        <v>7</v>
      </c>
      <c r="Y79" s="99">
        <v>7</v>
      </c>
      <c r="Z79" s="99">
        <v>8</v>
      </c>
      <c r="AA79" s="99">
        <v>8</v>
      </c>
      <c r="AB79" s="99">
        <v>9</v>
      </c>
      <c r="AC79" s="99">
        <v>10</v>
      </c>
      <c r="AD79" s="99">
        <v>10</v>
      </c>
      <c r="AE79" s="99">
        <v>10</v>
      </c>
      <c r="AF79" s="99">
        <v>10</v>
      </c>
      <c r="AG79" s="99">
        <v>10</v>
      </c>
      <c r="AH79" s="99">
        <v>10</v>
      </c>
      <c r="AI79" s="92" t="s">
        <v>301</v>
      </c>
      <c r="AJ79" s="92"/>
      <c r="AK79" s="92" t="s">
        <v>288</v>
      </c>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2"/>
      <c r="BL79" s="92"/>
      <c r="BM79" s="92"/>
      <c r="BN79" s="92"/>
      <c r="BO79" s="92"/>
      <c r="BP79" s="92"/>
      <c r="BQ79" s="92"/>
      <c r="BR79" s="92"/>
      <c r="BS79" s="92"/>
      <c r="BT79" s="92"/>
      <c r="BU79" s="92"/>
      <c r="BV79" s="92"/>
      <c r="BW79" s="92"/>
      <c r="BX79" s="92"/>
      <c r="BY79" s="92"/>
      <c r="BZ79" s="92"/>
      <c r="CA79" s="92"/>
      <c r="CB79" s="92"/>
    </row>
    <row r="80" spans="1:80" ht="12.75" customHeight="1">
      <c r="A80" s="92"/>
      <c r="B80" s="92"/>
      <c r="C80" s="92"/>
      <c r="D80" s="92"/>
      <c r="E80" s="92"/>
      <c r="F80" s="92">
        <v>2</v>
      </c>
      <c r="G80" s="93" t="s">
        <v>303</v>
      </c>
      <c r="H80" s="99">
        <v>1</v>
      </c>
      <c r="I80" s="99">
        <v>1</v>
      </c>
      <c r="J80" s="99">
        <v>1</v>
      </c>
      <c r="K80" s="99">
        <v>1</v>
      </c>
      <c r="L80" s="99">
        <v>1</v>
      </c>
      <c r="M80" s="99">
        <v>1</v>
      </c>
      <c r="N80" s="99">
        <v>2</v>
      </c>
      <c r="O80" s="99">
        <v>2</v>
      </c>
      <c r="P80" s="99">
        <v>3</v>
      </c>
      <c r="Q80" s="99">
        <v>3</v>
      </c>
      <c r="R80" s="99">
        <v>4</v>
      </c>
      <c r="S80" s="99">
        <v>4</v>
      </c>
      <c r="T80" s="99">
        <v>5</v>
      </c>
      <c r="U80" s="99">
        <v>6</v>
      </c>
      <c r="V80" s="99">
        <v>6</v>
      </c>
      <c r="W80" s="99">
        <v>7</v>
      </c>
      <c r="X80" s="99">
        <v>7</v>
      </c>
      <c r="Y80" s="99">
        <v>8</v>
      </c>
      <c r="Z80" s="99">
        <v>8</v>
      </c>
      <c r="AA80" s="99">
        <v>9</v>
      </c>
      <c r="AB80" s="99">
        <v>9</v>
      </c>
      <c r="AC80" s="99">
        <v>10</v>
      </c>
      <c r="AD80" s="99">
        <v>10</v>
      </c>
      <c r="AE80" s="99">
        <v>10</v>
      </c>
      <c r="AF80" s="99">
        <v>10</v>
      </c>
      <c r="AG80" s="99">
        <v>10</v>
      </c>
      <c r="AH80" s="99">
        <v>10</v>
      </c>
      <c r="AI80" s="92" t="s">
        <v>301</v>
      </c>
      <c r="AJ80" s="92"/>
      <c r="AK80" s="92" t="s">
        <v>288</v>
      </c>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2"/>
      <c r="BL80" s="92"/>
      <c r="BM80" s="92"/>
      <c r="BN80" s="92"/>
      <c r="BO80" s="92"/>
      <c r="BP80" s="92"/>
      <c r="BQ80" s="92"/>
      <c r="BR80" s="92"/>
      <c r="BS80" s="92"/>
      <c r="BT80" s="92"/>
      <c r="BU80" s="92"/>
      <c r="BV80" s="92"/>
      <c r="BW80" s="92"/>
      <c r="BX80" s="92"/>
      <c r="BY80" s="92"/>
      <c r="BZ80" s="92"/>
      <c r="CA80" s="92"/>
      <c r="CB80" s="92"/>
    </row>
    <row r="81" spans="1:80" ht="12.75" customHeight="1">
      <c r="A81" s="92"/>
      <c r="B81" s="92"/>
      <c r="C81" s="92"/>
      <c r="D81" s="92"/>
      <c r="E81" s="92"/>
      <c r="F81" s="92">
        <v>3</v>
      </c>
      <c r="G81" s="93" t="s">
        <v>305</v>
      </c>
      <c r="H81" s="99">
        <v>1</v>
      </c>
      <c r="I81" s="99">
        <v>1</v>
      </c>
      <c r="J81" s="99">
        <v>1</v>
      </c>
      <c r="K81" s="99">
        <v>1</v>
      </c>
      <c r="L81" s="99">
        <v>1</v>
      </c>
      <c r="M81" s="99">
        <v>1</v>
      </c>
      <c r="N81" s="99">
        <v>2</v>
      </c>
      <c r="O81" s="99">
        <v>2</v>
      </c>
      <c r="P81" s="99">
        <v>3</v>
      </c>
      <c r="Q81" s="99">
        <v>3</v>
      </c>
      <c r="R81" s="99">
        <v>4</v>
      </c>
      <c r="S81" s="99">
        <v>4</v>
      </c>
      <c r="T81" s="99">
        <v>5</v>
      </c>
      <c r="U81" s="99">
        <v>5</v>
      </c>
      <c r="V81" s="99">
        <v>6</v>
      </c>
      <c r="W81" s="99">
        <v>6</v>
      </c>
      <c r="X81" s="99">
        <v>7</v>
      </c>
      <c r="Y81" s="99">
        <v>8</v>
      </c>
      <c r="Z81" s="99">
        <v>8</v>
      </c>
      <c r="AA81" s="99">
        <v>9</v>
      </c>
      <c r="AB81" s="99">
        <v>9</v>
      </c>
      <c r="AC81" s="99">
        <v>10</v>
      </c>
      <c r="AD81" s="99">
        <v>10</v>
      </c>
      <c r="AE81" s="99">
        <v>10</v>
      </c>
      <c r="AF81" s="99">
        <v>10</v>
      </c>
      <c r="AG81" s="99">
        <v>10</v>
      </c>
      <c r="AH81" s="99">
        <v>10</v>
      </c>
      <c r="AI81" s="92" t="s">
        <v>301</v>
      </c>
      <c r="AJ81" s="92"/>
      <c r="AK81" s="92" t="s">
        <v>288</v>
      </c>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2"/>
      <c r="BL81" s="92"/>
      <c r="BM81" s="92"/>
      <c r="BN81" s="92"/>
      <c r="BO81" s="92"/>
      <c r="BP81" s="92"/>
      <c r="BQ81" s="92"/>
      <c r="BR81" s="92"/>
      <c r="BS81" s="92"/>
      <c r="BT81" s="92"/>
      <c r="BU81" s="92"/>
      <c r="BV81" s="92"/>
      <c r="BW81" s="92"/>
      <c r="BX81" s="92"/>
      <c r="BY81" s="92"/>
      <c r="BZ81" s="92"/>
      <c r="CA81" s="92"/>
      <c r="CB81" s="92"/>
    </row>
    <row r="82" spans="1:80" ht="12.75" customHeight="1">
      <c r="A82" s="92"/>
      <c r="B82" s="92"/>
      <c r="C82" s="92"/>
      <c r="D82" s="92"/>
      <c r="E82" s="92"/>
      <c r="F82" s="92">
        <v>4</v>
      </c>
      <c r="G82" s="93" t="s">
        <v>307</v>
      </c>
      <c r="H82" s="92">
        <v>1</v>
      </c>
      <c r="I82" s="92">
        <v>1</v>
      </c>
      <c r="J82" s="92">
        <v>1</v>
      </c>
      <c r="K82" s="92">
        <v>1</v>
      </c>
      <c r="L82" s="92">
        <v>1</v>
      </c>
      <c r="M82" s="92">
        <v>2</v>
      </c>
      <c r="N82" s="92">
        <v>2</v>
      </c>
      <c r="O82" s="92">
        <v>3</v>
      </c>
      <c r="P82" s="92">
        <v>3</v>
      </c>
      <c r="Q82" s="92">
        <v>4</v>
      </c>
      <c r="R82" s="92">
        <v>4</v>
      </c>
      <c r="S82" s="92">
        <v>5</v>
      </c>
      <c r="T82" s="92">
        <v>5</v>
      </c>
      <c r="U82" s="92">
        <v>6</v>
      </c>
      <c r="V82" s="92">
        <v>6</v>
      </c>
      <c r="W82" s="92">
        <v>7</v>
      </c>
      <c r="X82" s="92">
        <v>7</v>
      </c>
      <c r="Y82" s="92">
        <v>8</v>
      </c>
      <c r="Z82" s="92">
        <v>8</v>
      </c>
      <c r="AA82" s="92">
        <v>9</v>
      </c>
      <c r="AB82" s="92">
        <v>9</v>
      </c>
      <c r="AC82" s="92">
        <v>10</v>
      </c>
      <c r="AD82" s="92">
        <v>10</v>
      </c>
      <c r="AE82" s="92">
        <v>10</v>
      </c>
      <c r="AF82" s="92">
        <v>10</v>
      </c>
      <c r="AG82" s="92">
        <v>10</v>
      </c>
      <c r="AH82" s="92">
        <v>10</v>
      </c>
      <c r="AI82" s="92" t="s">
        <v>301</v>
      </c>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row>
    <row r="83" spans="1:80" ht="12.75" customHeight="1">
      <c r="A83" s="92"/>
      <c r="B83" s="92"/>
      <c r="C83" s="92"/>
      <c r="D83" s="92"/>
      <c r="E83" s="92"/>
      <c r="F83" s="92">
        <v>5</v>
      </c>
      <c r="G83" s="93" t="s">
        <v>309</v>
      </c>
      <c r="H83" s="92">
        <v>1</v>
      </c>
      <c r="I83" s="92">
        <v>1</v>
      </c>
      <c r="J83" s="92">
        <v>1</v>
      </c>
      <c r="K83" s="92">
        <v>1</v>
      </c>
      <c r="L83" s="92">
        <v>1</v>
      </c>
      <c r="M83" s="92">
        <v>2</v>
      </c>
      <c r="N83" s="92">
        <v>2</v>
      </c>
      <c r="O83" s="92">
        <v>3</v>
      </c>
      <c r="P83" s="92">
        <v>3</v>
      </c>
      <c r="Q83" s="92">
        <v>4</v>
      </c>
      <c r="R83" s="92">
        <v>5</v>
      </c>
      <c r="S83" s="92">
        <v>5</v>
      </c>
      <c r="T83" s="92">
        <v>6</v>
      </c>
      <c r="U83" s="92">
        <v>6</v>
      </c>
      <c r="V83" s="92">
        <v>7</v>
      </c>
      <c r="W83" s="92">
        <v>7</v>
      </c>
      <c r="X83" s="92">
        <v>7</v>
      </c>
      <c r="Y83" s="92">
        <v>8</v>
      </c>
      <c r="Z83" s="92">
        <v>8</v>
      </c>
      <c r="AA83" s="92">
        <v>9</v>
      </c>
      <c r="AB83" s="92">
        <v>9</v>
      </c>
      <c r="AC83" s="92">
        <v>10</v>
      </c>
      <c r="AD83" s="92">
        <v>10</v>
      </c>
      <c r="AE83" s="92">
        <v>10</v>
      </c>
      <c r="AF83" s="92">
        <v>10</v>
      </c>
      <c r="AG83" s="92">
        <v>10</v>
      </c>
      <c r="AH83" s="92">
        <v>10</v>
      </c>
      <c r="AI83" s="92" t="s">
        <v>301</v>
      </c>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row>
    <row r="84" spans="1:80" ht="12.75" customHeight="1">
      <c r="A84" s="92"/>
      <c r="B84" s="92"/>
      <c r="C84" s="92"/>
      <c r="D84" s="92"/>
      <c r="E84" s="92"/>
      <c r="F84" s="92">
        <v>6</v>
      </c>
      <c r="G84" s="93" t="s">
        <v>311</v>
      </c>
      <c r="H84" s="92">
        <v>1</v>
      </c>
      <c r="I84" s="92">
        <v>1</v>
      </c>
      <c r="J84" s="92">
        <v>1</v>
      </c>
      <c r="K84" s="92">
        <v>1</v>
      </c>
      <c r="L84" s="92">
        <v>1</v>
      </c>
      <c r="M84" s="92">
        <v>1</v>
      </c>
      <c r="N84" s="92">
        <v>2</v>
      </c>
      <c r="O84" s="92">
        <v>2</v>
      </c>
      <c r="P84" s="92">
        <v>3</v>
      </c>
      <c r="Q84" s="92">
        <v>4</v>
      </c>
      <c r="R84" s="92">
        <v>4</v>
      </c>
      <c r="S84" s="92">
        <v>5</v>
      </c>
      <c r="T84" s="92">
        <v>5</v>
      </c>
      <c r="U84" s="92">
        <v>6</v>
      </c>
      <c r="V84" s="92">
        <v>6</v>
      </c>
      <c r="W84" s="92">
        <v>7</v>
      </c>
      <c r="X84" s="92">
        <v>7</v>
      </c>
      <c r="Y84" s="92">
        <v>8</v>
      </c>
      <c r="Z84" s="92">
        <v>8</v>
      </c>
      <c r="AA84" s="92">
        <v>9</v>
      </c>
      <c r="AB84" s="92">
        <v>9</v>
      </c>
      <c r="AC84" s="92">
        <v>10</v>
      </c>
      <c r="AD84" s="92">
        <v>10</v>
      </c>
      <c r="AE84" s="92">
        <v>10</v>
      </c>
      <c r="AF84" s="92">
        <v>10</v>
      </c>
      <c r="AG84" s="92">
        <v>10</v>
      </c>
      <c r="AH84" s="92">
        <v>10</v>
      </c>
      <c r="AI84" s="92" t="s">
        <v>301</v>
      </c>
      <c r="AJ84" s="92"/>
      <c r="AK84" s="92" t="s">
        <v>288</v>
      </c>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row>
    <row r="85" spans="1:80" ht="12.75" customHeight="1">
      <c r="A85" s="92"/>
      <c r="B85" s="92"/>
      <c r="C85" s="92"/>
      <c r="D85" s="92"/>
      <c r="E85" s="92"/>
      <c r="F85" s="92">
        <v>7</v>
      </c>
      <c r="G85" s="93" t="s">
        <v>313</v>
      </c>
      <c r="H85" s="92">
        <v>1</v>
      </c>
      <c r="I85" s="92">
        <v>1</v>
      </c>
      <c r="J85" s="92">
        <v>1</v>
      </c>
      <c r="K85" s="92">
        <v>1</v>
      </c>
      <c r="L85" s="92">
        <v>1</v>
      </c>
      <c r="M85" s="92">
        <v>2</v>
      </c>
      <c r="N85" s="92">
        <v>3</v>
      </c>
      <c r="O85" s="92">
        <v>3</v>
      </c>
      <c r="P85" s="92">
        <v>4</v>
      </c>
      <c r="Q85" s="92">
        <v>5</v>
      </c>
      <c r="R85" s="92">
        <v>5</v>
      </c>
      <c r="S85" s="92">
        <v>6</v>
      </c>
      <c r="T85" s="92">
        <v>6</v>
      </c>
      <c r="U85" s="92">
        <v>7</v>
      </c>
      <c r="V85" s="92">
        <v>7</v>
      </c>
      <c r="W85" s="92">
        <v>7</v>
      </c>
      <c r="X85" s="92">
        <v>8</v>
      </c>
      <c r="Y85" s="92">
        <v>8</v>
      </c>
      <c r="Z85" s="92">
        <v>9</v>
      </c>
      <c r="AA85" s="92">
        <v>9</v>
      </c>
      <c r="AB85" s="92">
        <v>10</v>
      </c>
      <c r="AC85" s="92">
        <v>10</v>
      </c>
      <c r="AD85" s="92">
        <v>10</v>
      </c>
      <c r="AE85" s="92">
        <v>10</v>
      </c>
      <c r="AF85" s="92">
        <v>10</v>
      </c>
      <c r="AG85" s="92">
        <v>10</v>
      </c>
      <c r="AH85" s="92">
        <v>10</v>
      </c>
      <c r="AI85" s="92" t="s">
        <v>301</v>
      </c>
      <c r="AJ85" s="92"/>
      <c r="AK85" s="92" t="s">
        <v>288</v>
      </c>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2"/>
      <c r="BL85" s="92"/>
      <c r="BM85" s="92"/>
      <c r="BN85" s="92"/>
      <c r="BO85" s="92"/>
      <c r="BP85" s="92"/>
      <c r="BQ85" s="92"/>
      <c r="BR85" s="92"/>
      <c r="BS85" s="92"/>
      <c r="BT85" s="92"/>
      <c r="BU85" s="92"/>
      <c r="BV85" s="92"/>
      <c r="BW85" s="92"/>
      <c r="BX85" s="92"/>
      <c r="BY85" s="92"/>
      <c r="BZ85" s="92"/>
      <c r="CA85" s="92"/>
      <c r="CB85" s="92"/>
    </row>
    <row r="86" spans="1:80" ht="12.75" customHeight="1">
      <c r="A86" s="92"/>
      <c r="B86" s="92"/>
      <c r="C86" s="92"/>
      <c r="D86" s="92"/>
      <c r="E86" s="92"/>
      <c r="F86" s="92">
        <v>8</v>
      </c>
      <c r="G86" s="93" t="s">
        <v>315</v>
      </c>
      <c r="H86" s="92">
        <v>1</v>
      </c>
      <c r="I86" s="92">
        <v>1</v>
      </c>
      <c r="J86" s="92">
        <v>1</v>
      </c>
      <c r="K86" s="92">
        <v>1</v>
      </c>
      <c r="L86" s="92">
        <v>1</v>
      </c>
      <c r="M86" s="92">
        <v>1</v>
      </c>
      <c r="N86" s="92">
        <v>1</v>
      </c>
      <c r="O86" s="92">
        <v>2</v>
      </c>
      <c r="P86" s="92">
        <v>2</v>
      </c>
      <c r="Q86" s="92">
        <v>3</v>
      </c>
      <c r="R86" s="92">
        <v>3</v>
      </c>
      <c r="S86" s="92">
        <v>4</v>
      </c>
      <c r="T86" s="92">
        <v>4</v>
      </c>
      <c r="U86" s="92">
        <v>5</v>
      </c>
      <c r="V86" s="92">
        <v>5</v>
      </c>
      <c r="W86" s="92">
        <v>6</v>
      </c>
      <c r="X86" s="92">
        <v>6</v>
      </c>
      <c r="Y86" s="92">
        <v>7</v>
      </c>
      <c r="Z86" s="92">
        <v>7</v>
      </c>
      <c r="AA86" s="92">
        <v>8</v>
      </c>
      <c r="AB86" s="92">
        <v>8</v>
      </c>
      <c r="AC86" s="92">
        <v>9</v>
      </c>
      <c r="AD86" s="92">
        <v>10</v>
      </c>
      <c r="AE86" s="92">
        <v>10</v>
      </c>
      <c r="AF86" s="92">
        <v>10</v>
      </c>
      <c r="AG86" s="92">
        <v>10</v>
      </c>
      <c r="AH86" s="92">
        <v>10</v>
      </c>
      <c r="AI86" s="92" t="s">
        <v>301</v>
      </c>
      <c r="AJ86" s="92"/>
      <c r="AK86" s="92" t="s">
        <v>288</v>
      </c>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2"/>
      <c r="BL86" s="92"/>
      <c r="BM86" s="92"/>
      <c r="BN86" s="92"/>
      <c r="BO86" s="92"/>
      <c r="BP86" s="92"/>
      <c r="BQ86" s="92"/>
      <c r="BR86" s="92"/>
      <c r="BS86" s="92"/>
      <c r="BT86" s="92"/>
      <c r="BU86" s="92"/>
      <c r="BV86" s="92"/>
      <c r="BW86" s="92"/>
      <c r="BX86" s="92"/>
      <c r="BY86" s="92"/>
      <c r="BZ86" s="92"/>
      <c r="CA86" s="92"/>
      <c r="CB86" s="92"/>
    </row>
    <row r="87" spans="1:80" ht="12.75" customHeight="1">
      <c r="A87" s="92"/>
      <c r="B87" s="92"/>
      <c r="C87" s="92"/>
      <c r="D87" s="92"/>
      <c r="E87" s="92"/>
      <c r="F87" s="92">
        <v>9</v>
      </c>
      <c r="G87" s="93" t="s">
        <v>318</v>
      </c>
      <c r="H87" s="92">
        <v>1</v>
      </c>
      <c r="I87" s="92">
        <v>1</v>
      </c>
      <c r="J87" s="92">
        <v>1</v>
      </c>
      <c r="K87" s="92">
        <v>1</v>
      </c>
      <c r="L87" s="92">
        <v>1</v>
      </c>
      <c r="M87" s="92">
        <v>1</v>
      </c>
      <c r="N87" s="92">
        <v>1</v>
      </c>
      <c r="O87" s="92">
        <v>1</v>
      </c>
      <c r="P87" s="92">
        <v>2</v>
      </c>
      <c r="Q87" s="92">
        <v>2</v>
      </c>
      <c r="R87" s="92">
        <v>3</v>
      </c>
      <c r="S87" s="92">
        <v>4</v>
      </c>
      <c r="T87" s="92">
        <v>4</v>
      </c>
      <c r="U87" s="92">
        <v>5</v>
      </c>
      <c r="V87" s="92">
        <v>6</v>
      </c>
      <c r="W87" s="92">
        <v>6</v>
      </c>
      <c r="X87" s="92">
        <v>7</v>
      </c>
      <c r="Y87" s="92">
        <v>8</v>
      </c>
      <c r="Z87" s="92">
        <v>8</v>
      </c>
      <c r="AA87" s="92">
        <v>9</v>
      </c>
      <c r="AB87" s="92">
        <v>10</v>
      </c>
      <c r="AC87" s="92">
        <v>10</v>
      </c>
      <c r="AD87" s="92">
        <v>10</v>
      </c>
      <c r="AE87" s="92">
        <v>10</v>
      </c>
      <c r="AF87" s="92">
        <v>10</v>
      </c>
      <c r="AG87" s="92">
        <v>10</v>
      </c>
      <c r="AH87" s="92">
        <v>10</v>
      </c>
      <c r="AI87" s="92" t="s">
        <v>301</v>
      </c>
      <c r="AJ87" s="92"/>
      <c r="AK87" s="92" t="s">
        <v>288</v>
      </c>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2"/>
      <c r="BL87" s="92"/>
      <c r="BM87" s="92"/>
      <c r="BN87" s="92"/>
      <c r="BO87" s="92"/>
      <c r="BP87" s="92"/>
      <c r="BQ87" s="92"/>
      <c r="BR87" s="92"/>
      <c r="BS87" s="92"/>
      <c r="BT87" s="92"/>
      <c r="BU87" s="92"/>
      <c r="BV87" s="92"/>
      <c r="BW87" s="92"/>
      <c r="BX87" s="92"/>
      <c r="BY87" s="92"/>
      <c r="BZ87" s="92"/>
      <c r="CA87" s="92"/>
      <c r="CB87" s="92"/>
    </row>
    <row r="88" spans="1:80" ht="12.75" customHeight="1">
      <c r="A88" s="92"/>
      <c r="B88" s="92"/>
      <c r="C88" s="92"/>
      <c r="D88" s="92"/>
      <c r="E88" s="92"/>
      <c r="F88" s="92">
        <v>10</v>
      </c>
      <c r="G88" s="93" t="s">
        <v>320</v>
      </c>
      <c r="H88" s="92">
        <v>1</v>
      </c>
      <c r="I88" s="92">
        <v>1</v>
      </c>
      <c r="J88" s="92">
        <v>1</v>
      </c>
      <c r="K88" s="92">
        <v>1</v>
      </c>
      <c r="L88" s="92">
        <v>1</v>
      </c>
      <c r="M88" s="92">
        <v>1</v>
      </c>
      <c r="N88" s="92">
        <v>1</v>
      </c>
      <c r="O88" s="92">
        <v>2</v>
      </c>
      <c r="P88" s="92">
        <v>2</v>
      </c>
      <c r="Q88" s="92">
        <v>3</v>
      </c>
      <c r="R88" s="92">
        <v>3</v>
      </c>
      <c r="S88" s="92">
        <v>4</v>
      </c>
      <c r="T88" s="92">
        <v>4</v>
      </c>
      <c r="U88" s="92">
        <v>5</v>
      </c>
      <c r="V88" s="92">
        <v>5</v>
      </c>
      <c r="W88" s="92">
        <v>6</v>
      </c>
      <c r="X88" s="92">
        <v>6</v>
      </c>
      <c r="Y88" s="92">
        <v>7</v>
      </c>
      <c r="Z88" s="92">
        <v>7</v>
      </c>
      <c r="AA88" s="92">
        <v>8</v>
      </c>
      <c r="AB88" s="92">
        <v>8</v>
      </c>
      <c r="AC88" s="92">
        <v>9</v>
      </c>
      <c r="AD88" s="92">
        <v>10</v>
      </c>
      <c r="AE88" s="92">
        <v>10</v>
      </c>
      <c r="AF88" s="92">
        <v>10</v>
      </c>
      <c r="AG88" s="92">
        <v>10</v>
      </c>
      <c r="AH88" s="92">
        <v>10</v>
      </c>
      <c r="AI88" s="92" t="s">
        <v>301</v>
      </c>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2"/>
      <c r="BL88" s="92"/>
      <c r="BM88" s="92"/>
      <c r="BN88" s="92"/>
      <c r="BO88" s="92"/>
      <c r="BP88" s="92"/>
      <c r="BQ88" s="92"/>
      <c r="BR88" s="92"/>
      <c r="BS88" s="92"/>
      <c r="BT88" s="92"/>
      <c r="BU88" s="92"/>
      <c r="BV88" s="92"/>
      <c r="BW88" s="92"/>
      <c r="BX88" s="92"/>
      <c r="BY88" s="92"/>
      <c r="BZ88" s="92"/>
      <c r="CA88" s="92"/>
      <c r="CB88" s="92"/>
    </row>
    <row r="89" spans="1:80" ht="12.75" customHeight="1">
      <c r="A89" s="92"/>
      <c r="B89" s="92"/>
      <c r="C89" s="92"/>
      <c r="D89" s="92"/>
      <c r="E89" s="92"/>
      <c r="F89" s="92">
        <v>11</v>
      </c>
      <c r="G89" s="93" t="s">
        <v>322</v>
      </c>
      <c r="H89" s="92">
        <v>1</v>
      </c>
      <c r="I89" s="92">
        <v>1</v>
      </c>
      <c r="J89" s="92">
        <v>1</v>
      </c>
      <c r="K89" s="92">
        <v>1</v>
      </c>
      <c r="L89" s="92">
        <v>1</v>
      </c>
      <c r="M89" s="92">
        <v>1</v>
      </c>
      <c r="N89" s="92">
        <v>1</v>
      </c>
      <c r="O89" s="92">
        <v>1</v>
      </c>
      <c r="P89" s="92">
        <v>2</v>
      </c>
      <c r="Q89" s="92">
        <v>2</v>
      </c>
      <c r="R89" s="92">
        <v>3</v>
      </c>
      <c r="S89" s="92">
        <v>4</v>
      </c>
      <c r="T89" s="92">
        <v>4</v>
      </c>
      <c r="U89" s="92">
        <v>5</v>
      </c>
      <c r="V89" s="92">
        <v>6</v>
      </c>
      <c r="W89" s="92">
        <v>6</v>
      </c>
      <c r="X89" s="92">
        <v>7</v>
      </c>
      <c r="Y89" s="92">
        <v>8</v>
      </c>
      <c r="Z89" s="92">
        <v>8</v>
      </c>
      <c r="AA89" s="92">
        <v>9</v>
      </c>
      <c r="AB89" s="92">
        <v>10</v>
      </c>
      <c r="AC89" s="92">
        <v>10</v>
      </c>
      <c r="AD89" s="92">
        <v>10</v>
      </c>
      <c r="AE89" s="92">
        <v>10</v>
      </c>
      <c r="AF89" s="92">
        <v>10</v>
      </c>
      <c r="AG89" s="92">
        <v>10</v>
      </c>
      <c r="AH89" s="92">
        <v>10</v>
      </c>
      <c r="AI89" s="92" t="s">
        <v>301</v>
      </c>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2"/>
      <c r="BL89" s="92"/>
      <c r="BM89" s="92"/>
      <c r="BN89" s="92"/>
      <c r="BO89" s="92"/>
      <c r="BP89" s="92"/>
      <c r="BQ89" s="92"/>
      <c r="BR89" s="92"/>
      <c r="BS89" s="92"/>
      <c r="BT89" s="92"/>
      <c r="BU89" s="92"/>
      <c r="BV89" s="92"/>
      <c r="BW89" s="92"/>
      <c r="BX89" s="92"/>
      <c r="BY89" s="92"/>
      <c r="BZ89" s="92"/>
      <c r="CA89" s="92"/>
      <c r="CB89" s="92"/>
    </row>
    <row r="90" spans="1:80" ht="12.75" customHeight="1">
      <c r="A90" s="92"/>
      <c r="B90" s="92"/>
      <c r="C90" s="92"/>
      <c r="D90" s="92"/>
      <c r="E90" s="92"/>
      <c r="F90" s="92">
        <v>12</v>
      </c>
      <c r="G90" s="93" t="s">
        <v>324</v>
      </c>
      <c r="H90" s="92">
        <v>1</v>
      </c>
      <c r="I90" s="92">
        <v>1</v>
      </c>
      <c r="J90" s="92">
        <v>1</v>
      </c>
      <c r="K90" s="92">
        <v>1</v>
      </c>
      <c r="L90" s="92">
        <v>1</v>
      </c>
      <c r="M90" s="92">
        <v>1</v>
      </c>
      <c r="N90" s="92">
        <v>1</v>
      </c>
      <c r="O90" s="92">
        <v>2</v>
      </c>
      <c r="P90" s="92">
        <v>2</v>
      </c>
      <c r="Q90" s="92">
        <v>3</v>
      </c>
      <c r="R90" s="92">
        <v>3</v>
      </c>
      <c r="S90" s="92">
        <v>4</v>
      </c>
      <c r="T90" s="92">
        <v>5</v>
      </c>
      <c r="U90" s="92">
        <v>5</v>
      </c>
      <c r="V90" s="92">
        <v>6</v>
      </c>
      <c r="W90" s="92">
        <v>6</v>
      </c>
      <c r="X90" s="92">
        <v>7</v>
      </c>
      <c r="Y90" s="92">
        <v>7</v>
      </c>
      <c r="Z90" s="92">
        <v>8</v>
      </c>
      <c r="AA90" s="92">
        <v>9</v>
      </c>
      <c r="AB90" s="92">
        <v>9</v>
      </c>
      <c r="AC90" s="92">
        <v>10</v>
      </c>
      <c r="AD90" s="92">
        <v>10</v>
      </c>
      <c r="AE90" s="92">
        <v>10</v>
      </c>
      <c r="AF90" s="92">
        <v>10</v>
      </c>
      <c r="AG90" s="92">
        <v>10</v>
      </c>
      <c r="AH90" s="92">
        <v>10</v>
      </c>
      <c r="AI90" s="92" t="s">
        <v>301</v>
      </c>
      <c r="AJ90" s="92"/>
      <c r="AK90" s="92" t="s">
        <v>288</v>
      </c>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2"/>
      <c r="BL90" s="92"/>
      <c r="BM90" s="92"/>
      <c r="BN90" s="92"/>
      <c r="BO90" s="92"/>
      <c r="BP90" s="92"/>
      <c r="BQ90" s="92"/>
      <c r="BR90" s="92"/>
      <c r="BS90" s="92"/>
      <c r="BT90" s="92"/>
      <c r="BU90" s="92"/>
      <c r="BV90" s="92"/>
      <c r="BW90" s="92"/>
      <c r="BX90" s="92"/>
      <c r="BY90" s="92"/>
      <c r="BZ90" s="92"/>
      <c r="CA90" s="92"/>
      <c r="CB90" s="92"/>
    </row>
    <row r="91" spans="1:80" ht="12.75" customHeight="1">
      <c r="A91" s="92"/>
      <c r="B91" s="92"/>
      <c r="C91" s="92"/>
      <c r="D91" s="92"/>
      <c r="E91" s="92"/>
      <c r="F91" s="92">
        <v>13</v>
      </c>
      <c r="G91" s="93" t="s">
        <v>326</v>
      </c>
      <c r="H91" s="92">
        <v>1</v>
      </c>
      <c r="I91" s="92">
        <v>1</v>
      </c>
      <c r="J91" s="92">
        <v>1</v>
      </c>
      <c r="K91" s="92">
        <v>1</v>
      </c>
      <c r="L91" s="92">
        <v>1</v>
      </c>
      <c r="M91" s="92">
        <v>2</v>
      </c>
      <c r="N91" s="92">
        <v>2</v>
      </c>
      <c r="O91" s="92">
        <v>3</v>
      </c>
      <c r="P91" s="92">
        <v>3</v>
      </c>
      <c r="Q91" s="92">
        <v>4</v>
      </c>
      <c r="R91" s="92">
        <v>4</v>
      </c>
      <c r="S91" s="92">
        <v>5</v>
      </c>
      <c r="T91" s="92">
        <v>5</v>
      </c>
      <c r="U91" s="92">
        <v>6</v>
      </c>
      <c r="V91" s="92">
        <v>6</v>
      </c>
      <c r="W91" s="92">
        <v>7</v>
      </c>
      <c r="X91" s="92">
        <v>7</v>
      </c>
      <c r="Y91" s="92">
        <v>8</v>
      </c>
      <c r="Z91" s="92">
        <v>8</v>
      </c>
      <c r="AA91" s="92">
        <v>9</v>
      </c>
      <c r="AB91" s="92">
        <v>9</v>
      </c>
      <c r="AC91" s="92">
        <v>10</v>
      </c>
      <c r="AD91" s="92">
        <v>10</v>
      </c>
      <c r="AE91" s="92">
        <v>10</v>
      </c>
      <c r="AF91" s="92">
        <v>10</v>
      </c>
      <c r="AG91" s="92">
        <v>10</v>
      </c>
      <c r="AH91" s="92">
        <v>10</v>
      </c>
      <c r="AI91" s="92" t="s">
        <v>301</v>
      </c>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row>
    <row r="92" spans="1:80" ht="12.75" customHeight="1">
      <c r="A92" s="92"/>
      <c r="B92" s="92"/>
      <c r="C92" s="92"/>
      <c r="D92" s="92"/>
      <c r="E92" s="92"/>
      <c r="F92" s="92">
        <v>14</v>
      </c>
      <c r="G92" s="93" t="s">
        <v>328</v>
      </c>
      <c r="H92" s="92">
        <v>1</v>
      </c>
      <c r="I92" s="92">
        <v>1</v>
      </c>
      <c r="J92" s="92">
        <v>1</v>
      </c>
      <c r="K92" s="92">
        <v>1</v>
      </c>
      <c r="L92" s="92">
        <v>1</v>
      </c>
      <c r="M92" s="92">
        <v>1</v>
      </c>
      <c r="N92" s="92">
        <v>1</v>
      </c>
      <c r="O92" s="92">
        <v>2</v>
      </c>
      <c r="P92" s="92">
        <v>3</v>
      </c>
      <c r="Q92" s="92">
        <v>3</v>
      </c>
      <c r="R92" s="92">
        <v>4</v>
      </c>
      <c r="S92" s="92">
        <v>5</v>
      </c>
      <c r="T92" s="92">
        <v>5</v>
      </c>
      <c r="U92" s="92">
        <v>5</v>
      </c>
      <c r="V92" s="92">
        <v>6</v>
      </c>
      <c r="W92" s="92">
        <v>6</v>
      </c>
      <c r="X92" s="92">
        <v>7</v>
      </c>
      <c r="Y92" s="92">
        <v>7</v>
      </c>
      <c r="Z92" s="92">
        <v>8</v>
      </c>
      <c r="AA92" s="92">
        <v>8</v>
      </c>
      <c r="AB92" s="92">
        <v>9</v>
      </c>
      <c r="AC92" s="92">
        <v>9</v>
      </c>
      <c r="AD92" s="92">
        <v>10</v>
      </c>
      <c r="AE92" s="92">
        <v>10</v>
      </c>
      <c r="AF92" s="92">
        <v>10</v>
      </c>
      <c r="AG92" s="92">
        <v>10</v>
      </c>
      <c r="AH92" s="92">
        <v>10</v>
      </c>
      <c r="AI92" s="92" t="s">
        <v>301</v>
      </c>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row>
    <row r="93" spans="1:80" ht="12.75" customHeight="1">
      <c r="A93" s="92"/>
      <c r="B93" s="92"/>
      <c r="C93" s="92"/>
      <c r="D93" s="92"/>
      <c r="E93" s="92"/>
      <c r="F93" s="92">
        <v>15</v>
      </c>
      <c r="G93" s="93" t="s">
        <v>330</v>
      </c>
      <c r="H93" s="92">
        <v>1</v>
      </c>
      <c r="I93" s="92">
        <v>1</v>
      </c>
      <c r="J93" s="92">
        <v>1</v>
      </c>
      <c r="K93" s="92">
        <v>1</v>
      </c>
      <c r="L93" s="92">
        <v>1</v>
      </c>
      <c r="M93" s="92">
        <v>1</v>
      </c>
      <c r="N93" s="92">
        <v>2</v>
      </c>
      <c r="O93" s="92">
        <v>3</v>
      </c>
      <c r="P93" s="92">
        <v>3</v>
      </c>
      <c r="Q93" s="92">
        <v>4</v>
      </c>
      <c r="R93" s="92">
        <v>5</v>
      </c>
      <c r="S93" s="92">
        <v>5</v>
      </c>
      <c r="T93" s="92">
        <v>6</v>
      </c>
      <c r="U93" s="92">
        <v>6</v>
      </c>
      <c r="V93" s="92">
        <v>7</v>
      </c>
      <c r="W93" s="92">
        <v>7</v>
      </c>
      <c r="X93" s="92">
        <v>8</v>
      </c>
      <c r="Y93" s="92">
        <v>8</v>
      </c>
      <c r="Z93" s="92">
        <v>9</v>
      </c>
      <c r="AA93" s="92">
        <v>9</v>
      </c>
      <c r="AB93" s="92">
        <v>10</v>
      </c>
      <c r="AC93" s="92">
        <v>10</v>
      </c>
      <c r="AD93" s="92">
        <v>10</v>
      </c>
      <c r="AE93" s="92">
        <v>10</v>
      </c>
      <c r="AF93" s="92">
        <v>10</v>
      </c>
      <c r="AG93" s="92">
        <v>10</v>
      </c>
      <c r="AH93" s="92">
        <v>10</v>
      </c>
      <c r="AI93" s="92" t="s">
        <v>301</v>
      </c>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row>
    <row r="94" spans="1:80" ht="12.75" customHeight="1">
      <c r="A94" s="92"/>
      <c r="B94" s="92"/>
      <c r="C94" s="92"/>
      <c r="D94" s="92"/>
      <c r="E94" s="92"/>
      <c r="F94" s="92">
        <v>16</v>
      </c>
      <c r="G94" s="93" t="s">
        <v>341</v>
      </c>
      <c r="H94" s="92">
        <v>1</v>
      </c>
      <c r="I94" s="92">
        <v>1</v>
      </c>
      <c r="J94" s="92">
        <v>1</v>
      </c>
      <c r="K94" s="92">
        <v>1</v>
      </c>
      <c r="L94" s="92">
        <v>1</v>
      </c>
      <c r="M94" s="92">
        <v>1</v>
      </c>
      <c r="N94" s="92">
        <v>2</v>
      </c>
      <c r="O94" s="92">
        <v>2</v>
      </c>
      <c r="P94" s="92">
        <v>2</v>
      </c>
      <c r="Q94" s="92">
        <v>3</v>
      </c>
      <c r="R94" s="92">
        <v>3</v>
      </c>
      <c r="S94" s="92">
        <v>3</v>
      </c>
      <c r="T94" s="92">
        <v>4</v>
      </c>
      <c r="U94" s="92">
        <v>4</v>
      </c>
      <c r="V94" s="92">
        <v>4</v>
      </c>
      <c r="W94" s="92">
        <v>5</v>
      </c>
      <c r="X94" s="92">
        <v>6</v>
      </c>
      <c r="Y94" s="92">
        <v>7</v>
      </c>
      <c r="Z94" s="92">
        <v>7</v>
      </c>
      <c r="AA94" s="92">
        <v>8</v>
      </c>
      <c r="AB94" s="92">
        <v>9</v>
      </c>
      <c r="AC94" s="92" t="s">
        <v>301</v>
      </c>
      <c r="AD94" s="92" t="s">
        <v>301</v>
      </c>
      <c r="AE94" s="92" t="s">
        <v>301</v>
      </c>
      <c r="AF94" s="92" t="s">
        <v>301</v>
      </c>
      <c r="AG94" s="92" t="s">
        <v>301</v>
      </c>
      <c r="AH94" s="92" t="s">
        <v>301</v>
      </c>
      <c r="AI94" s="92" t="s">
        <v>301</v>
      </c>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2"/>
      <c r="BL94" s="92"/>
      <c r="BM94" s="92"/>
      <c r="BN94" s="92"/>
      <c r="BO94" s="92"/>
      <c r="BP94" s="92"/>
      <c r="BQ94" s="92"/>
      <c r="BR94" s="92"/>
      <c r="BS94" s="92"/>
      <c r="BT94" s="92"/>
      <c r="BU94" s="92"/>
      <c r="BV94" s="92"/>
      <c r="BW94" s="92"/>
      <c r="BX94" s="92"/>
      <c r="BY94" s="92"/>
      <c r="BZ94" s="92"/>
      <c r="CA94" s="92"/>
      <c r="CB94" s="92"/>
    </row>
    <row r="95" spans="1:80" ht="12.75" customHeight="1">
      <c r="A95" s="92"/>
      <c r="B95" s="92"/>
      <c r="C95" s="92"/>
      <c r="D95" s="92"/>
      <c r="E95" s="92"/>
      <c r="F95" s="92">
        <v>17</v>
      </c>
      <c r="G95" s="93" t="s">
        <v>343</v>
      </c>
      <c r="H95" s="92">
        <v>1</v>
      </c>
      <c r="I95" s="92">
        <v>1</v>
      </c>
      <c r="J95" s="92">
        <v>1</v>
      </c>
      <c r="K95" s="92">
        <v>1</v>
      </c>
      <c r="L95" s="92">
        <v>1</v>
      </c>
      <c r="M95" s="92">
        <v>2</v>
      </c>
      <c r="N95" s="92">
        <v>2</v>
      </c>
      <c r="O95" s="92">
        <v>2</v>
      </c>
      <c r="P95" s="92">
        <v>3</v>
      </c>
      <c r="Q95" s="92">
        <v>3</v>
      </c>
      <c r="R95" s="92">
        <v>4</v>
      </c>
      <c r="S95" s="92">
        <v>4</v>
      </c>
      <c r="T95" s="92">
        <v>4</v>
      </c>
      <c r="U95" s="92">
        <v>4</v>
      </c>
      <c r="V95" s="92">
        <v>5</v>
      </c>
      <c r="W95" s="92">
        <v>6</v>
      </c>
      <c r="X95" s="92">
        <v>7</v>
      </c>
      <c r="Y95" s="92">
        <v>7</v>
      </c>
      <c r="Z95" s="92">
        <v>8</v>
      </c>
      <c r="AA95" s="92">
        <v>9</v>
      </c>
      <c r="AB95" s="92">
        <v>10</v>
      </c>
      <c r="AC95" s="92" t="s">
        <v>301</v>
      </c>
      <c r="AD95" s="92" t="s">
        <v>301</v>
      </c>
      <c r="AE95" s="92" t="s">
        <v>301</v>
      </c>
      <c r="AF95" s="92" t="s">
        <v>301</v>
      </c>
      <c r="AG95" s="92" t="s">
        <v>301</v>
      </c>
      <c r="AH95" s="92" t="s">
        <v>301</v>
      </c>
      <c r="AI95" s="92" t="s">
        <v>301</v>
      </c>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2"/>
      <c r="BL95" s="92"/>
      <c r="BM95" s="92"/>
      <c r="BN95" s="92"/>
      <c r="BO95" s="92"/>
      <c r="BP95" s="92"/>
      <c r="BQ95" s="92"/>
      <c r="BR95" s="92"/>
      <c r="BS95" s="92"/>
      <c r="BT95" s="92"/>
      <c r="BU95" s="92"/>
      <c r="BV95" s="92"/>
      <c r="BW95" s="92"/>
      <c r="BX95" s="92"/>
      <c r="BY95" s="92"/>
      <c r="BZ95" s="92"/>
      <c r="CA95" s="92"/>
      <c r="CB95" s="92"/>
    </row>
    <row r="96" spans="1:80" ht="12.75" customHeight="1">
      <c r="A96" s="92"/>
      <c r="B96" s="92"/>
      <c r="C96" s="92"/>
      <c r="D96" s="92"/>
      <c r="E96" s="92"/>
      <c r="F96" s="92">
        <v>18</v>
      </c>
      <c r="G96" s="93" t="s">
        <v>348</v>
      </c>
      <c r="H96" s="92">
        <v>1</v>
      </c>
      <c r="I96" s="92">
        <v>1</v>
      </c>
      <c r="J96" s="92">
        <v>1</v>
      </c>
      <c r="K96" s="92">
        <v>1</v>
      </c>
      <c r="L96" s="92">
        <v>1</v>
      </c>
      <c r="M96" s="92">
        <v>1</v>
      </c>
      <c r="N96" s="92">
        <v>2</v>
      </c>
      <c r="O96" s="92">
        <v>2</v>
      </c>
      <c r="P96" s="92">
        <v>2</v>
      </c>
      <c r="Q96" s="92">
        <v>3</v>
      </c>
      <c r="R96" s="92">
        <v>3</v>
      </c>
      <c r="S96" s="92">
        <v>4</v>
      </c>
      <c r="T96" s="92">
        <v>4</v>
      </c>
      <c r="U96" s="92">
        <v>4</v>
      </c>
      <c r="V96" s="92">
        <v>4</v>
      </c>
      <c r="W96" s="92">
        <v>5</v>
      </c>
      <c r="X96" s="92">
        <v>6</v>
      </c>
      <c r="Y96" s="92">
        <v>7</v>
      </c>
      <c r="Z96" s="92">
        <v>7</v>
      </c>
      <c r="AA96" s="92">
        <v>8</v>
      </c>
      <c r="AB96" s="92">
        <v>9</v>
      </c>
      <c r="AC96" s="92" t="s">
        <v>301</v>
      </c>
      <c r="AD96" s="92" t="s">
        <v>301</v>
      </c>
      <c r="AE96" s="92" t="s">
        <v>301</v>
      </c>
      <c r="AF96" s="92" t="s">
        <v>301</v>
      </c>
      <c r="AG96" s="92" t="s">
        <v>301</v>
      </c>
      <c r="AH96" s="92" t="s">
        <v>301</v>
      </c>
      <c r="AI96" s="92" t="s">
        <v>301</v>
      </c>
      <c r="AJ96" s="92"/>
      <c r="AK96" s="92" t="s">
        <v>288</v>
      </c>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2"/>
      <c r="BL96" s="92"/>
      <c r="BM96" s="92"/>
      <c r="BN96" s="92"/>
      <c r="BO96" s="92"/>
      <c r="BP96" s="92"/>
      <c r="BQ96" s="92"/>
      <c r="BR96" s="92"/>
      <c r="BS96" s="92"/>
      <c r="BT96" s="92"/>
      <c r="BU96" s="92"/>
      <c r="BV96" s="92"/>
      <c r="BW96" s="92"/>
      <c r="BX96" s="92"/>
      <c r="BY96" s="92"/>
      <c r="BZ96" s="92"/>
      <c r="CA96" s="92"/>
      <c r="CB96" s="92"/>
    </row>
    <row r="97" spans="1:80" ht="12.75" customHeight="1">
      <c r="A97" s="92"/>
      <c r="B97" s="92"/>
      <c r="C97" s="92"/>
      <c r="D97" s="92"/>
      <c r="E97" s="92"/>
      <c r="F97" s="92"/>
      <c r="G97" s="93"/>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2" t="s">
        <v>288</v>
      </c>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2"/>
      <c r="BL97" s="92"/>
      <c r="BM97" s="92"/>
      <c r="BN97" s="92"/>
      <c r="BO97" s="92"/>
      <c r="BP97" s="92"/>
      <c r="BQ97" s="92"/>
      <c r="BR97" s="92"/>
      <c r="BS97" s="92"/>
      <c r="BT97" s="92"/>
      <c r="BU97" s="92"/>
      <c r="BV97" s="92"/>
      <c r="BW97" s="92"/>
      <c r="BX97" s="92"/>
      <c r="BY97" s="92"/>
      <c r="BZ97" s="92"/>
      <c r="CA97" s="92"/>
      <c r="CB97" s="92"/>
    </row>
    <row r="98" spans="1:80" ht="12.75" customHeight="1">
      <c r="A98" s="92"/>
      <c r="B98" s="92"/>
      <c r="C98" s="92"/>
      <c r="D98" s="92"/>
      <c r="E98" s="92"/>
      <c r="F98" s="92"/>
      <c r="G98" s="93"/>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2" t="s">
        <v>288</v>
      </c>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2"/>
      <c r="BL98" s="92"/>
      <c r="BM98" s="92"/>
      <c r="BN98" s="92"/>
      <c r="BO98" s="92"/>
      <c r="BP98" s="92"/>
      <c r="BQ98" s="92"/>
      <c r="BR98" s="92"/>
      <c r="BS98" s="92"/>
      <c r="BT98" s="92"/>
      <c r="BU98" s="92"/>
      <c r="BV98" s="92"/>
      <c r="BW98" s="92"/>
      <c r="BX98" s="92"/>
      <c r="BY98" s="92"/>
      <c r="BZ98" s="92"/>
      <c r="CA98" s="92"/>
      <c r="CB98" s="92"/>
    </row>
    <row r="99" spans="1:80" ht="12.75" customHeight="1">
      <c r="A99" s="92"/>
      <c r="B99" s="92"/>
      <c r="C99" s="92"/>
      <c r="D99" s="92"/>
      <c r="E99" s="92"/>
      <c r="F99" s="92"/>
      <c r="G99" s="93"/>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2" t="s">
        <v>288</v>
      </c>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2"/>
      <c r="BL99" s="92"/>
      <c r="BM99" s="92"/>
      <c r="BN99" s="92"/>
      <c r="BO99" s="92"/>
      <c r="BP99" s="92"/>
      <c r="BQ99" s="92"/>
      <c r="BR99" s="92"/>
      <c r="BS99" s="92"/>
      <c r="BT99" s="92"/>
      <c r="BU99" s="92"/>
      <c r="BV99" s="92"/>
      <c r="BW99" s="92"/>
      <c r="BX99" s="92"/>
      <c r="BY99" s="92"/>
      <c r="BZ99" s="92"/>
      <c r="CA99" s="92"/>
      <c r="CB99" s="92"/>
    </row>
    <row r="100" spans="1:80" ht="12.75" customHeight="1">
      <c r="A100" s="92"/>
      <c r="B100" s="92"/>
      <c r="C100" s="92"/>
      <c r="D100" s="92"/>
      <c r="E100" s="92"/>
      <c r="F100" s="92"/>
      <c r="G100" s="93" t="s">
        <v>406</v>
      </c>
      <c r="H100" s="92">
        <v>0</v>
      </c>
      <c r="I100" s="92">
        <v>1</v>
      </c>
      <c r="J100" s="92">
        <v>2</v>
      </c>
      <c r="K100" s="92">
        <v>3</v>
      </c>
      <c r="L100" s="92">
        <v>4</v>
      </c>
      <c r="M100" s="92">
        <v>5</v>
      </c>
      <c r="N100" s="92">
        <v>6</v>
      </c>
      <c r="O100" s="92">
        <v>7</v>
      </c>
      <c r="P100" s="92">
        <v>8</v>
      </c>
      <c r="Q100" s="92">
        <v>9</v>
      </c>
      <c r="R100" s="92">
        <v>10</v>
      </c>
      <c r="S100" s="92">
        <v>11</v>
      </c>
      <c r="T100" s="92">
        <v>12</v>
      </c>
      <c r="U100" s="92">
        <v>13</v>
      </c>
      <c r="V100" s="92">
        <v>14</v>
      </c>
      <c r="W100" s="92">
        <v>15</v>
      </c>
      <c r="X100" s="92">
        <v>16</v>
      </c>
      <c r="Y100" s="92">
        <v>17</v>
      </c>
      <c r="Z100" s="92">
        <v>18</v>
      </c>
      <c r="AA100" s="92">
        <v>19</v>
      </c>
      <c r="AB100" s="92">
        <v>20</v>
      </c>
      <c r="AC100" s="92">
        <v>21</v>
      </c>
      <c r="AD100" s="92">
        <v>22</v>
      </c>
      <c r="AE100" s="92">
        <v>23</v>
      </c>
      <c r="AF100" s="92">
        <v>24</v>
      </c>
      <c r="AG100" s="92">
        <v>25</v>
      </c>
      <c r="AH100" s="92">
        <v>26</v>
      </c>
      <c r="AI100" s="92">
        <v>99</v>
      </c>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c r="BW100" s="92"/>
      <c r="BX100" s="92"/>
      <c r="BY100" s="92"/>
      <c r="BZ100" s="92"/>
      <c r="CA100" s="92"/>
      <c r="CB100" s="92"/>
    </row>
    <row r="101" spans="1:80" ht="12.75" customHeight="1">
      <c r="A101" s="92"/>
      <c r="B101" s="92"/>
      <c r="C101" s="92"/>
      <c r="D101" s="92"/>
      <c r="E101" s="92"/>
      <c r="F101" s="92">
        <v>1</v>
      </c>
      <c r="G101" s="93" t="s">
        <v>300</v>
      </c>
      <c r="H101" s="99">
        <v>1</v>
      </c>
      <c r="I101" s="99">
        <v>1</v>
      </c>
      <c r="J101" s="99">
        <v>1</v>
      </c>
      <c r="K101" s="99">
        <v>1</v>
      </c>
      <c r="L101" s="99">
        <v>1</v>
      </c>
      <c r="M101" s="99">
        <v>1</v>
      </c>
      <c r="N101" s="99">
        <v>1</v>
      </c>
      <c r="O101" s="99">
        <v>2</v>
      </c>
      <c r="P101" s="99">
        <v>2</v>
      </c>
      <c r="Q101" s="99">
        <v>3</v>
      </c>
      <c r="R101" s="99">
        <v>3</v>
      </c>
      <c r="S101" s="99">
        <v>4</v>
      </c>
      <c r="T101" s="99">
        <v>4</v>
      </c>
      <c r="U101" s="99">
        <v>5</v>
      </c>
      <c r="V101" s="99">
        <v>5</v>
      </c>
      <c r="W101" s="99">
        <v>6</v>
      </c>
      <c r="X101" s="99">
        <v>6</v>
      </c>
      <c r="Y101" s="99">
        <v>6</v>
      </c>
      <c r="Z101" s="99">
        <v>7</v>
      </c>
      <c r="AA101" s="99">
        <v>7</v>
      </c>
      <c r="AB101" s="99">
        <v>8</v>
      </c>
      <c r="AC101" s="99">
        <v>8</v>
      </c>
      <c r="AD101" s="99">
        <v>9</v>
      </c>
      <c r="AE101" s="99">
        <v>9</v>
      </c>
      <c r="AF101" s="99">
        <v>10</v>
      </c>
      <c r="AG101" s="99">
        <v>10</v>
      </c>
      <c r="AH101" s="99">
        <v>10</v>
      </c>
      <c r="AI101" s="92" t="s">
        <v>301</v>
      </c>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c r="BW101" s="92"/>
      <c r="BX101" s="92"/>
      <c r="BY101" s="92"/>
      <c r="BZ101" s="92"/>
      <c r="CA101" s="92"/>
      <c r="CB101" s="92"/>
    </row>
    <row r="102" spans="1:80" ht="12.75" customHeight="1">
      <c r="A102" s="92"/>
      <c r="B102" s="92"/>
      <c r="C102" s="92"/>
      <c r="D102" s="92"/>
      <c r="E102" s="92"/>
      <c r="F102" s="92">
        <v>2</v>
      </c>
      <c r="G102" s="93" t="s">
        <v>303</v>
      </c>
      <c r="H102" s="99">
        <v>1</v>
      </c>
      <c r="I102" s="99">
        <v>1</v>
      </c>
      <c r="J102" s="99">
        <v>1</v>
      </c>
      <c r="K102" s="99">
        <v>1</v>
      </c>
      <c r="L102" s="99">
        <v>1</v>
      </c>
      <c r="M102" s="99">
        <v>1</v>
      </c>
      <c r="N102" s="99">
        <v>1</v>
      </c>
      <c r="O102" s="99">
        <v>2</v>
      </c>
      <c r="P102" s="99">
        <v>2</v>
      </c>
      <c r="Q102" s="99">
        <v>2</v>
      </c>
      <c r="R102" s="99">
        <v>3</v>
      </c>
      <c r="S102" s="99">
        <v>3</v>
      </c>
      <c r="T102" s="99">
        <v>4</v>
      </c>
      <c r="U102" s="99">
        <v>4</v>
      </c>
      <c r="V102" s="99">
        <v>5</v>
      </c>
      <c r="W102" s="99">
        <v>5</v>
      </c>
      <c r="X102" s="99">
        <v>6</v>
      </c>
      <c r="Y102" s="99">
        <v>6</v>
      </c>
      <c r="Z102" s="99">
        <v>7</v>
      </c>
      <c r="AA102" s="99">
        <v>7</v>
      </c>
      <c r="AB102" s="99">
        <v>8</v>
      </c>
      <c r="AC102" s="99">
        <v>8</v>
      </c>
      <c r="AD102" s="99">
        <v>9</v>
      </c>
      <c r="AE102" s="99">
        <v>9</v>
      </c>
      <c r="AF102" s="99">
        <v>10</v>
      </c>
      <c r="AG102" s="99">
        <v>10</v>
      </c>
      <c r="AH102" s="99">
        <v>10</v>
      </c>
      <c r="AI102" s="92" t="s">
        <v>301</v>
      </c>
      <c r="AJ102" s="92"/>
      <c r="AK102" s="92" t="s">
        <v>288</v>
      </c>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2"/>
      <c r="BL102" s="92"/>
      <c r="BM102" s="92"/>
      <c r="BN102" s="92"/>
      <c r="BO102" s="92"/>
      <c r="BP102" s="92"/>
      <c r="BQ102" s="92"/>
      <c r="BR102" s="92"/>
      <c r="BS102" s="92"/>
      <c r="BT102" s="92"/>
      <c r="BU102" s="92"/>
      <c r="BV102" s="92"/>
      <c r="BW102" s="92"/>
      <c r="BX102" s="92"/>
      <c r="BY102" s="92"/>
      <c r="BZ102" s="92"/>
      <c r="CA102" s="92"/>
      <c r="CB102" s="92"/>
    </row>
    <row r="103" spans="1:80" ht="12.75" customHeight="1">
      <c r="A103" s="92"/>
      <c r="B103" s="92"/>
      <c r="C103" s="92"/>
      <c r="D103" s="92"/>
      <c r="E103" s="92"/>
      <c r="F103" s="92">
        <v>3</v>
      </c>
      <c r="G103" s="93" t="s">
        <v>305</v>
      </c>
      <c r="H103" s="99">
        <v>1</v>
      </c>
      <c r="I103" s="99">
        <v>1</v>
      </c>
      <c r="J103" s="99">
        <v>1</v>
      </c>
      <c r="K103" s="99">
        <v>1</v>
      </c>
      <c r="L103" s="99">
        <v>1</v>
      </c>
      <c r="M103" s="99">
        <v>1</v>
      </c>
      <c r="N103" s="99">
        <v>1</v>
      </c>
      <c r="O103" s="99">
        <v>2</v>
      </c>
      <c r="P103" s="99">
        <v>2</v>
      </c>
      <c r="Q103" s="99">
        <v>3</v>
      </c>
      <c r="R103" s="99">
        <v>3</v>
      </c>
      <c r="S103" s="99">
        <v>4</v>
      </c>
      <c r="T103" s="99">
        <v>4</v>
      </c>
      <c r="U103" s="99">
        <v>5</v>
      </c>
      <c r="V103" s="99">
        <v>5</v>
      </c>
      <c r="W103" s="99">
        <v>5</v>
      </c>
      <c r="X103" s="99">
        <v>6</v>
      </c>
      <c r="Y103" s="99">
        <v>6</v>
      </c>
      <c r="Z103" s="99">
        <v>7</v>
      </c>
      <c r="AA103" s="99">
        <v>7</v>
      </c>
      <c r="AB103" s="99">
        <v>8</v>
      </c>
      <c r="AC103" s="99">
        <v>8</v>
      </c>
      <c r="AD103" s="99">
        <v>9</v>
      </c>
      <c r="AE103" s="99">
        <v>9</v>
      </c>
      <c r="AF103" s="99">
        <v>10</v>
      </c>
      <c r="AG103" s="99">
        <v>10</v>
      </c>
      <c r="AH103" s="99">
        <v>10</v>
      </c>
      <c r="AI103" s="92" t="s">
        <v>301</v>
      </c>
      <c r="AJ103" s="92"/>
      <c r="AK103" s="92" t="s">
        <v>288</v>
      </c>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2"/>
      <c r="BL103" s="92"/>
      <c r="BM103" s="92"/>
      <c r="BN103" s="92"/>
      <c r="BO103" s="92"/>
      <c r="BP103" s="92"/>
      <c r="BQ103" s="92"/>
      <c r="BR103" s="92"/>
      <c r="BS103" s="92"/>
      <c r="BT103" s="92"/>
      <c r="BU103" s="92"/>
      <c r="BV103" s="92"/>
      <c r="BW103" s="92"/>
      <c r="BX103" s="92"/>
      <c r="BY103" s="92"/>
      <c r="BZ103" s="92"/>
      <c r="CA103" s="92"/>
      <c r="CB103" s="92"/>
    </row>
    <row r="104" spans="1:80" ht="12.75" customHeight="1">
      <c r="A104" s="92"/>
      <c r="B104" s="92"/>
      <c r="C104" s="92"/>
      <c r="D104" s="92"/>
      <c r="E104" s="92"/>
      <c r="F104" s="92">
        <v>4</v>
      </c>
      <c r="G104" s="93" t="s">
        <v>307</v>
      </c>
      <c r="H104" s="92">
        <v>1</v>
      </c>
      <c r="I104" s="92">
        <v>1</v>
      </c>
      <c r="J104" s="92">
        <v>1</v>
      </c>
      <c r="K104" s="92">
        <v>1</v>
      </c>
      <c r="L104" s="92">
        <v>1</v>
      </c>
      <c r="M104" s="92">
        <v>2</v>
      </c>
      <c r="N104" s="92">
        <v>2</v>
      </c>
      <c r="O104" s="92">
        <v>3</v>
      </c>
      <c r="P104" s="92">
        <v>3</v>
      </c>
      <c r="Q104" s="92">
        <v>4</v>
      </c>
      <c r="R104" s="92">
        <v>4</v>
      </c>
      <c r="S104" s="92">
        <v>5</v>
      </c>
      <c r="T104" s="92">
        <v>5</v>
      </c>
      <c r="U104" s="92">
        <v>5</v>
      </c>
      <c r="V104" s="92">
        <v>6</v>
      </c>
      <c r="W104" s="92">
        <v>6</v>
      </c>
      <c r="X104" s="92">
        <v>7</v>
      </c>
      <c r="Y104" s="92">
        <v>7</v>
      </c>
      <c r="Z104" s="92">
        <v>8</v>
      </c>
      <c r="AA104" s="92">
        <v>8</v>
      </c>
      <c r="AB104" s="92">
        <v>9</v>
      </c>
      <c r="AC104" s="92">
        <v>9</v>
      </c>
      <c r="AD104" s="92">
        <v>10</v>
      </c>
      <c r="AE104" s="92">
        <v>10</v>
      </c>
      <c r="AF104" s="92">
        <v>10</v>
      </c>
      <c r="AG104" s="92">
        <v>10</v>
      </c>
      <c r="AH104" s="92">
        <v>10</v>
      </c>
      <c r="AI104" s="92" t="s">
        <v>301</v>
      </c>
      <c r="AJ104" s="92"/>
      <c r="AK104" s="92" t="s">
        <v>288</v>
      </c>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2"/>
      <c r="BL104" s="92"/>
      <c r="BM104" s="92"/>
      <c r="BN104" s="92"/>
      <c r="BO104" s="92"/>
      <c r="BP104" s="92"/>
      <c r="BQ104" s="92"/>
      <c r="BR104" s="92"/>
      <c r="BS104" s="92"/>
      <c r="BT104" s="92"/>
      <c r="BU104" s="92"/>
      <c r="BV104" s="92"/>
      <c r="BW104" s="92"/>
      <c r="BX104" s="92"/>
      <c r="BY104" s="92"/>
      <c r="BZ104" s="92"/>
      <c r="CA104" s="92"/>
      <c r="CB104" s="92"/>
    </row>
    <row r="105" spans="1:80" ht="12.75" customHeight="1">
      <c r="A105" s="92"/>
      <c r="B105" s="92"/>
      <c r="C105" s="92"/>
      <c r="D105" s="92"/>
      <c r="E105" s="92"/>
      <c r="F105" s="92">
        <v>5</v>
      </c>
      <c r="G105" s="93" t="s">
        <v>309</v>
      </c>
      <c r="H105" s="92">
        <v>1</v>
      </c>
      <c r="I105" s="92">
        <v>1</v>
      </c>
      <c r="J105" s="92">
        <v>1</v>
      </c>
      <c r="K105" s="92">
        <v>1</v>
      </c>
      <c r="L105" s="92">
        <v>1</v>
      </c>
      <c r="M105" s="92">
        <v>1</v>
      </c>
      <c r="N105" s="92">
        <v>2</v>
      </c>
      <c r="O105" s="92">
        <v>3</v>
      </c>
      <c r="P105" s="92">
        <v>3</v>
      </c>
      <c r="Q105" s="92">
        <v>4</v>
      </c>
      <c r="R105" s="92">
        <v>4</v>
      </c>
      <c r="S105" s="92">
        <v>4</v>
      </c>
      <c r="T105" s="92">
        <v>5</v>
      </c>
      <c r="U105" s="92">
        <v>5</v>
      </c>
      <c r="V105" s="92">
        <v>6</v>
      </c>
      <c r="W105" s="92">
        <v>6</v>
      </c>
      <c r="X105" s="92">
        <v>6</v>
      </c>
      <c r="Y105" s="92">
        <v>7</v>
      </c>
      <c r="Z105" s="92">
        <v>7</v>
      </c>
      <c r="AA105" s="92">
        <v>8</v>
      </c>
      <c r="AB105" s="92">
        <v>9</v>
      </c>
      <c r="AC105" s="92">
        <v>9</v>
      </c>
      <c r="AD105" s="92">
        <v>10</v>
      </c>
      <c r="AE105" s="92">
        <v>10</v>
      </c>
      <c r="AF105" s="92">
        <v>10</v>
      </c>
      <c r="AG105" s="92">
        <v>10</v>
      </c>
      <c r="AH105" s="92">
        <v>10</v>
      </c>
      <c r="AI105" s="92" t="s">
        <v>301</v>
      </c>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2"/>
      <c r="BL105" s="92"/>
      <c r="BM105" s="92"/>
      <c r="BN105" s="92"/>
      <c r="BO105" s="92"/>
      <c r="BP105" s="92"/>
      <c r="BQ105" s="92"/>
      <c r="BR105" s="92"/>
      <c r="BS105" s="92"/>
      <c r="BT105" s="92"/>
      <c r="BU105" s="92"/>
      <c r="BV105" s="92"/>
      <c r="BW105" s="92"/>
      <c r="BX105" s="92"/>
      <c r="BY105" s="92"/>
      <c r="BZ105" s="92"/>
      <c r="CA105" s="92"/>
      <c r="CB105" s="92"/>
    </row>
    <row r="106" spans="1:80" ht="12.75" customHeight="1">
      <c r="A106" s="92"/>
      <c r="B106" s="92"/>
      <c r="C106" s="92"/>
      <c r="D106" s="92"/>
      <c r="E106" s="92"/>
      <c r="F106" s="92">
        <v>6</v>
      </c>
      <c r="G106" s="93" t="s">
        <v>311</v>
      </c>
      <c r="H106" s="92">
        <v>1</v>
      </c>
      <c r="I106" s="92">
        <v>1</v>
      </c>
      <c r="J106" s="92">
        <v>1</v>
      </c>
      <c r="K106" s="92">
        <v>1</v>
      </c>
      <c r="L106" s="92">
        <v>1</v>
      </c>
      <c r="M106" s="92">
        <v>1</v>
      </c>
      <c r="N106" s="92">
        <v>2</v>
      </c>
      <c r="O106" s="92">
        <v>2</v>
      </c>
      <c r="P106" s="92">
        <v>3</v>
      </c>
      <c r="Q106" s="92">
        <v>3</v>
      </c>
      <c r="R106" s="92">
        <v>3</v>
      </c>
      <c r="S106" s="92">
        <v>4</v>
      </c>
      <c r="T106" s="92">
        <v>4</v>
      </c>
      <c r="U106" s="92">
        <v>5</v>
      </c>
      <c r="V106" s="92">
        <v>5</v>
      </c>
      <c r="W106" s="92">
        <v>6</v>
      </c>
      <c r="X106" s="92">
        <v>6</v>
      </c>
      <c r="Y106" s="92">
        <v>7</v>
      </c>
      <c r="Z106" s="92">
        <v>7</v>
      </c>
      <c r="AA106" s="92">
        <v>8</v>
      </c>
      <c r="AB106" s="92">
        <v>8</v>
      </c>
      <c r="AC106" s="92">
        <v>9</v>
      </c>
      <c r="AD106" s="92">
        <v>9</v>
      </c>
      <c r="AE106" s="92">
        <v>10</v>
      </c>
      <c r="AF106" s="92">
        <v>10</v>
      </c>
      <c r="AG106" s="92">
        <v>10</v>
      </c>
      <c r="AH106" s="92">
        <v>10</v>
      </c>
      <c r="AI106" s="92" t="s">
        <v>301</v>
      </c>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2"/>
      <c r="BL106" s="92"/>
      <c r="BM106" s="92"/>
      <c r="BN106" s="92"/>
      <c r="BO106" s="92"/>
      <c r="BP106" s="92"/>
      <c r="BQ106" s="92"/>
      <c r="BR106" s="92"/>
      <c r="BS106" s="92"/>
      <c r="BT106" s="92"/>
      <c r="BU106" s="92"/>
      <c r="BV106" s="92"/>
      <c r="BW106" s="92"/>
      <c r="BX106" s="92"/>
      <c r="BY106" s="92"/>
      <c r="BZ106" s="92"/>
      <c r="CA106" s="92"/>
      <c r="CB106" s="92"/>
    </row>
    <row r="107" spans="1:80" ht="12.75" customHeight="1">
      <c r="A107" s="92"/>
      <c r="B107" s="92"/>
      <c r="C107" s="92"/>
      <c r="D107" s="92"/>
      <c r="E107" s="92"/>
      <c r="F107" s="92">
        <v>7</v>
      </c>
      <c r="G107" s="93" t="s">
        <v>313</v>
      </c>
      <c r="H107" s="92">
        <v>1</v>
      </c>
      <c r="I107" s="92">
        <v>1</v>
      </c>
      <c r="J107" s="92">
        <v>1</v>
      </c>
      <c r="K107" s="92">
        <v>1</v>
      </c>
      <c r="L107" s="92">
        <v>1</v>
      </c>
      <c r="M107" s="92">
        <v>1</v>
      </c>
      <c r="N107" s="92">
        <v>2</v>
      </c>
      <c r="O107" s="92">
        <v>2</v>
      </c>
      <c r="P107" s="92">
        <v>3</v>
      </c>
      <c r="Q107" s="92">
        <v>3</v>
      </c>
      <c r="R107" s="92">
        <v>4</v>
      </c>
      <c r="S107" s="92">
        <v>4</v>
      </c>
      <c r="T107" s="92">
        <v>5</v>
      </c>
      <c r="U107" s="92">
        <v>5</v>
      </c>
      <c r="V107" s="92">
        <v>5</v>
      </c>
      <c r="W107" s="92">
        <v>6</v>
      </c>
      <c r="X107" s="92">
        <v>6</v>
      </c>
      <c r="Y107" s="92">
        <v>7</v>
      </c>
      <c r="Z107" s="92">
        <v>7</v>
      </c>
      <c r="AA107" s="92">
        <v>8</v>
      </c>
      <c r="AB107" s="92">
        <v>8</v>
      </c>
      <c r="AC107" s="92">
        <v>9</v>
      </c>
      <c r="AD107" s="92">
        <v>9</v>
      </c>
      <c r="AE107" s="92">
        <v>10</v>
      </c>
      <c r="AF107" s="92">
        <v>10</v>
      </c>
      <c r="AG107" s="92">
        <v>10</v>
      </c>
      <c r="AH107" s="92">
        <v>10</v>
      </c>
      <c r="AI107" s="92" t="s">
        <v>301</v>
      </c>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row>
    <row r="108" spans="1:80" ht="12.75" customHeight="1">
      <c r="A108" s="92"/>
      <c r="B108" s="92"/>
      <c r="C108" s="92"/>
      <c r="D108" s="92"/>
      <c r="E108" s="92"/>
      <c r="F108" s="92">
        <v>8</v>
      </c>
      <c r="G108" s="93" t="s">
        <v>315</v>
      </c>
      <c r="H108" s="92">
        <v>1</v>
      </c>
      <c r="I108" s="92">
        <v>1</v>
      </c>
      <c r="J108" s="92">
        <v>1</v>
      </c>
      <c r="K108" s="92">
        <v>1</v>
      </c>
      <c r="L108" s="92">
        <v>1</v>
      </c>
      <c r="M108" s="92">
        <v>1</v>
      </c>
      <c r="N108" s="92">
        <v>1</v>
      </c>
      <c r="O108" s="92">
        <v>1</v>
      </c>
      <c r="P108" s="92">
        <v>2</v>
      </c>
      <c r="Q108" s="92">
        <v>3</v>
      </c>
      <c r="R108" s="92">
        <v>3</v>
      </c>
      <c r="S108" s="92">
        <v>4</v>
      </c>
      <c r="T108" s="92">
        <v>4</v>
      </c>
      <c r="U108" s="92">
        <v>5</v>
      </c>
      <c r="V108" s="92">
        <v>5</v>
      </c>
      <c r="W108" s="92">
        <v>6</v>
      </c>
      <c r="X108" s="92">
        <v>6</v>
      </c>
      <c r="Y108" s="92">
        <v>7</v>
      </c>
      <c r="Z108" s="92">
        <v>8</v>
      </c>
      <c r="AA108" s="92">
        <v>8</v>
      </c>
      <c r="AB108" s="92">
        <v>9</v>
      </c>
      <c r="AC108" s="92">
        <v>9</v>
      </c>
      <c r="AD108" s="92">
        <v>10</v>
      </c>
      <c r="AE108" s="92">
        <v>10</v>
      </c>
      <c r="AF108" s="92">
        <v>10</v>
      </c>
      <c r="AG108" s="92">
        <v>10</v>
      </c>
      <c r="AH108" s="92">
        <v>10</v>
      </c>
      <c r="AI108" s="92" t="s">
        <v>301</v>
      </c>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row>
    <row r="109" spans="1:80" ht="12.75" customHeight="1">
      <c r="A109" s="92"/>
      <c r="B109" s="92"/>
      <c r="C109" s="92"/>
      <c r="D109" s="92"/>
      <c r="E109" s="92"/>
      <c r="F109" s="92">
        <v>9</v>
      </c>
      <c r="G109" s="93" t="s">
        <v>318</v>
      </c>
      <c r="H109" s="92">
        <v>1</v>
      </c>
      <c r="I109" s="92">
        <v>1</v>
      </c>
      <c r="J109" s="92">
        <v>1</v>
      </c>
      <c r="K109" s="92">
        <v>1</v>
      </c>
      <c r="L109" s="92">
        <v>1</v>
      </c>
      <c r="M109" s="92">
        <v>1</v>
      </c>
      <c r="N109" s="92">
        <v>1</v>
      </c>
      <c r="O109" s="92">
        <v>1</v>
      </c>
      <c r="P109" s="92">
        <v>2</v>
      </c>
      <c r="Q109" s="92">
        <v>2</v>
      </c>
      <c r="R109" s="92">
        <v>3</v>
      </c>
      <c r="S109" s="92">
        <v>3</v>
      </c>
      <c r="T109" s="92">
        <v>4</v>
      </c>
      <c r="U109" s="92">
        <v>5</v>
      </c>
      <c r="V109" s="92">
        <v>5</v>
      </c>
      <c r="W109" s="92">
        <v>6</v>
      </c>
      <c r="X109" s="92">
        <v>6</v>
      </c>
      <c r="Y109" s="92">
        <v>7</v>
      </c>
      <c r="Z109" s="92">
        <v>8</v>
      </c>
      <c r="AA109" s="92">
        <v>8</v>
      </c>
      <c r="AB109" s="92">
        <v>9</v>
      </c>
      <c r="AC109" s="92">
        <v>9</v>
      </c>
      <c r="AD109" s="92">
        <v>10</v>
      </c>
      <c r="AE109" s="92">
        <v>10</v>
      </c>
      <c r="AF109" s="92">
        <v>10</v>
      </c>
      <c r="AG109" s="92">
        <v>10</v>
      </c>
      <c r="AH109" s="92">
        <v>10</v>
      </c>
      <c r="AI109" s="92" t="s">
        <v>301</v>
      </c>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2"/>
      <c r="BL109" s="92"/>
      <c r="BM109" s="92"/>
      <c r="BN109" s="92"/>
      <c r="BO109" s="92"/>
      <c r="BP109" s="92"/>
      <c r="BQ109" s="92"/>
      <c r="BR109" s="92"/>
      <c r="BS109" s="92"/>
      <c r="BT109" s="92"/>
      <c r="BU109" s="92"/>
      <c r="BV109" s="92"/>
      <c r="BW109" s="92"/>
      <c r="BX109" s="92"/>
      <c r="BY109" s="92"/>
      <c r="BZ109" s="92"/>
      <c r="CA109" s="92"/>
      <c r="CB109" s="92"/>
    </row>
    <row r="110" spans="1:80" ht="12.75" customHeight="1">
      <c r="A110" s="92"/>
      <c r="B110" s="92"/>
      <c r="C110" s="92"/>
      <c r="D110" s="92"/>
      <c r="E110" s="92"/>
      <c r="F110" s="92">
        <v>10</v>
      </c>
      <c r="G110" s="93" t="s">
        <v>320</v>
      </c>
      <c r="H110" s="92">
        <v>1</v>
      </c>
      <c r="I110" s="92">
        <v>1</v>
      </c>
      <c r="J110" s="92">
        <v>1</v>
      </c>
      <c r="K110" s="92">
        <v>1</v>
      </c>
      <c r="L110" s="92">
        <v>1</v>
      </c>
      <c r="M110" s="92">
        <v>1</v>
      </c>
      <c r="N110" s="92">
        <v>1</v>
      </c>
      <c r="O110" s="92">
        <v>1</v>
      </c>
      <c r="P110" s="92">
        <v>2</v>
      </c>
      <c r="Q110" s="92">
        <v>3</v>
      </c>
      <c r="R110" s="92">
        <v>3</v>
      </c>
      <c r="S110" s="92">
        <v>4</v>
      </c>
      <c r="T110" s="92">
        <v>4</v>
      </c>
      <c r="U110" s="92">
        <v>5</v>
      </c>
      <c r="V110" s="92">
        <v>5</v>
      </c>
      <c r="W110" s="92">
        <v>6</v>
      </c>
      <c r="X110" s="92">
        <v>6</v>
      </c>
      <c r="Y110" s="92">
        <v>7</v>
      </c>
      <c r="Z110" s="92">
        <v>8</v>
      </c>
      <c r="AA110" s="92">
        <v>8</v>
      </c>
      <c r="AB110" s="92">
        <v>9</v>
      </c>
      <c r="AC110" s="92">
        <v>9</v>
      </c>
      <c r="AD110" s="92">
        <v>10</v>
      </c>
      <c r="AE110" s="92">
        <v>10</v>
      </c>
      <c r="AF110" s="92">
        <v>10</v>
      </c>
      <c r="AG110" s="92">
        <v>10</v>
      </c>
      <c r="AH110" s="92">
        <v>10</v>
      </c>
      <c r="AI110" s="92" t="s">
        <v>301</v>
      </c>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2"/>
      <c r="BL110" s="92"/>
      <c r="BM110" s="92"/>
      <c r="BN110" s="92"/>
      <c r="BO110" s="92"/>
      <c r="BP110" s="92"/>
      <c r="BQ110" s="92"/>
      <c r="BR110" s="92"/>
      <c r="BS110" s="92"/>
      <c r="BT110" s="92"/>
      <c r="BU110" s="92"/>
      <c r="BV110" s="92"/>
      <c r="BW110" s="92"/>
      <c r="BX110" s="92"/>
      <c r="BY110" s="92"/>
      <c r="BZ110" s="92"/>
      <c r="CA110" s="92"/>
      <c r="CB110" s="92"/>
    </row>
    <row r="111" spans="1:80" ht="12.75" customHeight="1">
      <c r="A111" s="92"/>
      <c r="B111" s="92"/>
      <c r="C111" s="92"/>
      <c r="D111" s="92"/>
      <c r="E111" s="92"/>
      <c r="F111" s="92">
        <v>11</v>
      </c>
      <c r="G111" s="93" t="s">
        <v>322</v>
      </c>
      <c r="H111" s="92">
        <v>1</v>
      </c>
      <c r="I111" s="92">
        <v>1</v>
      </c>
      <c r="J111" s="92">
        <v>1</v>
      </c>
      <c r="K111" s="92">
        <v>1</v>
      </c>
      <c r="L111" s="92">
        <v>1</v>
      </c>
      <c r="M111" s="92">
        <v>1</v>
      </c>
      <c r="N111" s="92">
        <v>1</v>
      </c>
      <c r="O111" s="92">
        <v>2</v>
      </c>
      <c r="P111" s="92">
        <v>2</v>
      </c>
      <c r="Q111" s="92">
        <v>3</v>
      </c>
      <c r="R111" s="92">
        <v>3</v>
      </c>
      <c r="S111" s="92">
        <v>4</v>
      </c>
      <c r="T111" s="92">
        <v>5</v>
      </c>
      <c r="U111" s="92">
        <v>5</v>
      </c>
      <c r="V111" s="92">
        <v>6</v>
      </c>
      <c r="W111" s="92">
        <v>6</v>
      </c>
      <c r="X111" s="92">
        <v>7</v>
      </c>
      <c r="Y111" s="92">
        <v>8</v>
      </c>
      <c r="Z111" s="92">
        <v>8</v>
      </c>
      <c r="AA111" s="92">
        <v>9</v>
      </c>
      <c r="AB111" s="92">
        <v>9</v>
      </c>
      <c r="AC111" s="92">
        <v>10</v>
      </c>
      <c r="AD111" s="92">
        <v>10</v>
      </c>
      <c r="AE111" s="92">
        <v>10</v>
      </c>
      <c r="AF111" s="92">
        <v>10</v>
      </c>
      <c r="AG111" s="92">
        <v>10</v>
      </c>
      <c r="AH111" s="92">
        <v>10</v>
      </c>
      <c r="AI111" s="92" t="s">
        <v>301</v>
      </c>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2"/>
      <c r="BL111" s="92"/>
      <c r="BM111" s="92"/>
      <c r="BN111" s="92"/>
      <c r="BO111" s="92"/>
      <c r="BP111" s="92"/>
      <c r="BQ111" s="92"/>
      <c r="BR111" s="92"/>
      <c r="BS111" s="92"/>
      <c r="BT111" s="92"/>
      <c r="BU111" s="92"/>
      <c r="BV111" s="92"/>
      <c r="BW111" s="92"/>
      <c r="BX111" s="92"/>
      <c r="BY111" s="92"/>
      <c r="BZ111" s="92"/>
      <c r="CA111" s="92"/>
      <c r="CB111" s="92"/>
    </row>
    <row r="112" spans="1:80" ht="12.75" customHeight="1">
      <c r="A112" s="92"/>
      <c r="B112" s="92"/>
      <c r="C112" s="92"/>
      <c r="D112" s="92"/>
      <c r="E112" s="92"/>
      <c r="F112" s="92">
        <v>12</v>
      </c>
      <c r="G112" s="93" t="s">
        <v>324</v>
      </c>
      <c r="H112" s="92">
        <v>1</v>
      </c>
      <c r="I112" s="92">
        <v>1</v>
      </c>
      <c r="J112" s="92">
        <v>1</v>
      </c>
      <c r="K112" s="92">
        <v>1</v>
      </c>
      <c r="L112" s="92">
        <v>1</v>
      </c>
      <c r="M112" s="92">
        <v>1</v>
      </c>
      <c r="N112" s="92">
        <v>2</v>
      </c>
      <c r="O112" s="92">
        <v>2</v>
      </c>
      <c r="P112" s="92">
        <v>3</v>
      </c>
      <c r="Q112" s="92">
        <v>3</v>
      </c>
      <c r="R112" s="92">
        <v>4</v>
      </c>
      <c r="S112" s="92">
        <v>5</v>
      </c>
      <c r="T112" s="92">
        <v>5</v>
      </c>
      <c r="U112" s="92">
        <v>6</v>
      </c>
      <c r="V112" s="92">
        <v>6</v>
      </c>
      <c r="W112" s="92">
        <v>7</v>
      </c>
      <c r="X112" s="92">
        <v>7</v>
      </c>
      <c r="Y112" s="92">
        <v>8</v>
      </c>
      <c r="Z112" s="92">
        <v>8</v>
      </c>
      <c r="AA112" s="92">
        <v>9</v>
      </c>
      <c r="AB112" s="92">
        <v>9</v>
      </c>
      <c r="AC112" s="92">
        <v>10</v>
      </c>
      <c r="AD112" s="92">
        <v>10</v>
      </c>
      <c r="AE112" s="92">
        <v>10</v>
      </c>
      <c r="AF112" s="92">
        <v>10</v>
      </c>
      <c r="AG112" s="92">
        <v>10</v>
      </c>
      <c r="AH112" s="92">
        <v>10</v>
      </c>
      <c r="AI112" s="92" t="s">
        <v>301</v>
      </c>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2"/>
      <c r="BL112" s="92"/>
      <c r="BM112" s="92"/>
      <c r="BN112" s="92"/>
      <c r="BO112" s="92"/>
      <c r="BP112" s="92"/>
      <c r="BQ112" s="92"/>
      <c r="BR112" s="92"/>
      <c r="BS112" s="92"/>
      <c r="BT112" s="92"/>
      <c r="BU112" s="92"/>
      <c r="BV112" s="92"/>
      <c r="BW112" s="92"/>
      <c r="BX112" s="92"/>
      <c r="BY112" s="92"/>
      <c r="BZ112" s="92"/>
      <c r="CA112" s="92"/>
      <c r="CB112" s="92"/>
    </row>
    <row r="113" spans="1:80" ht="12.75" customHeight="1">
      <c r="A113" s="92"/>
      <c r="B113" s="92"/>
      <c r="C113" s="92"/>
      <c r="D113" s="92"/>
      <c r="E113" s="92"/>
      <c r="F113" s="92">
        <v>13</v>
      </c>
      <c r="G113" s="93" t="s">
        <v>326</v>
      </c>
      <c r="H113" s="92">
        <v>1</v>
      </c>
      <c r="I113" s="92">
        <v>1</v>
      </c>
      <c r="J113" s="92">
        <v>1</v>
      </c>
      <c r="K113" s="92">
        <v>1</v>
      </c>
      <c r="L113" s="92">
        <v>1</v>
      </c>
      <c r="M113" s="92">
        <v>1</v>
      </c>
      <c r="N113" s="92">
        <v>1</v>
      </c>
      <c r="O113" s="92">
        <v>2</v>
      </c>
      <c r="P113" s="92">
        <v>2</v>
      </c>
      <c r="Q113" s="92">
        <v>3</v>
      </c>
      <c r="R113" s="92">
        <v>4</v>
      </c>
      <c r="S113" s="92">
        <v>4</v>
      </c>
      <c r="T113" s="92">
        <v>5</v>
      </c>
      <c r="U113" s="92">
        <v>5</v>
      </c>
      <c r="V113" s="92">
        <v>5</v>
      </c>
      <c r="W113" s="92">
        <v>6</v>
      </c>
      <c r="X113" s="92">
        <v>6</v>
      </c>
      <c r="Y113" s="92">
        <v>7</v>
      </c>
      <c r="Z113" s="92">
        <v>7</v>
      </c>
      <c r="AA113" s="92">
        <v>8</v>
      </c>
      <c r="AB113" s="92">
        <v>8</v>
      </c>
      <c r="AC113" s="92">
        <v>9</v>
      </c>
      <c r="AD113" s="92">
        <v>9</v>
      </c>
      <c r="AE113" s="92">
        <v>10</v>
      </c>
      <c r="AF113" s="92">
        <v>10</v>
      </c>
      <c r="AG113" s="92">
        <v>10</v>
      </c>
      <c r="AH113" s="92">
        <v>10</v>
      </c>
      <c r="AI113" s="92" t="s">
        <v>301</v>
      </c>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2"/>
      <c r="BL113" s="92"/>
      <c r="BM113" s="92"/>
      <c r="BN113" s="92"/>
      <c r="BO113" s="92"/>
      <c r="BP113" s="92"/>
      <c r="BQ113" s="92"/>
      <c r="BR113" s="92"/>
      <c r="BS113" s="92"/>
      <c r="BT113" s="92"/>
      <c r="BU113" s="92"/>
      <c r="BV113" s="92"/>
      <c r="BW113" s="92"/>
      <c r="BX113" s="92"/>
      <c r="BY113" s="92"/>
      <c r="BZ113" s="92"/>
      <c r="CA113" s="92"/>
      <c r="CB113" s="92"/>
    </row>
    <row r="114" spans="1:80" ht="12.75" customHeight="1">
      <c r="A114" s="92"/>
      <c r="B114" s="92"/>
      <c r="C114" s="92"/>
      <c r="D114" s="92"/>
      <c r="E114" s="92"/>
      <c r="F114" s="92">
        <v>14</v>
      </c>
      <c r="G114" s="93" t="s">
        <v>328</v>
      </c>
      <c r="H114" s="92">
        <v>1</v>
      </c>
      <c r="I114" s="92">
        <v>1</v>
      </c>
      <c r="J114" s="92">
        <v>1</v>
      </c>
      <c r="K114" s="92">
        <v>1</v>
      </c>
      <c r="L114" s="92">
        <v>1</v>
      </c>
      <c r="M114" s="92">
        <v>1</v>
      </c>
      <c r="N114" s="92">
        <v>1</v>
      </c>
      <c r="O114" s="92">
        <v>2</v>
      </c>
      <c r="P114" s="92">
        <v>2</v>
      </c>
      <c r="Q114" s="92">
        <v>3</v>
      </c>
      <c r="R114" s="92">
        <v>3</v>
      </c>
      <c r="S114" s="92">
        <v>4</v>
      </c>
      <c r="T114" s="92">
        <v>4</v>
      </c>
      <c r="U114" s="92">
        <v>4</v>
      </c>
      <c r="V114" s="92">
        <v>5</v>
      </c>
      <c r="W114" s="92">
        <v>5</v>
      </c>
      <c r="X114" s="92">
        <v>6</v>
      </c>
      <c r="Y114" s="92">
        <v>6</v>
      </c>
      <c r="Z114" s="92">
        <v>7</v>
      </c>
      <c r="AA114" s="92">
        <v>7</v>
      </c>
      <c r="AB114" s="92">
        <v>8</v>
      </c>
      <c r="AC114" s="92">
        <v>9</v>
      </c>
      <c r="AD114" s="92">
        <v>9</v>
      </c>
      <c r="AE114" s="92">
        <v>10</v>
      </c>
      <c r="AF114" s="92">
        <v>10</v>
      </c>
      <c r="AG114" s="92">
        <v>10</v>
      </c>
      <c r="AH114" s="92">
        <v>10</v>
      </c>
      <c r="AI114" s="92" t="s">
        <v>301</v>
      </c>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2"/>
      <c r="BL114" s="92"/>
      <c r="BM114" s="92"/>
      <c r="BN114" s="92"/>
      <c r="BO114" s="92"/>
      <c r="BP114" s="92"/>
      <c r="BQ114" s="92"/>
      <c r="BR114" s="92"/>
      <c r="BS114" s="92"/>
      <c r="BT114" s="92"/>
      <c r="BU114" s="92"/>
      <c r="BV114" s="92"/>
      <c r="BW114" s="92"/>
      <c r="BX114" s="92"/>
      <c r="BY114" s="92"/>
      <c r="BZ114" s="92"/>
      <c r="CA114" s="92"/>
      <c r="CB114" s="92"/>
    </row>
    <row r="115" spans="1:80" ht="12.75" customHeight="1">
      <c r="A115" s="92"/>
      <c r="B115" s="92"/>
      <c r="C115" s="92"/>
      <c r="D115" s="92"/>
      <c r="E115" s="92"/>
      <c r="F115" s="92">
        <v>15</v>
      </c>
      <c r="G115" s="93" t="s">
        <v>330</v>
      </c>
      <c r="H115" s="92">
        <v>1</v>
      </c>
      <c r="I115" s="92">
        <v>1</v>
      </c>
      <c r="J115" s="92">
        <v>1</v>
      </c>
      <c r="K115" s="92">
        <v>1</v>
      </c>
      <c r="L115" s="92">
        <v>1</v>
      </c>
      <c r="M115" s="92">
        <v>1</v>
      </c>
      <c r="N115" s="92">
        <v>1</v>
      </c>
      <c r="O115" s="92">
        <v>2</v>
      </c>
      <c r="P115" s="92">
        <v>2</v>
      </c>
      <c r="Q115" s="92">
        <v>3</v>
      </c>
      <c r="R115" s="92">
        <v>3</v>
      </c>
      <c r="S115" s="92">
        <v>4</v>
      </c>
      <c r="T115" s="92">
        <v>4</v>
      </c>
      <c r="U115" s="92">
        <v>5</v>
      </c>
      <c r="V115" s="92">
        <v>5</v>
      </c>
      <c r="W115" s="92">
        <v>5</v>
      </c>
      <c r="X115" s="92">
        <v>6</v>
      </c>
      <c r="Y115" s="92">
        <v>6</v>
      </c>
      <c r="Z115" s="92">
        <v>7</v>
      </c>
      <c r="AA115" s="92">
        <v>7</v>
      </c>
      <c r="AB115" s="92">
        <v>8</v>
      </c>
      <c r="AC115" s="92">
        <v>8</v>
      </c>
      <c r="AD115" s="92">
        <v>9</v>
      </c>
      <c r="AE115" s="92">
        <v>9</v>
      </c>
      <c r="AF115" s="92">
        <v>10</v>
      </c>
      <c r="AG115" s="92">
        <v>10</v>
      </c>
      <c r="AH115" s="92">
        <v>10</v>
      </c>
      <c r="AI115" s="92" t="s">
        <v>301</v>
      </c>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2"/>
      <c r="BL115" s="92"/>
      <c r="BM115" s="92"/>
      <c r="BN115" s="92"/>
      <c r="BO115" s="92"/>
      <c r="BP115" s="92"/>
      <c r="BQ115" s="92"/>
      <c r="BR115" s="92"/>
      <c r="BS115" s="92"/>
      <c r="BT115" s="92"/>
      <c r="BU115" s="92"/>
      <c r="BV115" s="92"/>
      <c r="BW115" s="92"/>
      <c r="BX115" s="92"/>
      <c r="BY115" s="92"/>
      <c r="BZ115" s="92"/>
      <c r="CA115" s="92"/>
      <c r="CB115" s="92"/>
    </row>
    <row r="116" spans="1:80" ht="12.75" customHeight="1">
      <c r="A116" s="92"/>
      <c r="B116" s="92"/>
      <c r="C116" s="92"/>
      <c r="D116" s="92"/>
      <c r="E116" s="92"/>
      <c r="F116" s="92">
        <v>16</v>
      </c>
      <c r="G116" s="93" t="s">
        <v>341</v>
      </c>
      <c r="H116" s="92">
        <v>1</v>
      </c>
      <c r="I116" s="92">
        <v>1</v>
      </c>
      <c r="J116" s="92">
        <v>1</v>
      </c>
      <c r="K116" s="92">
        <v>1</v>
      </c>
      <c r="L116" s="92">
        <v>2</v>
      </c>
      <c r="M116" s="92">
        <v>2</v>
      </c>
      <c r="N116" s="92">
        <v>2</v>
      </c>
      <c r="O116" s="92">
        <v>3</v>
      </c>
      <c r="P116" s="92">
        <v>3</v>
      </c>
      <c r="Q116" s="92">
        <v>3</v>
      </c>
      <c r="R116" s="92">
        <v>4</v>
      </c>
      <c r="S116" s="92">
        <v>4</v>
      </c>
      <c r="T116" s="92">
        <v>4</v>
      </c>
      <c r="U116" s="92">
        <v>4</v>
      </c>
      <c r="V116" s="92">
        <v>5</v>
      </c>
      <c r="W116" s="92">
        <v>6</v>
      </c>
      <c r="X116" s="92">
        <v>6</v>
      </c>
      <c r="Y116" s="92">
        <v>7</v>
      </c>
      <c r="Z116" s="92">
        <v>8</v>
      </c>
      <c r="AA116" s="92">
        <v>9</v>
      </c>
      <c r="AB116" s="92">
        <v>10</v>
      </c>
      <c r="AC116" s="92" t="s">
        <v>301</v>
      </c>
      <c r="AD116" s="92" t="s">
        <v>301</v>
      </c>
      <c r="AE116" s="92" t="s">
        <v>301</v>
      </c>
      <c r="AF116" s="92" t="s">
        <v>301</v>
      </c>
      <c r="AG116" s="92" t="s">
        <v>301</v>
      </c>
      <c r="AH116" s="92" t="s">
        <v>301</v>
      </c>
      <c r="AI116" s="92" t="s">
        <v>301</v>
      </c>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2"/>
      <c r="BL116" s="92"/>
      <c r="BM116" s="92"/>
      <c r="BN116" s="92"/>
      <c r="BO116" s="92"/>
      <c r="BP116" s="92"/>
      <c r="BQ116" s="92"/>
      <c r="BR116" s="92"/>
      <c r="BS116" s="92"/>
      <c r="BT116" s="92"/>
      <c r="BU116" s="92"/>
      <c r="BV116" s="92"/>
      <c r="BW116" s="92"/>
      <c r="BX116" s="92"/>
      <c r="BY116" s="92"/>
      <c r="BZ116" s="92"/>
      <c r="CA116" s="92"/>
      <c r="CB116" s="92"/>
    </row>
    <row r="117" spans="1:80" ht="12.75" customHeight="1">
      <c r="A117" s="92"/>
      <c r="B117" s="92"/>
      <c r="C117" s="92"/>
      <c r="D117" s="92"/>
      <c r="E117" s="92"/>
      <c r="F117" s="92">
        <v>17</v>
      </c>
      <c r="G117" s="93" t="s">
        <v>343</v>
      </c>
      <c r="H117" s="92">
        <v>1</v>
      </c>
      <c r="I117" s="92">
        <v>1</v>
      </c>
      <c r="J117" s="92">
        <v>1</v>
      </c>
      <c r="K117" s="92">
        <v>1</v>
      </c>
      <c r="L117" s="92">
        <v>1</v>
      </c>
      <c r="M117" s="92">
        <v>2</v>
      </c>
      <c r="N117" s="92">
        <v>2</v>
      </c>
      <c r="O117" s="92">
        <v>3</v>
      </c>
      <c r="P117" s="92">
        <v>3</v>
      </c>
      <c r="Q117" s="92">
        <v>3</v>
      </c>
      <c r="R117" s="92">
        <v>4</v>
      </c>
      <c r="S117" s="92">
        <v>4</v>
      </c>
      <c r="T117" s="92">
        <v>4</v>
      </c>
      <c r="U117" s="92">
        <v>4</v>
      </c>
      <c r="V117" s="92">
        <v>4</v>
      </c>
      <c r="W117" s="92">
        <v>5</v>
      </c>
      <c r="X117" s="92">
        <v>6</v>
      </c>
      <c r="Y117" s="92">
        <v>7</v>
      </c>
      <c r="Z117" s="92">
        <v>7</v>
      </c>
      <c r="AA117" s="92">
        <v>8</v>
      </c>
      <c r="AB117" s="92">
        <v>9</v>
      </c>
      <c r="AC117" s="92" t="s">
        <v>301</v>
      </c>
      <c r="AD117" s="92" t="s">
        <v>301</v>
      </c>
      <c r="AE117" s="92" t="s">
        <v>301</v>
      </c>
      <c r="AF117" s="92" t="s">
        <v>301</v>
      </c>
      <c r="AG117" s="92" t="s">
        <v>301</v>
      </c>
      <c r="AH117" s="92" t="s">
        <v>301</v>
      </c>
      <c r="AI117" s="92" t="s">
        <v>301</v>
      </c>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2"/>
      <c r="BL117" s="92"/>
      <c r="BM117" s="92"/>
      <c r="BN117" s="92"/>
      <c r="BO117" s="92"/>
      <c r="BP117" s="92"/>
      <c r="BQ117" s="92"/>
      <c r="BR117" s="92"/>
      <c r="BS117" s="92"/>
      <c r="BT117" s="92"/>
      <c r="BU117" s="92"/>
      <c r="BV117" s="92"/>
      <c r="BW117" s="92"/>
      <c r="BX117" s="92"/>
      <c r="BY117" s="92"/>
      <c r="BZ117" s="92"/>
      <c r="CA117" s="92"/>
      <c r="CB117" s="92"/>
    </row>
    <row r="118" spans="1:80" ht="12.75" customHeight="1">
      <c r="A118" s="92"/>
      <c r="B118" s="92"/>
      <c r="C118" s="92"/>
      <c r="D118" s="92"/>
      <c r="E118" s="92"/>
      <c r="F118" s="92">
        <v>18</v>
      </c>
      <c r="G118" s="93" t="s">
        <v>348</v>
      </c>
      <c r="H118" s="92">
        <v>1</v>
      </c>
      <c r="I118" s="92">
        <v>1</v>
      </c>
      <c r="J118" s="92">
        <v>1</v>
      </c>
      <c r="K118" s="92">
        <v>1</v>
      </c>
      <c r="L118" s="92">
        <v>2</v>
      </c>
      <c r="M118" s="92">
        <v>2</v>
      </c>
      <c r="N118" s="92">
        <v>2</v>
      </c>
      <c r="O118" s="92">
        <v>3</v>
      </c>
      <c r="P118" s="92">
        <v>3</v>
      </c>
      <c r="Q118" s="92">
        <v>3</v>
      </c>
      <c r="R118" s="92">
        <v>4</v>
      </c>
      <c r="S118" s="92">
        <v>4</v>
      </c>
      <c r="T118" s="92">
        <v>4</v>
      </c>
      <c r="U118" s="92">
        <v>4</v>
      </c>
      <c r="V118" s="92">
        <v>5</v>
      </c>
      <c r="W118" s="92">
        <v>6</v>
      </c>
      <c r="X118" s="92">
        <v>6</v>
      </c>
      <c r="Y118" s="92">
        <v>7</v>
      </c>
      <c r="Z118" s="92">
        <v>8</v>
      </c>
      <c r="AA118" s="92">
        <v>9</v>
      </c>
      <c r="AB118" s="92">
        <v>9</v>
      </c>
      <c r="AC118" s="92" t="s">
        <v>301</v>
      </c>
      <c r="AD118" s="92" t="s">
        <v>301</v>
      </c>
      <c r="AE118" s="92" t="s">
        <v>301</v>
      </c>
      <c r="AF118" s="92" t="s">
        <v>301</v>
      </c>
      <c r="AG118" s="92" t="s">
        <v>301</v>
      </c>
      <c r="AH118" s="92" t="s">
        <v>301</v>
      </c>
      <c r="AI118" s="92" t="s">
        <v>301</v>
      </c>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2"/>
      <c r="BL118" s="92"/>
      <c r="BM118" s="92"/>
      <c r="BN118" s="92"/>
      <c r="BO118" s="92"/>
      <c r="BP118" s="92"/>
      <c r="BQ118" s="92"/>
      <c r="BR118" s="92"/>
      <c r="BS118" s="92"/>
      <c r="BT118" s="92"/>
      <c r="BU118" s="92"/>
      <c r="BV118" s="92"/>
      <c r="BW118" s="92"/>
      <c r="BX118" s="92"/>
      <c r="BY118" s="92"/>
      <c r="BZ118" s="92"/>
      <c r="CA118" s="92"/>
      <c r="CB118" s="92"/>
    </row>
    <row r="119" spans="1:80" ht="12.75" customHeight="1">
      <c r="A119" s="92"/>
      <c r="B119" s="92"/>
      <c r="C119" s="92"/>
      <c r="D119" s="92"/>
      <c r="E119" s="92"/>
      <c r="F119" s="92"/>
      <c r="G119" s="93"/>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2"/>
      <c r="BL119" s="92"/>
      <c r="BM119" s="92"/>
      <c r="BN119" s="92"/>
      <c r="BO119" s="92"/>
      <c r="BP119" s="92"/>
      <c r="BQ119" s="92"/>
      <c r="BR119" s="92"/>
      <c r="BS119" s="92"/>
      <c r="BT119" s="92"/>
      <c r="BU119" s="92"/>
      <c r="BV119" s="92"/>
      <c r="BW119" s="92"/>
      <c r="BX119" s="92"/>
      <c r="BY119" s="92"/>
      <c r="BZ119" s="92"/>
      <c r="CA119" s="92"/>
      <c r="CB119" s="92"/>
    </row>
    <row r="120" spans="1:80" ht="12.75" customHeight="1">
      <c r="A120" s="92"/>
      <c r="B120" s="92"/>
      <c r="C120" s="92"/>
      <c r="D120" s="92"/>
      <c r="E120" s="92"/>
      <c r="F120" s="92"/>
      <c r="G120" s="93"/>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2"/>
      <c r="BL120" s="92"/>
      <c r="BM120" s="92"/>
      <c r="BN120" s="92"/>
      <c r="BO120" s="92"/>
      <c r="BP120" s="92"/>
      <c r="BQ120" s="92"/>
      <c r="BR120" s="92"/>
      <c r="BS120" s="92"/>
      <c r="BT120" s="92"/>
      <c r="BU120" s="92"/>
      <c r="BV120" s="92"/>
      <c r="BW120" s="92"/>
      <c r="BX120" s="92"/>
      <c r="BY120" s="92"/>
      <c r="BZ120" s="92"/>
      <c r="CA120" s="92"/>
      <c r="CB120" s="92"/>
    </row>
    <row r="121" spans="1:80" ht="12.75" customHeight="1">
      <c r="A121" s="92"/>
      <c r="B121" s="92"/>
      <c r="C121" s="92"/>
      <c r="D121" s="92"/>
      <c r="E121" s="92"/>
      <c r="F121" s="92"/>
      <c r="G121" s="93"/>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2"/>
      <c r="BL121" s="92"/>
      <c r="BM121" s="92"/>
      <c r="BN121" s="92"/>
      <c r="BO121" s="92"/>
      <c r="BP121" s="92"/>
      <c r="BQ121" s="92"/>
      <c r="BR121" s="92"/>
      <c r="BS121" s="92"/>
      <c r="BT121" s="92"/>
      <c r="BU121" s="92"/>
      <c r="BV121" s="92"/>
      <c r="BW121" s="92"/>
      <c r="BX121" s="92"/>
      <c r="BY121" s="92"/>
      <c r="BZ121" s="92"/>
      <c r="CA121" s="92"/>
      <c r="CB121" s="92"/>
    </row>
    <row r="122" spans="1:80" ht="12.75" customHeight="1">
      <c r="A122" s="92"/>
      <c r="B122" s="92"/>
      <c r="C122" s="92"/>
      <c r="D122" s="92"/>
      <c r="E122" s="92"/>
      <c r="F122" s="92"/>
      <c r="G122" s="93" t="s">
        <v>407</v>
      </c>
      <c r="H122" s="92">
        <v>0</v>
      </c>
      <c r="I122" s="92">
        <v>1</v>
      </c>
      <c r="J122" s="92">
        <v>2</v>
      </c>
      <c r="K122" s="92">
        <v>3</v>
      </c>
      <c r="L122" s="92">
        <v>4</v>
      </c>
      <c r="M122" s="92">
        <v>5</v>
      </c>
      <c r="N122" s="92">
        <v>6</v>
      </c>
      <c r="O122" s="92">
        <v>7</v>
      </c>
      <c r="P122" s="92">
        <v>8</v>
      </c>
      <c r="Q122" s="92">
        <v>9</v>
      </c>
      <c r="R122" s="92">
        <v>10</v>
      </c>
      <c r="S122" s="92">
        <v>11</v>
      </c>
      <c r="T122" s="92">
        <v>12</v>
      </c>
      <c r="U122" s="92">
        <v>13</v>
      </c>
      <c r="V122" s="92">
        <v>14</v>
      </c>
      <c r="W122" s="92">
        <v>15</v>
      </c>
      <c r="X122" s="92">
        <v>16</v>
      </c>
      <c r="Y122" s="92">
        <v>17</v>
      </c>
      <c r="Z122" s="92">
        <v>18</v>
      </c>
      <c r="AA122" s="92">
        <v>19</v>
      </c>
      <c r="AB122" s="92">
        <v>20</v>
      </c>
      <c r="AC122" s="92">
        <v>21</v>
      </c>
      <c r="AD122" s="92">
        <v>22</v>
      </c>
      <c r="AE122" s="92">
        <v>99</v>
      </c>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2"/>
      <c r="BL122" s="92"/>
      <c r="BM122" s="92"/>
      <c r="BN122" s="92"/>
      <c r="BO122" s="92"/>
      <c r="BP122" s="92"/>
      <c r="BQ122" s="92"/>
      <c r="BR122" s="92"/>
      <c r="BS122" s="92"/>
      <c r="BT122" s="92"/>
      <c r="BU122" s="92"/>
      <c r="BV122" s="92"/>
      <c r="BW122" s="92"/>
      <c r="BX122" s="92"/>
      <c r="BY122" s="92"/>
      <c r="BZ122" s="92"/>
      <c r="CA122" s="92"/>
      <c r="CB122" s="92"/>
    </row>
    <row r="123" spans="1:80" ht="12.75" customHeight="1">
      <c r="A123" s="92"/>
      <c r="B123" s="92"/>
      <c r="C123" s="92"/>
      <c r="D123" s="92"/>
      <c r="E123" s="92"/>
      <c r="F123" s="92">
        <v>1</v>
      </c>
      <c r="G123" s="93" t="s">
        <v>300</v>
      </c>
      <c r="H123" s="99">
        <v>1</v>
      </c>
      <c r="I123" s="99">
        <v>1</v>
      </c>
      <c r="J123" s="99">
        <v>1</v>
      </c>
      <c r="K123" s="99">
        <v>1</v>
      </c>
      <c r="L123" s="99">
        <v>1</v>
      </c>
      <c r="M123" s="99">
        <v>1</v>
      </c>
      <c r="N123" s="99">
        <v>1</v>
      </c>
      <c r="O123" s="99">
        <v>1</v>
      </c>
      <c r="P123" s="99">
        <v>1</v>
      </c>
      <c r="Q123" s="99">
        <v>2</v>
      </c>
      <c r="R123" s="99">
        <v>3</v>
      </c>
      <c r="S123" s="99">
        <v>3</v>
      </c>
      <c r="T123" s="99">
        <v>4</v>
      </c>
      <c r="U123" s="99">
        <v>4</v>
      </c>
      <c r="V123" s="99">
        <v>5</v>
      </c>
      <c r="W123" s="99">
        <v>6</v>
      </c>
      <c r="X123" s="99">
        <v>6</v>
      </c>
      <c r="Y123" s="99">
        <v>7</v>
      </c>
      <c r="Z123" s="99">
        <v>8</v>
      </c>
      <c r="AA123" s="99">
        <v>8</v>
      </c>
      <c r="AB123" s="99">
        <v>9</v>
      </c>
      <c r="AC123" s="92" t="s">
        <v>301</v>
      </c>
      <c r="AD123" s="92" t="s">
        <v>301</v>
      </c>
      <c r="AE123" s="92" t="s">
        <v>301</v>
      </c>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2"/>
      <c r="BL123" s="92"/>
      <c r="BM123" s="92"/>
      <c r="BN123" s="92"/>
      <c r="BO123" s="92"/>
      <c r="BP123" s="92"/>
      <c r="BQ123" s="92"/>
      <c r="BR123" s="92"/>
      <c r="BS123" s="92"/>
      <c r="BT123" s="92"/>
      <c r="BU123" s="92"/>
      <c r="BV123" s="92"/>
      <c r="BW123" s="92"/>
      <c r="BX123" s="92"/>
      <c r="BY123" s="92"/>
      <c r="BZ123" s="92"/>
      <c r="CA123" s="92"/>
      <c r="CB123" s="92"/>
    </row>
    <row r="124" spans="1:80" ht="12.75" customHeight="1">
      <c r="A124" s="92"/>
      <c r="B124" s="92"/>
      <c r="C124" s="92"/>
      <c r="D124" s="92"/>
      <c r="E124" s="92"/>
      <c r="F124" s="92">
        <v>2</v>
      </c>
      <c r="G124" s="93" t="s">
        <v>303</v>
      </c>
      <c r="H124" s="99">
        <v>1</v>
      </c>
      <c r="I124" s="99">
        <v>1</v>
      </c>
      <c r="J124" s="99">
        <v>1</v>
      </c>
      <c r="K124" s="99">
        <v>1</v>
      </c>
      <c r="L124" s="99">
        <v>1</v>
      </c>
      <c r="M124" s="99">
        <v>1</v>
      </c>
      <c r="N124" s="99">
        <v>1</v>
      </c>
      <c r="O124" s="99">
        <v>1</v>
      </c>
      <c r="P124" s="99">
        <v>1</v>
      </c>
      <c r="Q124" s="99">
        <v>1</v>
      </c>
      <c r="R124" s="99">
        <v>2</v>
      </c>
      <c r="S124" s="99">
        <v>3</v>
      </c>
      <c r="T124" s="99">
        <v>3</v>
      </c>
      <c r="U124" s="99">
        <v>4</v>
      </c>
      <c r="V124" s="99">
        <v>5</v>
      </c>
      <c r="W124" s="99">
        <v>6</v>
      </c>
      <c r="X124" s="99">
        <v>6</v>
      </c>
      <c r="Y124" s="99">
        <v>7</v>
      </c>
      <c r="Z124" s="99">
        <v>8</v>
      </c>
      <c r="AA124" s="99">
        <v>8</v>
      </c>
      <c r="AB124" s="99">
        <v>9</v>
      </c>
      <c r="AC124" s="92" t="s">
        <v>301</v>
      </c>
      <c r="AD124" s="92" t="s">
        <v>301</v>
      </c>
      <c r="AE124" s="92" t="s">
        <v>301</v>
      </c>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2"/>
      <c r="BL124" s="92"/>
      <c r="BM124" s="92"/>
      <c r="BN124" s="92"/>
      <c r="BO124" s="92"/>
      <c r="BP124" s="92"/>
      <c r="BQ124" s="92"/>
      <c r="BR124" s="92"/>
      <c r="BS124" s="92"/>
      <c r="BT124" s="92"/>
      <c r="BU124" s="92"/>
      <c r="BV124" s="92"/>
      <c r="BW124" s="92"/>
      <c r="BX124" s="92"/>
      <c r="BY124" s="92"/>
      <c r="BZ124" s="92"/>
      <c r="CA124" s="92"/>
      <c r="CB124" s="92"/>
    </row>
    <row r="125" spans="1:80" ht="12.75" customHeight="1">
      <c r="A125" s="92"/>
      <c r="B125" s="92"/>
      <c r="C125" s="92"/>
      <c r="D125" s="92"/>
      <c r="E125" s="92"/>
      <c r="F125" s="92">
        <v>3</v>
      </c>
      <c r="G125" s="93" t="s">
        <v>305</v>
      </c>
      <c r="H125" s="99">
        <v>1</v>
      </c>
      <c r="I125" s="99">
        <v>1</v>
      </c>
      <c r="J125" s="99">
        <v>1</v>
      </c>
      <c r="K125" s="99">
        <v>1</v>
      </c>
      <c r="L125" s="99">
        <v>1</v>
      </c>
      <c r="M125" s="99">
        <v>1</v>
      </c>
      <c r="N125" s="99">
        <v>1</v>
      </c>
      <c r="O125" s="99">
        <v>1</v>
      </c>
      <c r="P125" s="99">
        <v>1</v>
      </c>
      <c r="Q125" s="99">
        <v>2</v>
      </c>
      <c r="R125" s="99">
        <v>2</v>
      </c>
      <c r="S125" s="99">
        <v>3</v>
      </c>
      <c r="T125" s="99">
        <v>4</v>
      </c>
      <c r="U125" s="99">
        <v>4</v>
      </c>
      <c r="V125" s="99">
        <v>5</v>
      </c>
      <c r="W125" s="99">
        <v>6</v>
      </c>
      <c r="X125" s="99">
        <v>6</v>
      </c>
      <c r="Y125" s="99">
        <v>7</v>
      </c>
      <c r="Z125" s="99">
        <v>8</v>
      </c>
      <c r="AA125" s="99">
        <v>8</v>
      </c>
      <c r="AB125" s="99">
        <v>9</v>
      </c>
      <c r="AC125" s="92" t="s">
        <v>301</v>
      </c>
      <c r="AD125" s="92" t="s">
        <v>301</v>
      </c>
      <c r="AE125" s="92" t="s">
        <v>301</v>
      </c>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2"/>
      <c r="BL125" s="92"/>
      <c r="BM125" s="92"/>
      <c r="BN125" s="92"/>
      <c r="BO125" s="92"/>
      <c r="BP125" s="92"/>
      <c r="BQ125" s="92"/>
      <c r="BR125" s="92"/>
      <c r="BS125" s="92"/>
      <c r="BT125" s="92"/>
      <c r="BU125" s="92"/>
      <c r="BV125" s="92"/>
      <c r="BW125" s="92"/>
      <c r="BX125" s="92"/>
      <c r="BY125" s="92"/>
      <c r="BZ125" s="92"/>
      <c r="CA125" s="92"/>
      <c r="CB125" s="92"/>
    </row>
    <row r="126" spans="1:80" ht="12.75" customHeight="1">
      <c r="A126" s="92"/>
      <c r="B126" s="92"/>
      <c r="C126" s="92"/>
      <c r="D126" s="92"/>
      <c r="E126" s="92"/>
      <c r="F126" s="92">
        <v>4</v>
      </c>
      <c r="G126" s="93" t="s">
        <v>307</v>
      </c>
      <c r="H126" s="92">
        <v>1</v>
      </c>
      <c r="I126" s="92">
        <v>1</v>
      </c>
      <c r="J126" s="92">
        <v>1</v>
      </c>
      <c r="K126" s="92">
        <v>1</v>
      </c>
      <c r="L126" s="92">
        <v>1</v>
      </c>
      <c r="M126" s="92">
        <v>1</v>
      </c>
      <c r="N126" s="92">
        <v>1</v>
      </c>
      <c r="O126" s="92">
        <v>1</v>
      </c>
      <c r="P126" s="92">
        <v>2</v>
      </c>
      <c r="Q126" s="92">
        <v>2</v>
      </c>
      <c r="R126" s="92">
        <v>3</v>
      </c>
      <c r="S126" s="92">
        <v>3</v>
      </c>
      <c r="T126" s="92">
        <v>4</v>
      </c>
      <c r="U126" s="92">
        <v>4</v>
      </c>
      <c r="V126" s="92">
        <v>5</v>
      </c>
      <c r="W126" s="92">
        <v>5</v>
      </c>
      <c r="X126" s="92">
        <v>6</v>
      </c>
      <c r="Y126" s="92">
        <v>7</v>
      </c>
      <c r="Z126" s="92">
        <v>8</v>
      </c>
      <c r="AA126" s="92">
        <v>9</v>
      </c>
      <c r="AB126" s="92">
        <v>10</v>
      </c>
      <c r="AC126" s="92" t="s">
        <v>301</v>
      </c>
      <c r="AD126" s="92" t="s">
        <v>301</v>
      </c>
      <c r="AE126" s="92" t="s">
        <v>301</v>
      </c>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2"/>
      <c r="BL126" s="92"/>
      <c r="BM126" s="92"/>
      <c r="BN126" s="92"/>
      <c r="BO126" s="92"/>
      <c r="BP126" s="92"/>
      <c r="BQ126" s="92"/>
      <c r="BR126" s="92"/>
      <c r="BS126" s="92"/>
      <c r="BT126" s="92"/>
      <c r="BU126" s="92"/>
      <c r="BV126" s="92"/>
      <c r="BW126" s="92"/>
      <c r="BX126" s="92"/>
      <c r="BY126" s="92"/>
      <c r="BZ126" s="92"/>
      <c r="CA126" s="92"/>
      <c r="CB126" s="92"/>
    </row>
    <row r="127" spans="1:80" ht="12.75" customHeight="1">
      <c r="A127" s="92"/>
      <c r="B127" s="92"/>
      <c r="C127" s="92"/>
      <c r="D127" s="92"/>
      <c r="E127" s="92"/>
      <c r="F127" s="92">
        <v>5</v>
      </c>
      <c r="G127" s="93" t="s">
        <v>309</v>
      </c>
      <c r="H127" s="92">
        <v>1</v>
      </c>
      <c r="I127" s="92">
        <v>1</v>
      </c>
      <c r="J127" s="92">
        <v>1</v>
      </c>
      <c r="K127" s="92">
        <v>1</v>
      </c>
      <c r="L127" s="92">
        <v>1</v>
      </c>
      <c r="M127" s="92">
        <v>2</v>
      </c>
      <c r="N127" s="92">
        <v>2</v>
      </c>
      <c r="O127" s="92">
        <v>3</v>
      </c>
      <c r="P127" s="92">
        <v>3</v>
      </c>
      <c r="Q127" s="92">
        <v>4</v>
      </c>
      <c r="R127" s="92">
        <v>4</v>
      </c>
      <c r="S127" s="92">
        <v>4</v>
      </c>
      <c r="T127" s="92">
        <v>5</v>
      </c>
      <c r="U127" s="92">
        <v>5</v>
      </c>
      <c r="V127" s="92">
        <v>6</v>
      </c>
      <c r="W127" s="92">
        <v>6</v>
      </c>
      <c r="X127" s="92">
        <v>7</v>
      </c>
      <c r="Y127" s="92">
        <v>7</v>
      </c>
      <c r="Z127" s="92">
        <v>8</v>
      </c>
      <c r="AA127" s="92">
        <v>9</v>
      </c>
      <c r="AB127" s="92">
        <v>10</v>
      </c>
      <c r="AC127" s="92" t="s">
        <v>301</v>
      </c>
      <c r="AD127" s="92" t="s">
        <v>301</v>
      </c>
      <c r="AE127" s="92" t="s">
        <v>301</v>
      </c>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2"/>
      <c r="BL127" s="92"/>
      <c r="BM127" s="92"/>
      <c r="BN127" s="92"/>
      <c r="BO127" s="92"/>
      <c r="BP127" s="92"/>
      <c r="BQ127" s="92"/>
      <c r="BR127" s="92"/>
      <c r="BS127" s="92"/>
      <c r="BT127" s="92"/>
      <c r="BU127" s="92"/>
      <c r="BV127" s="92"/>
      <c r="BW127" s="92"/>
      <c r="BX127" s="92"/>
      <c r="BY127" s="92"/>
      <c r="BZ127" s="92"/>
      <c r="CA127" s="92"/>
      <c r="CB127" s="92"/>
    </row>
    <row r="128" spans="1:80" ht="12.75" customHeight="1">
      <c r="A128" s="92"/>
      <c r="B128" s="92"/>
      <c r="C128" s="92"/>
      <c r="D128" s="92"/>
      <c r="E128" s="92"/>
      <c r="F128" s="92">
        <v>6</v>
      </c>
      <c r="G128" s="93" t="s">
        <v>311</v>
      </c>
      <c r="H128" s="92">
        <v>1</v>
      </c>
      <c r="I128" s="92">
        <v>1</v>
      </c>
      <c r="J128" s="92">
        <v>1</v>
      </c>
      <c r="K128" s="92">
        <v>1</v>
      </c>
      <c r="L128" s="92">
        <v>1</v>
      </c>
      <c r="M128" s="92">
        <v>1</v>
      </c>
      <c r="N128" s="92">
        <v>2</v>
      </c>
      <c r="O128" s="92">
        <v>2</v>
      </c>
      <c r="P128" s="92">
        <v>3</v>
      </c>
      <c r="Q128" s="92">
        <v>3</v>
      </c>
      <c r="R128" s="92">
        <v>4</v>
      </c>
      <c r="S128" s="92">
        <v>4</v>
      </c>
      <c r="T128" s="92">
        <v>5</v>
      </c>
      <c r="U128" s="92">
        <v>6</v>
      </c>
      <c r="V128" s="92">
        <v>6</v>
      </c>
      <c r="W128" s="92">
        <v>7</v>
      </c>
      <c r="X128" s="92">
        <v>7</v>
      </c>
      <c r="Y128" s="92">
        <v>8</v>
      </c>
      <c r="Z128" s="92">
        <v>9</v>
      </c>
      <c r="AA128" s="92">
        <v>10</v>
      </c>
      <c r="AB128" s="92">
        <v>10</v>
      </c>
      <c r="AC128" s="92" t="s">
        <v>301</v>
      </c>
      <c r="AD128" s="92" t="s">
        <v>301</v>
      </c>
      <c r="AE128" s="92" t="s">
        <v>301</v>
      </c>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2"/>
      <c r="BL128" s="92"/>
      <c r="BM128" s="92"/>
      <c r="BN128" s="92"/>
      <c r="BO128" s="92"/>
      <c r="BP128" s="92"/>
      <c r="BQ128" s="92"/>
      <c r="BR128" s="92"/>
      <c r="BS128" s="92"/>
      <c r="BT128" s="92"/>
      <c r="BU128" s="92"/>
      <c r="BV128" s="92"/>
      <c r="BW128" s="92"/>
      <c r="BX128" s="92"/>
      <c r="BY128" s="92"/>
      <c r="BZ128" s="92"/>
      <c r="CA128" s="92"/>
      <c r="CB128" s="92"/>
    </row>
    <row r="129" spans="1:80" ht="12.75" customHeight="1">
      <c r="A129" s="92"/>
      <c r="B129" s="92"/>
      <c r="C129" s="92"/>
      <c r="D129" s="92"/>
      <c r="E129" s="92"/>
      <c r="F129" s="92">
        <v>7</v>
      </c>
      <c r="G129" s="93" t="s">
        <v>313</v>
      </c>
      <c r="H129" s="92">
        <v>1</v>
      </c>
      <c r="I129" s="92">
        <v>1</v>
      </c>
      <c r="J129" s="92">
        <v>1</v>
      </c>
      <c r="K129" s="92">
        <v>1</v>
      </c>
      <c r="L129" s="92">
        <v>2</v>
      </c>
      <c r="M129" s="92">
        <v>2</v>
      </c>
      <c r="N129" s="92">
        <v>2</v>
      </c>
      <c r="O129" s="92">
        <v>3</v>
      </c>
      <c r="P129" s="92">
        <v>3</v>
      </c>
      <c r="Q129" s="92">
        <v>4</v>
      </c>
      <c r="R129" s="92">
        <v>4</v>
      </c>
      <c r="S129" s="92">
        <v>5</v>
      </c>
      <c r="T129" s="92">
        <v>5</v>
      </c>
      <c r="U129" s="92">
        <v>6</v>
      </c>
      <c r="V129" s="92">
        <v>6</v>
      </c>
      <c r="W129" s="92">
        <v>7</v>
      </c>
      <c r="X129" s="92">
        <v>7</v>
      </c>
      <c r="Y129" s="92">
        <v>8</v>
      </c>
      <c r="Z129" s="92">
        <v>9</v>
      </c>
      <c r="AA129" s="92">
        <v>10</v>
      </c>
      <c r="AB129" s="92">
        <v>10</v>
      </c>
      <c r="AC129" s="92" t="s">
        <v>301</v>
      </c>
      <c r="AD129" s="92" t="s">
        <v>301</v>
      </c>
      <c r="AE129" s="92" t="s">
        <v>301</v>
      </c>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2"/>
      <c r="BL129" s="92"/>
      <c r="BM129" s="92"/>
      <c r="BN129" s="92"/>
      <c r="BO129" s="92"/>
      <c r="BP129" s="92"/>
      <c r="BQ129" s="92"/>
      <c r="BR129" s="92"/>
      <c r="BS129" s="92"/>
      <c r="BT129" s="92"/>
      <c r="BU129" s="92"/>
      <c r="BV129" s="92"/>
      <c r="BW129" s="92"/>
      <c r="BX129" s="92"/>
      <c r="BY129" s="92"/>
      <c r="BZ129" s="92"/>
      <c r="CA129" s="92"/>
      <c r="CB129" s="92"/>
    </row>
    <row r="130" spans="1:80" ht="12.75" customHeight="1">
      <c r="A130" s="92"/>
      <c r="B130" s="92"/>
      <c r="C130" s="92"/>
      <c r="D130" s="92"/>
      <c r="E130" s="92"/>
      <c r="F130" s="92">
        <v>8</v>
      </c>
      <c r="G130" s="93" t="s">
        <v>315</v>
      </c>
      <c r="H130" s="92">
        <v>1</v>
      </c>
      <c r="I130" s="92">
        <v>1</v>
      </c>
      <c r="J130" s="92">
        <v>1</v>
      </c>
      <c r="K130" s="92">
        <v>1</v>
      </c>
      <c r="L130" s="92">
        <v>1</v>
      </c>
      <c r="M130" s="92">
        <v>1</v>
      </c>
      <c r="N130" s="92">
        <v>1</v>
      </c>
      <c r="O130" s="92">
        <v>1</v>
      </c>
      <c r="P130" s="92">
        <v>1</v>
      </c>
      <c r="Q130" s="92">
        <v>1</v>
      </c>
      <c r="R130" s="92">
        <v>1</v>
      </c>
      <c r="S130" s="92">
        <v>2</v>
      </c>
      <c r="T130" s="92">
        <v>3</v>
      </c>
      <c r="U130" s="92">
        <v>3</v>
      </c>
      <c r="V130" s="92">
        <v>4</v>
      </c>
      <c r="W130" s="92">
        <v>5</v>
      </c>
      <c r="X130" s="92">
        <v>5</v>
      </c>
      <c r="Y130" s="92">
        <v>6</v>
      </c>
      <c r="Z130" s="92">
        <v>7</v>
      </c>
      <c r="AA130" s="92">
        <v>7</v>
      </c>
      <c r="AB130" s="92">
        <v>8</v>
      </c>
      <c r="AC130" s="92" t="s">
        <v>301</v>
      </c>
      <c r="AD130" s="92" t="s">
        <v>301</v>
      </c>
      <c r="AE130" s="92" t="s">
        <v>301</v>
      </c>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2"/>
      <c r="BL130" s="92"/>
      <c r="BM130" s="92"/>
      <c r="BN130" s="92"/>
      <c r="BO130" s="92"/>
      <c r="BP130" s="92"/>
      <c r="BQ130" s="92"/>
      <c r="BR130" s="92"/>
      <c r="BS130" s="92"/>
      <c r="BT130" s="92"/>
      <c r="BU130" s="92"/>
      <c r="BV130" s="92"/>
      <c r="BW130" s="92"/>
      <c r="BX130" s="92"/>
      <c r="BY130" s="92"/>
      <c r="BZ130" s="92"/>
      <c r="CA130" s="92"/>
      <c r="CB130" s="92"/>
    </row>
    <row r="131" spans="1:80" ht="12.75" customHeight="1">
      <c r="A131" s="92"/>
      <c r="B131" s="92"/>
      <c r="C131" s="92"/>
      <c r="D131" s="92"/>
      <c r="E131" s="92"/>
      <c r="F131" s="92">
        <v>9</v>
      </c>
      <c r="G131" s="93" t="s">
        <v>318</v>
      </c>
      <c r="H131" s="92">
        <v>1</v>
      </c>
      <c r="I131" s="92">
        <v>1</v>
      </c>
      <c r="J131" s="92">
        <v>1</v>
      </c>
      <c r="K131" s="92">
        <v>1</v>
      </c>
      <c r="L131" s="92">
        <v>1</v>
      </c>
      <c r="M131" s="92">
        <v>1</v>
      </c>
      <c r="N131" s="92">
        <v>1</v>
      </c>
      <c r="O131" s="92">
        <v>1</v>
      </c>
      <c r="P131" s="92">
        <v>1</v>
      </c>
      <c r="Q131" s="92">
        <v>1</v>
      </c>
      <c r="R131" s="92">
        <v>1</v>
      </c>
      <c r="S131" s="92">
        <v>2</v>
      </c>
      <c r="T131" s="92">
        <v>2</v>
      </c>
      <c r="U131" s="92">
        <v>3</v>
      </c>
      <c r="V131" s="92">
        <v>4</v>
      </c>
      <c r="W131" s="92">
        <v>4</v>
      </c>
      <c r="X131" s="92">
        <v>5</v>
      </c>
      <c r="Y131" s="92">
        <v>6</v>
      </c>
      <c r="Z131" s="92">
        <v>6</v>
      </c>
      <c r="AA131" s="92">
        <v>7</v>
      </c>
      <c r="AB131" s="92">
        <v>8</v>
      </c>
      <c r="AC131" s="92" t="s">
        <v>301</v>
      </c>
      <c r="AD131" s="92" t="s">
        <v>301</v>
      </c>
      <c r="AE131" s="92" t="s">
        <v>301</v>
      </c>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2"/>
      <c r="BL131" s="92"/>
      <c r="BM131" s="92"/>
      <c r="BN131" s="92"/>
      <c r="BO131" s="92"/>
      <c r="BP131" s="92"/>
      <c r="BQ131" s="92"/>
      <c r="BR131" s="92"/>
      <c r="BS131" s="92"/>
      <c r="BT131" s="92"/>
      <c r="BU131" s="92"/>
      <c r="BV131" s="92"/>
      <c r="BW131" s="92"/>
      <c r="BX131" s="92"/>
      <c r="BY131" s="92"/>
      <c r="BZ131" s="92"/>
      <c r="CA131" s="92"/>
      <c r="CB131" s="92"/>
    </row>
    <row r="132" spans="1:80" ht="12.75" customHeight="1">
      <c r="A132" s="92"/>
      <c r="B132" s="92"/>
      <c r="C132" s="92"/>
      <c r="D132" s="92"/>
      <c r="E132" s="92"/>
      <c r="F132" s="92">
        <v>10</v>
      </c>
      <c r="G132" s="93" t="s">
        <v>320</v>
      </c>
      <c r="H132" s="92">
        <v>1</v>
      </c>
      <c r="I132" s="92">
        <v>1</v>
      </c>
      <c r="J132" s="92">
        <v>1</v>
      </c>
      <c r="K132" s="92">
        <v>1</v>
      </c>
      <c r="L132" s="92">
        <v>1</v>
      </c>
      <c r="M132" s="92">
        <v>1</v>
      </c>
      <c r="N132" s="92">
        <v>1</v>
      </c>
      <c r="O132" s="92">
        <v>1</v>
      </c>
      <c r="P132" s="92">
        <v>1</v>
      </c>
      <c r="Q132" s="92">
        <v>1</v>
      </c>
      <c r="R132" s="92">
        <v>1</v>
      </c>
      <c r="S132" s="92">
        <v>1</v>
      </c>
      <c r="T132" s="92">
        <v>2</v>
      </c>
      <c r="U132" s="92">
        <v>3</v>
      </c>
      <c r="V132" s="92">
        <v>3</v>
      </c>
      <c r="W132" s="92">
        <v>4</v>
      </c>
      <c r="X132" s="92">
        <v>5</v>
      </c>
      <c r="Y132" s="92">
        <v>6</v>
      </c>
      <c r="Z132" s="92">
        <v>6</v>
      </c>
      <c r="AA132" s="92">
        <v>7</v>
      </c>
      <c r="AB132" s="92">
        <v>8</v>
      </c>
      <c r="AC132" s="92" t="s">
        <v>301</v>
      </c>
      <c r="AD132" s="92" t="s">
        <v>301</v>
      </c>
      <c r="AE132" s="92" t="s">
        <v>301</v>
      </c>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2"/>
      <c r="BL132" s="92"/>
      <c r="BM132" s="92"/>
      <c r="BN132" s="92"/>
      <c r="BO132" s="92"/>
      <c r="BP132" s="92"/>
      <c r="BQ132" s="92"/>
      <c r="BR132" s="92"/>
      <c r="BS132" s="92"/>
      <c r="BT132" s="92"/>
      <c r="BU132" s="92"/>
      <c r="BV132" s="92"/>
      <c r="BW132" s="92"/>
      <c r="BX132" s="92"/>
      <c r="BY132" s="92"/>
      <c r="BZ132" s="92"/>
      <c r="CA132" s="92"/>
      <c r="CB132" s="92"/>
    </row>
    <row r="133" spans="1:80" ht="12.75" customHeight="1">
      <c r="A133" s="92"/>
      <c r="B133" s="92"/>
      <c r="C133" s="92"/>
      <c r="D133" s="92"/>
      <c r="E133" s="92"/>
      <c r="F133" s="92">
        <v>11</v>
      </c>
      <c r="G133" s="93" t="s">
        <v>322</v>
      </c>
      <c r="H133" s="92">
        <v>1</v>
      </c>
      <c r="I133" s="92">
        <v>1</v>
      </c>
      <c r="J133" s="92">
        <v>1</v>
      </c>
      <c r="K133" s="92">
        <v>1</v>
      </c>
      <c r="L133" s="92">
        <v>1</v>
      </c>
      <c r="M133" s="92">
        <v>1</v>
      </c>
      <c r="N133" s="92">
        <v>1</v>
      </c>
      <c r="O133" s="92">
        <v>1</v>
      </c>
      <c r="P133" s="92">
        <v>1</v>
      </c>
      <c r="Q133" s="92">
        <v>1</v>
      </c>
      <c r="R133" s="92">
        <v>1</v>
      </c>
      <c r="S133" s="92">
        <v>2</v>
      </c>
      <c r="T133" s="92">
        <v>2</v>
      </c>
      <c r="U133" s="92">
        <v>3</v>
      </c>
      <c r="V133" s="92">
        <v>4</v>
      </c>
      <c r="W133" s="92">
        <v>4</v>
      </c>
      <c r="X133" s="92">
        <v>5</v>
      </c>
      <c r="Y133" s="92">
        <v>6</v>
      </c>
      <c r="Z133" s="92">
        <v>6</v>
      </c>
      <c r="AA133" s="92">
        <v>7</v>
      </c>
      <c r="AB133" s="92">
        <v>8</v>
      </c>
      <c r="AC133" s="92" t="s">
        <v>301</v>
      </c>
      <c r="AD133" s="92" t="s">
        <v>301</v>
      </c>
      <c r="AE133" s="92" t="s">
        <v>301</v>
      </c>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2"/>
      <c r="BL133" s="92"/>
      <c r="BM133" s="92"/>
      <c r="BN133" s="92"/>
      <c r="BO133" s="92"/>
      <c r="BP133" s="92"/>
      <c r="BQ133" s="92"/>
      <c r="BR133" s="92"/>
      <c r="BS133" s="92"/>
      <c r="BT133" s="92"/>
      <c r="BU133" s="92"/>
      <c r="BV133" s="92"/>
      <c r="BW133" s="92"/>
      <c r="BX133" s="92"/>
      <c r="BY133" s="92"/>
      <c r="BZ133" s="92"/>
      <c r="CA133" s="92"/>
      <c r="CB133" s="92"/>
    </row>
    <row r="134" spans="1:80" ht="12.75" customHeight="1">
      <c r="A134" s="92"/>
      <c r="B134" s="92"/>
      <c r="C134" s="92"/>
      <c r="D134" s="92"/>
      <c r="E134" s="92"/>
      <c r="F134" s="92">
        <v>12</v>
      </c>
      <c r="G134" s="93" t="s">
        <v>324</v>
      </c>
      <c r="H134" s="92">
        <v>1</v>
      </c>
      <c r="I134" s="92">
        <v>1</v>
      </c>
      <c r="J134" s="92">
        <v>1</v>
      </c>
      <c r="K134" s="92">
        <v>1</v>
      </c>
      <c r="L134" s="92">
        <v>1</v>
      </c>
      <c r="M134" s="92">
        <v>1</v>
      </c>
      <c r="N134" s="92">
        <v>1</v>
      </c>
      <c r="O134" s="92">
        <v>1</v>
      </c>
      <c r="P134" s="92">
        <v>1</v>
      </c>
      <c r="Q134" s="92">
        <v>1</v>
      </c>
      <c r="R134" s="92">
        <v>2</v>
      </c>
      <c r="S134" s="92">
        <v>3</v>
      </c>
      <c r="T134" s="92">
        <v>3</v>
      </c>
      <c r="U134" s="92">
        <v>4</v>
      </c>
      <c r="V134" s="92">
        <v>4</v>
      </c>
      <c r="W134" s="92">
        <v>5</v>
      </c>
      <c r="X134" s="92">
        <v>6</v>
      </c>
      <c r="Y134" s="92">
        <v>7</v>
      </c>
      <c r="Z134" s="92">
        <v>8</v>
      </c>
      <c r="AA134" s="92">
        <v>9</v>
      </c>
      <c r="AB134" s="92">
        <v>10</v>
      </c>
      <c r="AC134" s="92" t="s">
        <v>301</v>
      </c>
      <c r="AD134" s="92" t="s">
        <v>301</v>
      </c>
      <c r="AE134" s="92" t="s">
        <v>301</v>
      </c>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2"/>
      <c r="BL134" s="92"/>
      <c r="BM134" s="92"/>
      <c r="BN134" s="92"/>
      <c r="BO134" s="92"/>
      <c r="BP134" s="92"/>
      <c r="BQ134" s="92"/>
      <c r="BR134" s="92"/>
      <c r="BS134" s="92"/>
      <c r="BT134" s="92"/>
      <c r="BU134" s="92"/>
      <c r="BV134" s="92"/>
      <c r="BW134" s="92"/>
      <c r="BX134" s="92"/>
      <c r="BY134" s="92"/>
      <c r="BZ134" s="92"/>
      <c r="CA134" s="92"/>
      <c r="CB134" s="92"/>
    </row>
    <row r="135" spans="1:80" ht="12.75" customHeight="1">
      <c r="A135" s="92"/>
      <c r="B135" s="92"/>
      <c r="C135" s="92"/>
      <c r="D135" s="92"/>
      <c r="E135" s="92"/>
      <c r="F135" s="92">
        <v>13</v>
      </c>
      <c r="G135" s="93" t="s">
        <v>326</v>
      </c>
      <c r="H135" s="92">
        <v>1</v>
      </c>
      <c r="I135" s="92">
        <v>1</v>
      </c>
      <c r="J135" s="92">
        <v>1</v>
      </c>
      <c r="K135" s="92">
        <v>1</v>
      </c>
      <c r="L135" s="92">
        <v>1</v>
      </c>
      <c r="M135" s="92">
        <v>1</v>
      </c>
      <c r="N135" s="92">
        <v>1</v>
      </c>
      <c r="O135" s="92">
        <v>1</v>
      </c>
      <c r="P135" s="92">
        <v>2</v>
      </c>
      <c r="Q135" s="92">
        <v>2</v>
      </c>
      <c r="R135" s="92">
        <v>3</v>
      </c>
      <c r="S135" s="92">
        <v>4</v>
      </c>
      <c r="T135" s="92">
        <v>4</v>
      </c>
      <c r="U135" s="92">
        <v>5</v>
      </c>
      <c r="V135" s="92">
        <v>5</v>
      </c>
      <c r="W135" s="92">
        <v>6</v>
      </c>
      <c r="X135" s="92">
        <v>7</v>
      </c>
      <c r="Y135" s="92">
        <v>7</v>
      </c>
      <c r="Z135" s="92">
        <v>8</v>
      </c>
      <c r="AA135" s="92">
        <v>9</v>
      </c>
      <c r="AB135" s="92">
        <v>10</v>
      </c>
      <c r="AC135" s="92" t="s">
        <v>301</v>
      </c>
      <c r="AD135" s="92" t="s">
        <v>301</v>
      </c>
      <c r="AE135" s="92" t="s">
        <v>301</v>
      </c>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2"/>
      <c r="BL135" s="92"/>
      <c r="BM135" s="92"/>
      <c r="BN135" s="92"/>
      <c r="BO135" s="92"/>
      <c r="BP135" s="92"/>
      <c r="BQ135" s="92"/>
      <c r="BR135" s="92"/>
      <c r="BS135" s="92"/>
      <c r="BT135" s="92"/>
      <c r="BU135" s="92"/>
      <c r="BV135" s="92"/>
      <c r="BW135" s="92"/>
      <c r="BX135" s="92"/>
      <c r="BY135" s="92"/>
      <c r="BZ135" s="92"/>
      <c r="CA135" s="92"/>
      <c r="CB135" s="92"/>
    </row>
    <row r="136" spans="1:80" ht="12.75" customHeight="1">
      <c r="A136" s="92"/>
      <c r="B136" s="92"/>
      <c r="C136" s="92"/>
      <c r="D136" s="92"/>
      <c r="E136" s="92"/>
      <c r="F136" s="92">
        <v>14</v>
      </c>
      <c r="G136" s="93" t="s">
        <v>328</v>
      </c>
      <c r="H136" s="92">
        <v>1</v>
      </c>
      <c r="I136" s="92">
        <v>1</v>
      </c>
      <c r="J136" s="92">
        <v>1</v>
      </c>
      <c r="K136" s="92">
        <v>1</v>
      </c>
      <c r="L136" s="92">
        <v>1</v>
      </c>
      <c r="M136" s="92">
        <v>1</v>
      </c>
      <c r="N136" s="92">
        <v>1</v>
      </c>
      <c r="O136" s="92">
        <v>1</v>
      </c>
      <c r="P136" s="92">
        <v>1</v>
      </c>
      <c r="Q136" s="92">
        <v>2</v>
      </c>
      <c r="R136" s="92">
        <v>3</v>
      </c>
      <c r="S136" s="92">
        <v>4</v>
      </c>
      <c r="T136" s="92">
        <v>4</v>
      </c>
      <c r="U136" s="92">
        <v>5</v>
      </c>
      <c r="V136" s="92">
        <v>6</v>
      </c>
      <c r="W136" s="92">
        <v>6</v>
      </c>
      <c r="X136" s="92">
        <v>7</v>
      </c>
      <c r="Y136" s="92">
        <v>8</v>
      </c>
      <c r="Z136" s="92">
        <v>8</v>
      </c>
      <c r="AA136" s="92">
        <v>9</v>
      </c>
      <c r="AB136" s="92">
        <v>10</v>
      </c>
      <c r="AC136" s="92" t="s">
        <v>301</v>
      </c>
      <c r="AD136" s="92" t="s">
        <v>301</v>
      </c>
      <c r="AE136" s="92" t="s">
        <v>301</v>
      </c>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2"/>
      <c r="BL136" s="92"/>
      <c r="BM136" s="92"/>
      <c r="BN136" s="92"/>
      <c r="BO136" s="92"/>
      <c r="BP136" s="92"/>
      <c r="BQ136" s="92"/>
      <c r="BR136" s="92"/>
      <c r="BS136" s="92"/>
      <c r="BT136" s="92"/>
      <c r="BU136" s="92"/>
      <c r="BV136" s="92"/>
      <c r="BW136" s="92"/>
      <c r="BX136" s="92"/>
      <c r="BY136" s="92"/>
      <c r="BZ136" s="92"/>
      <c r="CA136" s="92"/>
      <c r="CB136" s="92"/>
    </row>
    <row r="137" spans="1:80" ht="12.75" customHeight="1">
      <c r="A137" s="92"/>
      <c r="B137" s="92"/>
      <c r="C137" s="92"/>
      <c r="D137" s="92"/>
      <c r="E137" s="92"/>
      <c r="F137" s="92">
        <v>15</v>
      </c>
      <c r="G137" s="93" t="s">
        <v>330</v>
      </c>
      <c r="H137" s="92">
        <v>1</v>
      </c>
      <c r="I137" s="92">
        <v>1</v>
      </c>
      <c r="J137" s="92">
        <v>1</v>
      </c>
      <c r="K137" s="92">
        <v>1</v>
      </c>
      <c r="L137" s="92">
        <v>1</v>
      </c>
      <c r="M137" s="92">
        <v>1</v>
      </c>
      <c r="N137" s="92">
        <v>1</v>
      </c>
      <c r="O137" s="92">
        <v>1</v>
      </c>
      <c r="P137" s="92">
        <v>1</v>
      </c>
      <c r="Q137" s="92">
        <v>2</v>
      </c>
      <c r="R137" s="92">
        <v>3</v>
      </c>
      <c r="S137" s="92">
        <v>3</v>
      </c>
      <c r="T137" s="92">
        <v>4</v>
      </c>
      <c r="U137" s="92">
        <v>4</v>
      </c>
      <c r="V137" s="92">
        <v>5</v>
      </c>
      <c r="W137" s="92">
        <v>6</v>
      </c>
      <c r="X137" s="92">
        <v>6</v>
      </c>
      <c r="Y137" s="92">
        <v>7</v>
      </c>
      <c r="Z137" s="92">
        <v>8</v>
      </c>
      <c r="AA137" s="92">
        <v>9</v>
      </c>
      <c r="AB137" s="92">
        <v>10</v>
      </c>
      <c r="AC137" s="92" t="s">
        <v>301</v>
      </c>
      <c r="AD137" s="92" t="s">
        <v>301</v>
      </c>
      <c r="AE137" s="92" t="s">
        <v>301</v>
      </c>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2"/>
      <c r="BL137" s="92"/>
      <c r="BM137" s="92"/>
      <c r="BN137" s="92"/>
      <c r="BO137" s="92"/>
      <c r="BP137" s="92"/>
      <c r="BQ137" s="92"/>
      <c r="BR137" s="92"/>
      <c r="BS137" s="92"/>
      <c r="BT137" s="92"/>
      <c r="BU137" s="92"/>
      <c r="BV137" s="92"/>
      <c r="BW137" s="92"/>
      <c r="BX137" s="92"/>
      <c r="BY137" s="92"/>
      <c r="BZ137" s="92"/>
      <c r="CA137" s="92"/>
      <c r="CB137" s="92"/>
    </row>
    <row r="138" spans="1:80" ht="12.75" customHeight="1">
      <c r="A138" s="92"/>
      <c r="B138" s="92"/>
      <c r="C138" s="92"/>
      <c r="D138" s="92"/>
      <c r="E138" s="92"/>
      <c r="F138" s="92">
        <v>16</v>
      </c>
      <c r="G138" s="93" t="s">
        <v>341</v>
      </c>
      <c r="H138" s="92">
        <v>1</v>
      </c>
      <c r="I138" s="92">
        <v>1</v>
      </c>
      <c r="J138" s="92">
        <v>1</v>
      </c>
      <c r="K138" s="92">
        <v>1</v>
      </c>
      <c r="L138" s="92">
        <v>2</v>
      </c>
      <c r="M138" s="92">
        <v>2</v>
      </c>
      <c r="N138" s="92">
        <v>2</v>
      </c>
      <c r="O138" s="92">
        <v>3</v>
      </c>
      <c r="P138" s="92">
        <v>3</v>
      </c>
      <c r="Q138" s="92">
        <v>3</v>
      </c>
      <c r="R138" s="92">
        <v>4</v>
      </c>
      <c r="S138" s="92">
        <v>4</v>
      </c>
      <c r="T138" s="92">
        <v>4</v>
      </c>
      <c r="U138" s="92">
        <v>4</v>
      </c>
      <c r="V138" s="92">
        <v>4</v>
      </c>
      <c r="W138" s="92">
        <v>5</v>
      </c>
      <c r="X138" s="92">
        <v>5</v>
      </c>
      <c r="Y138" s="92">
        <v>6</v>
      </c>
      <c r="Z138" s="92">
        <v>6</v>
      </c>
      <c r="AA138" s="92">
        <v>7</v>
      </c>
      <c r="AB138" s="92">
        <v>7</v>
      </c>
      <c r="AC138" s="92">
        <v>8</v>
      </c>
      <c r="AD138" s="92">
        <v>9</v>
      </c>
      <c r="AE138" s="92" t="s">
        <v>301</v>
      </c>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2"/>
      <c r="BL138" s="92"/>
      <c r="BM138" s="92"/>
      <c r="BN138" s="92"/>
      <c r="BO138" s="92"/>
      <c r="BP138" s="92"/>
      <c r="BQ138" s="92"/>
      <c r="BR138" s="92"/>
      <c r="BS138" s="92"/>
      <c r="BT138" s="92"/>
      <c r="BU138" s="92"/>
      <c r="BV138" s="92"/>
      <c r="BW138" s="92"/>
      <c r="BX138" s="92"/>
      <c r="BY138" s="92"/>
      <c r="BZ138" s="92"/>
      <c r="CA138" s="92"/>
      <c r="CB138" s="92"/>
    </row>
    <row r="139" spans="1:80" ht="12.75" customHeight="1">
      <c r="A139" s="92"/>
      <c r="B139" s="92"/>
      <c r="C139" s="92"/>
      <c r="D139" s="92"/>
      <c r="E139" s="92"/>
      <c r="F139" s="92">
        <v>17</v>
      </c>
      <c r="G139" s="93" t="s">
        <v>343</v>
      </c>
      <c r="H139" s="92">
        <v>1</v>
      </c>
      <c r="I139" s="92">
        <v>1</v>
      </c>
      <c r="J139" s="92">
        <v>1</v>
      </c>
      <c r="K139" s="92">
        <v>1</v>
      </c>
      <c r="L139" s="92">
        <v>2</v>
      </c>
      <c r="M139" s="92">
        <v>3</v>
      </c>
      <c r="N139" s="92">
        <v>3</v>
      </c>
      <c r="O139" s="92">
        <v>3</v>
      </c>
      <c r="P139" s="92">
        <v>4</v>
      </c>
      <c r="Q139" s="92">
        <v>4</v>
      </c>
      <c r="R139" s="92">
        <v>4</v>
      </c>
      <c r="S139" s="92">
        <v>4</v>
      </c>
      <c r="T139" s="92">
        <v>5</v>
      </c>
      <c r="U139" s="92">
        <v>6</v>
      </c>
      <c r="V139" s="92">
        <v>6</v>
      </c>
      <c r="W139" s="92">
        <v>6</v>
      </c>
      <c r="X139" s="92">
        <v>7</v>
      </c>
      <c r="Y139" s="92">
        <v>7</v>
      </c>
      <c r="Z139" s="92">
        <v>7</v>
      </c>
      <c r="AA139" s="92">
        <v>8</v>
      </c>
      <c r="AB139" s="92">
        <v>8</v>
      </c>
      <c r="AC139" s="92">
        <v>9</v>
      </c>
      <c r="AD139" s="92">
        <v>10</v>
      </c>
      <c r="AE139" s="92" t="s">
        <v>301</v>
      </c>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2"/>
      <c r="BL139" s="92"/>
      <c r="BM139" s="92"/>
      <c r="BN139" s="92"/>
      <c r="BO139" s="92"/>
      <c r="BP139" s="92"/>
      <c r="BQ139" s="92"/>
      <c r="BR139" s="92"/>
      <c r="BS139" s="92"/>
      <c r="BT139" s="92"/>
      <c r="BU139" s="92"/>
      <c r="BV139" s="92"/>
      <c r="BW139" s="92"/>
      <c r="BX139" s="92"/>
      <c r="BY139" s="92"/>
      <c r="BZ139" s="92"/>
      <c r="CA139" s="92"/>
      <c r="CB139" s="92"/>
    </row>
    <row r="140" spans="1:80" ht="12.75" customHeight="1">
      <c r="A140" s="92"/>
      <c r="B140" s="92"/>
      <c r="C140" s="92"/>
      <c r="D140" s="92"/>
      <c r="E140" s="92"/>
      <c r="F140" s="92">
        <v>18</v>
      </c>
      <c r="G140" s="93" t="s">
        <v>348</v>
      </c>
      <c r="H140" s="92">
        <v>1</v>
      </c>
      <c r="I140" s="92">
        <v>1</v>
      </c>
      <c r="J140" s="92">
        <v>1</v>
      </c>
      <c r="K140" s="92">
        <v>1</v>
      </c>
      <c r="L140" s="92">
        <v>2</v>
      </c>
      <c r="M140" s="92">
        <v>2</v>
      </c>
      <c r="N140" s="92">
        <v>2</v>
      </c>
      <c r="O140" s="92">
        <v>3</v>
      </c>
      <c r="P140" s="92">
        <v>3</v>
      </c>
      <c r="Q140" s="92">
        <v>4</v>
      </c>
      <c r="R140" s="92">
        <v>4</v>
      </c>
      <c r="S140" s="92">
        <v>4</v>
      </c>
      <c r="T140" s="92">
        <v>4</v>
      </c>
      <c r="U140" s="92">
        <v>4</v>
      </c>
      <c r="V140" s="92">
        <v>4</v>
      </c>
      <c r="W140" s="92">
        <v>5</v>
      </c>
      <c r="X140" s="92">
        <v>6</v>
      </c>
      <c r="Y140" s="92">
        <v>6</v>
      </c>
      <c r="Z140" s="92">
        <v>6</v>
      </c>
      <c r="AA140" s="92">
        <v>7</v>
      </c>
      <c r="AB140" s="92">
        <v>7</v>
      </c>
      <c r="AC140" s="92">
        <v>8</v>
      </c>
      <c r="AD140" s="92">
        <v>9</v>
      </c>
      <c r="AE140" s="92" t="s">
        <v>301</v>
      </c>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2"/>
      <c r="BL140" s="92"/>
      <c r="BM140" s="92"/>
      <c r="BN140" s="92"/>
      <c r="BO140" s="92"/>
      <c r="BP140" s="92"/>
      <c r="BQ140" s="92"/>
      <c r="BR140" s="92"/>
      <c r="BS140" s="92"/>
      <c r="BT140" s="92"/>
      <c r="BU140" s="92"/>
      <c r="BV140" s="92"/>
      <c r="BW140" s="92"/>
      <c r="BX140" s="92"/>
      <c r="BY140" s="92"/>
      <c r="BZ140" s="92"/>
      <c r="CA140" s="92"/>
      <c r="CB140" s="92"/>
    </row>
    <row r="141" spans="1:80" ht="12.75" customHeight="1">
      <c r="A141" s="92"/>
      <c r="B141" s="92"/>
      <c r="C141" s="92"/>
      <c r="D141" s="92"/>
      <c r="E141" s="92"/>
      <c r="F141" s="92"/>
      <c r="G141" s="93"/>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2"/>
      <c r="BL141" s="92"/>
      <c r="BM141" s="92"/>
      <c r="BN141" s="92"/>
      <c r="BO141" s="92"/>
      <c r="BP141" s="92"/>
      <c r="BQ141" s="92"/>
      <c r="BR141" s="92"/>
      <c r="BS141" s="92"/>
      <c r="BT141" s="92"/>
      <c r="BU141" s="92"/>
      <c r="BV141" s="92"/>
      <c r="BW141" s="92"/>
      <c r="BX141" s="92"/>
      <c r="BY141" s="92"/>
      <c r="BZ141" s="92"/>
      <c r="CA141" s="92"/>
      <c r="CB141" s="92"/>
    </row>
    <row r="142" spans="1:80" ht="12.75" customHeight="1">
      <c r="A142" s="92"/>
      <c r="B142" s="92"/>
      <c r="C142" s="92"/>
      <c r="D142" s="92"/>
      <c r="E142" s="92"/>
      <c r="F142" s="92"/>
      <c r="G142" s="93"/>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2"/>
      <c r="BL142" s="92"/>
      <c r="BM142" s="92"/>
      <c r="BN142" s="92"/>
      <c r="BO142" s="92"/>
      <c r="BP142" s="92"/>
      <c r="BQ142" s="92"/>
      <c r="BR142" s="92"/>
      <c r="BS142" s="92"/>
      <c r="BT142" s="92"/>
      <c r="BU142" s="92"/>
      <c r="BV142" s="92"/>
      <c r="BW142" s="92"/>
      <c r="BX142" s="92"/>
      <c r="BY142" s="92"/>
      <c r="BZ142" s="92"/>
      <c r="CA142" s="92"/>
      <c r="CB142" s="92"/>
    </row>
    <row r="143" spans="1:80" ht="12.75" customHeight="1">
      <c r="A143" s="92"/>
      <c r="B143" s="92"/>
      <c r="C143" s="92"/>
      <c r="D143" s="92"/>
      <c r="E143" s="92"/>
      <c r="F143" s="92"/>
      <c r="G143" s="93"/>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2"/>
      <c r="BL143" s="92"/>
      <c r="BM143" s="92"/>
      <c r="BN143" s="92"/>
      <c r="BO143" s="92"/>
      <c r="BP143" s="92"/>
      <c r="BQ143" s="92"/>
      <c r="BR143" s="92"/>
      <c r="BS143" s="92"/>
      <c r="BT143" s="92"/>
      <c r="BU143" s="92"/>
      <c r="BV143" s="92"/>
      <c r="BW143" s="92"/>
      <c r="BX143" s="92"/>
      <c r="BY143" s="92"/>
      <c r="BZ143" s="92"/>
      <c r="CA143" s="92"/>
      <c r="CB143" s="92"/>
    </row>
    <row r="144" spans="1:80" ht="12.75" customHeight="1">
      <c r="A144" s="92"/>
      <c r="B144" s="92"/>
      <c r="C144" s="92"/>
      <c r="D144" s="92"/>
      <c r="E144" s="92"/>
      <c r="F144" s="92"/>
      <c r="G144" s="93"/>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2"/>
      <c r="BL144" s="92"/>
      <c r="BM144" s="92"/>
      <c r="BN144" s="92"/>
      <c r="BO144" s="92"/>
      <c r="BP144" s="92"/>
      <c r="BQ144" s="92"/>
      <c r="BR144" s="92"/>
      <c r="BS144" s="92"/>
      <c r="BT144" s="92"/>
      <c r="BU144" s="92"/>
      <c r="BV144" s="92"/>
      <c r="BW144" s="92"/>
      <c r="BX144" s="92"/>
      <c r="BY144" s="92"/>
      <c r="BZ144" s="92"/>
      <c r="CA144" s="92"/>
      <c r="CB144" s="92"/>
    </row>
    <row r="145" spans="1:80" ht="12.75" customHeight="1">
      <c r="A145" s="92"/>
      <c r="B145" s="92"/>
      <c r="C145" s="92"/>
      <c r="D145" s="92"/>
      <c r="E145" s="92"/>
      <c r="F145" s="92"/>
      <c r="G145" s="93" t="s">
        <v>408</v>
      </c>
      <c r="H145" s="92">
        <v>0</v>
      </c>
      <c r="I145" s="92">
        <v>1</v>
      </c>
      <c r="J145" s="92">
        <v>2</v>
      </c>
      <c r="K145" s="92">
        <v>3</v>
      </c>
      <c r="L145" s="92">
        <v>4</v>
      </c>
      <c r="M145" s="92">
        <v>5</v>
      </c>
      <c r="N145" s="92">
        <v>6</v>
      </c>
      <c r="O145" s="92">
        <v>7</v>
      </c>
      <c r="P145" s="92">
        <v>8</v>
      </c>
      <c r="Q145" s="92">
        <v>9</v>
      </c>
      <c r="R145" s="92">
        <v>10</v>
      </c>
      <c r="S145" s="92">
        <v>11</v>
      </c>
      <c r="T145" s="92">
        <v>12</v>
      </c>
      <c r="U145" s="92">
        <v>13</v>
      </c>
      <c r="V145" s="92">
        <v>14</v>
      </c>
      <c r="W145" s="92">
        <v>15</v>
      </c>
      <c r="X145" s="92">
        <v>16</v>
      </c>
      <c r="Y145" s="92">
        <v>17</v>
      </c>
      <c r="Z145" s="92">
        <v>18</v>
      </c>
      <c r="AA145" s="92">
        <v>19</v>
      </c>
      <c r="AB145" s="92">
        <v>20</v>
      </c>
      <c r="AC145" s="92">
        <v>21</v>
      </c>
      <c r="AD145" s="92">
        <v>22</v>
      </c>
      <c r="AE145" s="92">
        <v>23</v>
      </c>
      <c r="AF145" s="92">
        <v>24</v>
      </c>
      <c r="AG145" s="92">
        <v>25</v>
      </c>
      <c r="AH145" s="92">
        <v>26</v>
      </c>
      <c r="AI145" s="92">
        <v>99</v>
      </c>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2"/>
      <c r="BL145" s="92"/>
      <c r="BM145" s="92"/>
      <c r="BN145" s="92"/>
      <c r="BO145" s="92"/>
      <c r="BP145" s="92"/>
      <c r="BQ145" s="92"/>
      <c r="BR145" s="92"/>
      <c r="BS145" s="92"/>
      <c r="BT145" s="92"/>
      <c r="BU145" s="92"/>
      <c r="BV145" s="92"/>
      <c r="BW145" s="92"/>
      <c r="BX145" s="92"/>
      <c r="BY145" s="92"/>
      <c r="BZ145" s="92"/>
      <c r="CA145" s="92"/>
      <c r="CB145" s="92"/>
    </row>
    <row r="146" spans="1:80" ht="12.75" customHeight="1">
      <c r="A146" s="92"/>
      <c r="B146" s="92"/>
      <c r="C146" s="92"/>
      <c r="D146" s="92"/>
      <c r="E146" s="92"/>
      <c r="F146" s="92">
        <v>1</v>
      </c>
      <c r="G146" s="93" t="s">
        <v>300</v>
      </c>
      <c r="H146" s="99">
        <v>1</v>
      </c>
      <c r="I146" s="99">
        <v>1</v>
      </c>
      <c r="J146" s="99">
        <v>1</v>
      </c>
      <c r="K146" s="99">
        <v>1</v>
      </c>
      <c r="L146" s="99">
        <v>1</v>
      </c>
      <c r="M146" s="99">
        <v>1</v>
      </c>
      <c r="N146" s="99">
        <v>1</v>
      </c>
      <c r="O146" s="99">
        <v>2</v>
      </c>
      <c r="P146" s="99">
        <v>2</v>
      </c>
      <c r="Q146" s="99">
        <v>2</v>
      </c>
      <c r="R146" s="99">
        <v>3</v>
      </c>
      <c r="S146" s="99">
        <v>3</v>
      </c>
      <c r="T146" s="99">
        <v>4</v>
      </c>
      <c r="U146" s="99">
        <v>4</v>
      </c>
      <c r="V146" s="99">
        <v>4</v>
      </c>
      <c r="W146" s="99">
        <v>5</v>
      </c>
      <c r="X146" s="99">
        <v>5</v>
      </c>
      <c r="Y146" s="99">
        <v>5</v>
      </c>
      <c r="Z146" s="99">
        <v>6</v>
      </c>
      <c r="AA146" s="99">
        <v>6</v>
      </c>
      <c r="AB146" s="99">
        <v>7</v>
      </c>
      <c r="AC146" s="99">
        <v>7</v>
      </c>
      <c r="AD146" s="99">
        <v>7</v>
      </c>
      <c r="AE146" s="99">
        <v>8</v>
      </c>
      <c r="AF146" s="99">
        <v>8</v>
      </c>
      <c r="AG146" s="99">
        <v>9</v>
      </c>
      <c r="AH146" s="99">
        <v>9</v>
      </c>
      <c r="AI146" s="92" t="s">
        <v>301</v>
      </c>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2"/>
      <c r="BL146" s="92"/>
      <c r="BM146" s="92"/>
      <c r="BN146" s="92"/>
      <c r="BO146" s="92"/>
      <c r="BP146" s="92"/>
      <c r="BQ146" s="92"/>
      <c r="BR146" s="92"/>
      <c r="BS146" s="92"/>
      <c r="BT146" s="92"/>
      <c r="BU146" s="92"/>
      <c r="BV146" s="92"/>
      <c r="BW146" s="92"/>
      <c r="BX146" s="92"/>
      <c r="BY146" s="92"/>
      <c r="BZ146" s="92"/>
      <c r="CA146" s="92"/>
      <c r="CB146" s="92"/>
    </row>
    <row r="147" spans="1:80" ht="12.75" customHeight="1">
      <c r="A147" s="92"/>
      <c r="B147" s="92"/>
      <c r="C147" s="92"/>
      <c r="D147" s="92"/>
      <c r="E147" s="92"/>
      <c r="F147" s="92">
        <v>2</v>
      </c>
      <c r="G147" s="93" t="s">
        <v>303</v>
      </c>
      <c r="H147" s="99">
        <v>1</v>
      </c>
      <c r="I147" s="99">
        <v>1</v>
      </c>
      <c r="J147" s="99">
        <v>1</v>
      </c>
      <c r="K147" s="99">
        <v>1</v>
      </c>
      <c r="L147" s="99">
        <v>1</v>
      </c>
      <c r="M147" s="99">
        <v>1</v>
      </c>
      <c r="N147" s="99">
        <v>1</v>
      </c>
      <c r="O147" s="99">
        <v>1</v>
      </c>
      <c r="P147" s="99">
        <v>2</v>
      </c>
      <c r="Q147" s="99">
        <v>2</v>
      </c>
      <c r="R147" s="99">
        <v>2</v>
      </c>
      <c r="S147" s="99">
        <v>3</v>
      </c>
      <c r="T147" s="99">
        <v>3</v>
      </c>
      <c r="U147" s="99">
        <v>4</v>
      </c>
      <c r="V147" s="99">
        <v>4</v>
      </c>
      <c r="W147" s="99">
        <v>5</v>
      </c>
      <c r="X147" s="99">
        <v>5</v>
      </c>
      <c r="Y147" s="99">
        <v>5</v>
      </c>
      <c r="Z147" s="99">
        <v>6</v>
      </c>
      <c r="AA147" s="99">
        <v>6</v>
      </c>
      <c r="AB147" s="99">
        <v>7</v>
      </c>
      <c r="AC147" s="99">
        <v>7</v>
      </c>
      <c r="AD147" s="99">
        <v>7</v>
      </c>
      <c r="AE147" s="99">
        <v>8</v>
      </c>
      <c r="AF147" s="99">
        <v>8</v>
      </c>
      <c r="AG147" s="99">
        <v>9</v>
      </c>
      <c r="AH147" s="99">
        <v>9</v>
      </c>
      <c r="AI147" s="92" t="s">
        <v>301</v>
      </c>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2"/>
      <c r="BL147" s="92"/>
      <c r="BM147" s="92"/>
      <c r="BN147" s="92"/>
      <c r="BO147" s="92"/>
      <c r="BP147" s="92"/>
      <c r="BQ147" s="92"/>
      <c r="BR147" s="92"/>
      <c r="BS147" s="92"/>
      <c r="BT147" s="92"/>
      <c r="BU147" s="92"/>
      <c r="BV147" s="92"/>
      <c r="BW147" s="92"/>
      <c r="BX147" s="92"/>
      <c r="BY147" s="92"/>
      <c r="BZ147" s="92"/>
      <c r="CA147" s="92"/>
      <c r="CB147" s="92"/>
    </row>
    <row r="148" spans="1:80" ht="12.75" customHeight="1">
      <c r="A148" s="92"/>
      <c r="B148" s="92"/>
      <c r="C148" s="92"/>
      <c r="D148" s="92"/>
      <c r="E148" s="92"/>
      <c r="F148" s="92">
        <v>3</v>
      </c>
      <c r="G148" s="93" t="s">
        <v>305</v>
      </c>
      <c r="H148" s="99">
        <v>1</v>
      </c>
      <c r="I148" s="99">
        <v>1</v>
      </c>
      <c r="J148" s="99">
        <v>1</v>
      </c>
      <c r="K148" s="99">
        <v>1</v>
      </c>
      <c r="L148" s="99">
        <v>1</v>
      </c>
      <c r="M148" s="99">
        <v>1</v>
      </c>
      <c r="N148" s="99">
        <v>1</v>
      </c>
      <c r="O148" s="99">
        <v>1</v>
      </c>
      <c r="P148" s="99">
        <v>2</v>
      </c>
      <c r="Q148" s="99">
        <v>2</v>
      </c>
      <c r="R148" s="99">
        <v>3</v>
      </c>
      <c r="S148" s="99">
        <v>3</v>
      </c>
      <c r="T148" s="99">
        <v>3</v>
      </c>
      <c r="U148" s="99">
        <v>4</v>
      </c>
      <c r="V148" s="99">
        <v>4</v>
      </c>
      <c r="W148" s="99">
        <v>5</v>
      </c>
      <c r="X148" s="99">
        <v>5</v>
      </c>
      <c r="Y148" s="99">
        <v>5</v>
      </c>
      <c r="Z148" s="99">
        <v>6</v>
      </c>
      <c r="AA148" s="99">
        <v>6</v>
      </c>
      <c r="AB148" s="99">
        <v>7</v>
      </c>
      <c r="AC148" s="99">
        <v>7</v>
      </c>
      <c r="AD148" s="99">
        <v>7</v>
      </c>
      <c r="AE148" s="99">
        <v>8</v>
      </c>
      <c r="AF148" s="99">
        <v>8</v>
      </c>
      <c r="AG148" s="99">
        <v>9</v>
      </c>
      <c r="AH148" s="99">
        <v>9</v>
      </c>
      <c r="AI148" s="92" t="s">
        <v>301</v>
      </c>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2"/>
      <c r="BL148" s="92"/>
      <c r="BM148" s="92"/>
      <c r="BN148" s="92"/>
      <c r="BO148" s="92"/>
      <c r="BP148" s="92"/>
      <c r="BQ148" s="92"/>
      <c r="BR148" s="92"/>
      <c r="BS148" s="92"/>
      <c r="BT148" s="92"/>
      <c r="BU148" s="92"/>
      <c r="BV148" s="92"/>
      <c r="BW148" s="92"/>
      <c r="BX148" s="92"/>
      <c r="BY148" s="92"/>
      <c r="BZ148" s="92"/>
      <c r="CA148" s="92"/>
      <c r="CB148" s="92"/>
    </row>
    <row r="149" spans="1:80" ht="12.75" customHeight="1">
      <c r="A149" s="92"/>
      <c r="B149" s="92"/>
      <c r="C149" s="92"/>
      <c r="D149" s="92"/>
      <c r="E149" s="92"/>
      <c r="F149" s="92">
        <v>4</v>
      </c>
      <c r="G149" s="93" t="s">
        <v>307</v>
      </c>
      <c r="H149" s="92">
        <v>1</v>
      </c>
      <c r="I149" s="92">
        <v>1</v>
      </c>
      <c r="J149" s="92">
        <v>1</v>
      </c>
      <c r="K149" s="92">
        <v>1</v>
      </c>
      <c r="L149" s="92">
        <v>2</v>
      </c>
      <c r="M149" s="92">
        <v>2</v>
      </c>
      <c r="N149" s="92">
        <v>3</v>
      </c>
      <c r="O149" s="92">
        <v>3</v>
      </c>
      <c r="P149" s="92">
        <v>3</v>
      </c>
      <c r="Q149" s="92">
        <v>3</v>
      </c>
      <c r="R149" s="92">
        <v>4</v>
      </c>
      <c r="S149" s="92">
        <v>4</v>
      </c>
      <c r="T149" s="92">
        <v>4</v>
      </c>
      <c r="U149" s="92">
        <v>5</v>
      </c>
      <c r="V149" s="92">
        <v>5</v>
      </c>
      <c r="W149" s="92">
        <v>5</v>
      </c>
      <c r="X149" s="92">
        <v>6</v>
      </c>
      <c r="Y149" s="92">
        <v>6</v>
      </c>
      <c r="Z149" s="92">
        <v>7</v>
      </c>
      <c r="AA149" s="92">
        <v>7</v>
      </c>
      <c r="AB149" s="92">
        <v>7</v>
      </c>
      <c r="AC149" s="92">
        <v>8</v>
      </c>
      <c r="AD149" s="92">
        <v>8</v>
      </c>
      <c r="AE149" s="92">
        <v>9</v>
      </c>
      <c r="AF149" s="92">
        <v>9</v>
      </c>
      <c r="AG149" s="92">
        <v>10</v>
      </c>
      <c r="AH149" s="92">
        <v>10</v>
      </c>
      <c r="AI149" s="92" t="s">
        <v>301</v>
      </c>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2"/>
      <c r="BL149" s="92"/>
      <c r="BM149" s="92"/>
      <c r="BN149" s="92"/>
      <c r="BO149" s="92"/>
      <c r="BP149" s="92"/>
      <c r="BQ149" s="92"/>
      <c r="BR149" s="92"/>
      <c r="BS149" s="92"/>
      <c r="BT149" s="92"/>
      <c r="BU149" s="92"/>
      <c r="BV149" s="92"/>
      <c r="BW149" s="92"/>
      <c r="BX149" s="92"/>
      <c r="BY149" s="92"/>
      <c r="BZ149" s="92"/>
      <c r="CA149" s="92"/>
      <c r="CB149" s="92"/>
    </row>
    <row r="150" spans="1:80" ht="12.75" customHeight="1">
      <c r="A150" s="92"/>
      <c r="B150" s="92"/>
      <c r="C150" s="92"/>
      <c r="D150" s="92"/>
      <c r="E150" s="92"/>
      <c r="F150" s="92">
        <v>5</v>
      </c>
      <c r="G150" s="93" t="s">
        <v>309</v>
      </c>
      <c r="H150" s="92">
        <v>1</v>
      </c>
      <c r="I150" s="92">
        <v>1</v>
      </c>
      <c r="J150" s="92">
        <v>1</v>
      </c>
      <c r="K150" s="92">
        <v>2</v>
      </c>
      <c r="L150" s="92">
        <v>3</v>
      </c>
      <c r="M150" s="92">
        <v>3</v>
      </c>
      <c r="N150" s="92">
        <v>3</v>
      </c>
      <c r="O150" s="92">
        <v>3</v>
      </c>
      <c r="P150" s="92">
        <v>4</v>
      </c>
      <c r="Q150" s="92">
        <v>4</v>
      </c>
      <c r="R150" s="92">
        <v>4</v>
      </c>
      <c r="S150" s="92">
        <v>5</v>
      </c>
      <c r="T150" s="92">
        <v>5</v>
      </c>
      <c r="U150" s="92">
        <v>6</v>
      </c>
      <c r="V150" s="92">
        <v>6</v>
      </c>
      <c r="W150" s="92">
        <v>6</v>
      </c>
      <c r="X150" s="92">
        <v>7</v>
      </c>
      <c r="Y150" s="92">
        <v>7</v>
      </c>
      <c r="Z150" s="92">
        <v>7</v>
      </c>
      <c r="AA150" s="92">
        <v>8</v>
      </c>
      <c r="AB150" s="92">
        <v>8</v>
      </c>
      <c r="AC150" s="92">
        <v>9</v>
      </c>
      <c r="AD150" s="92">
        <v>9</v>
      </c>
      <c r="AE150" s="92">
        <v>10</v>
      </c>
      <c r="AF150" s="92">
        <v>10</v>
      </c>
      <c r="AG150" s="92">
        <v>10</v>
      </c>
      <c r="AH150" s="92">
        <v>10</v>
      </c>
      <c r="AI150" s="92" t="s">
        <v>301</v>
      </c>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2"/>
      <c r="BL150" s="92"/>
      <c r="BM150" s="92"/>
      <c r="BN150" s="92"/>
      <c r="BO150" s="92"/>
      <c r="BP150" s="92"/>
      <c r="BQ150" s="92"/>
      <c r="BR150" s="92"/>
      <c r="BS150" s="92"/>
      <c r="BT150" s="92"/>
      <c r="BU150" s="92"/>
      <c r="BV150" s="92"/>
      <c r="BW150" s="92"/>
      <c r="BX150" s="92"/>
      <c r="BY150" s="92"/>
      <c r="BZ150" s="92"/>
      <c r="CA150" s="92"/>
      <c r="CB150" s="92"/>
    </row>
    <row r="151" spans="1:80" ht="12.75" customHeight="1">
      <c r="A151" s="92"/>
      <c r="B151" s="92"/>
      <c r="C151" s="92"/>
      <c r="D151" s="92"/>
      <c r="E151" s="92"/>
      <c r="F151" s="92">
        <v>6</v>
      </c>
      <c r="G151" s="93" t="s">
        <v>311</v>
      </c>
      <c r="H151" s="92">
        <v>1</v>
      </c>
      <c r="I151" s="92">
        <v>1</v>
      </c>
      <c r="J151" s="92">
        <v>1</v>
      </c>
      <c r="K151" s="92">
        <v>2</v>
      </c>
      <c r="L151" s="92">
        <v>2</v>
      </c>
      <c r="M151" s="92">
        <v>2</v>
      </c>
      <c r="N151" s="92">
        <v>3</v>
      </c>
      <c r="O151" s="92">
        <v>3</v>
      </c>
      <c r="P151" s="92">
        <v>4</v>
      </c>
      <c r="Q151" s="92">
        <v>4</v>
      </c>
      <c r="R151" s="92">
        <v>5</v>
      </c>
      <c r="S151" s="92">
        <v>5</v>
      </c>
      <c r="T151" s="92">
        <v>5</v>
      </c>
      <c r="U151" s="92">
        <v>6</v>
      </c>
      <c r="V151" s="92">
        <v>6</v>
      </c>
      <c r="W151" s="92">
        <v>6</v>
      </c>
      <c r="X151" s="92">
        <v>7</v>
      </c>
      <c r="Y151" s="92">
        <v>7</v>
      </c>
      <c r="Z151" s="92">
        <v>7</v>
      </c>
      <c r="AA151" s="92">
        <v>8</v>
      </c>
      <c r="AB151" s="92">
        <v>8</v>
      </c>
      <c r="AC151" s="92">
        <v>9</v>
      </c>
      <c r="AD151" s="92">
        <v>9</v>
      </c>
      <c r="AE151" s="92">
        <v>10</v>
      </c>
      <c r="AF151" s="92">
        <v>10</v>
      </c>
      <c r="AG151" s="92">
        <v>10</v>
      </c>
      <c r="AH151" s="92">
        <v>10</v>
      </c>
      <c r="AI151" s="92" t="s">
        <v>301</v>
      </c>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2"/>
      <c r="BL151" s="92"/>
      <c r="BM151" s="92"/>
      <c r="BN151" s="92"/>
      <c r="BO151" s="92"/>
      <c r="BP151" s="92"/>
      <c r="BQ151" s="92"/>
      <c r="BR151" s="92"/>
      <c r="BS151" s="92"/>
      <c r="BT151" s="92"/>
      <c r="BU151" s="92"/>
      <c r="BV151" s="92"/>
      <c r="BW151" s="92"/>
      <c r="BX151" s="92"/>
      <c r="BY151" s="92"/>
      <c r="BZ151" s="92"/>
      <c r="CA151" s="92"/>
      <c r="CB151" s="92"/>
    </row>
    <row r="152" spans="1:80" ht="12.75" customHeight="1">
      <c r="A152" s="92"/>
      <c r="B152" s="92"/>
      <c r="C152" s="92"/>
      <c r="D152" s="92"/>
      <c r="E152" s="92"/>
      <c r="F152" s="92">
        <v>7</v>
      </c>
      <c r="G152" s="93" t="s">
        <v>313</v>
      </c>
      <c r="H152" s="92">
        <v>1</v>
      </c>
      <c r="I152" s="92">
        <v>1</v>
      </c>
      <c r="J152" s="92">
        <v>1</v>
      </c>
      <c r="K152" s="92">
        <v>2</v>
      </c>
      <c r="L152" s="92">
        <v>3</v>
      </c>
      <c r="M152" s="92">
        <v>3</v>
      </c>
      <c r="N152" s="92">
        <v>4</v>
      </c>
      <c r="O152" s="92">
        <v>4</v>
      </c>
      <c r="P152" s="92">
        <v>4</v>
      </c>
      <c r="Q152" s="92">
        <v>5</v>
      </c>
      <c r="R152" s="92">
        <v>5</v>
      </c>
      <c r="S152" s="92">
        <v>5</v>
      </c>
      <c r="T152" s="92">
        <v>6</v>
      </c>
      <c r="U152" s="92">
        <v>6</v>
      </c>
      <c r="V152" s="92">
        <v>7</v>
      </c>
      <c r="W152" s="92">
        <v>7</v>
      </c>
      <c r="X152" s="92">
        <v>7</v>
      </c>
      <c r="Y152" s="92">
        <v>7</v>
      </c>
      <c r="Z152" s="92">
        <v>8</v>
      </c>
      <c r="AA152" s="92">
        <v>8</v>
      </c>
      <c r="AB152" s="92">
        <v>8</v>
      </c>
      <c r="AC152" s="92">
        <v>8</v>
      </c>
      <c r="AD152" s="92">
        <v>9</v>
      </c>
      <c r="AE152" s="92">
        <v>9</v>
      </c>
      <c r="AF152" s="92">
        <v>10</v>
      </c>
      <c r="AG152" s="92">
        <v>10</v>
      </c>
      <c r="AH152" s="92">
        <v>10</v>
      </c>
      <c r="AI152" s="92" t="s">
        <v>301</v>
      </c>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2"/>
      <c r="BL152" s="92"/>
      <c r="BM152" s="92"/>
      <c r="BN152" s="92"/>
      <c r="BO152" s="92"/>
      <c r="BP152" s="92"/>
      <c r="BQ152" s="92"/>
      <c r="BR152" s="92"/>
      <c r="BS152" s="92"/>
      <c r="BT152" s="92"/>
      <c r="BU152" s="92"/>
      <c r="BV152" s="92"/>
      <c r="BW152" s="92"/>
      <c r="BX152" s="92"/>
      <c r="BY152" s="92"/>
      <c r="BZ152" s="92"/>
      <c r="CA152" s="92"/>
      <c r="CB152" s="92"/>
    </row>
    <row r="153" spans="1:80" ht="12.75" customHeight="1">
      <c r="A153" s="92"/>
      <c r="B153" s="92"/>
      <c r="C153" s="92"/>
      <c r="D153" s="92"/>
      <c r="E153" s="92"/>
      <c r="F153" s="92">
        <v>8</v>
      </c>
      <c r="G153" s="93" t="s">
        <v>315</v>
      </c>
      <c r="H153" s="92">
        <v>1</v>
      </c>
      <c r="I153" s="92">
        <v>1</v>
      </c>
      <c r="J153" s="92">
        <v>1</v>
      </c>
      <c r="K153" s="92">
        <v>1</v>
      </c>
      <c r="L153" s="92">
        <v>1</v>
      </c>
      <c r="M153" s="92">
        <v>1</v>
      </c>
      <c r="N153" s="92">
        <v>1</v>
      </c>
      <c r="O153" s="92">
        <v>1</v>
      </c>
      <c r="P153" s="92">
        <v>1</v>
      </c>
      <c r="Q153" s="92">
        <v>1</v>
      </c>
      <c r="R153" s="92">
        <v>1</v>
      </c>
      <c r="S153" s="92">
        <v>2</v>
      </c>
      <c r="T153" s="92">
        <v>2</v>
      </c>
      <c r="U153" s="92">
        <v>3</v>
      </c>
      <c r="V153" s="92">
        <v>3</v>
      </c>
      <c r="W153" s="92">
        <v>4</v>
      </c>
      <c r="X153" s="92">
        <v>4</v>
      </c>
      <c r="Y153" s="92">
        <v>5</v>
      </c>
      <c r="Z153" s="92">
        <v>5</v>
      </c>
      <c r="AA153" s="92">
        <v>6</v>
      </c>
      <c r="AB153" s="92">
        <v>6</v>
      </c>
      <c r="AC153" s="92">
        <v>6</v>
      </c>
      <c r="AD153" s="92">
        <v>7</v>
      </c>
      <c r="AE153" s="92">
        <v>7</v>
      </c>
      <c r="AF153" s="92">
        <v>8</v>
      </c>
      <c r="AG153" s="92">
        <v>8</v>
      </c>
      <c r="AH153" s="92">
        <v>9</v>
      </c>
      <c r="AI153" s="92" t="s">
        <v>301</v>
      </c>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2"/>
      <c r="BL153" s="92"/>
      <c r="BM153" s="92"/>
      <c r="BN153" s="92"/>
      <c r="BO153" s="92"/>
      <c r="BP153" s="92"/>
      <c r="BQ153" s="92"/>
      <c r="BR153" s="92"/>
      <c r="BS153" s="92"/>
      <c r="BT153" s="92"/>
      <c r="BU153" s="92"/>
      <c r="BV153" s="92"/>
      <c r="BW153" s="92"/>
      <c r="BX153" s="92"/>
      <c r="BY153" s="92"/>
      <c r="BZ153" s="92"/>
      <c r="CA153" s="92"/>
      <c r="CB153" s="92"/>
    </row>
    <row r="154" spans="1:80" ht="12.75" customHeight="1">
      <c r="A154" s="92"/>
      <c r="B154" s="92"/>
      <c r="C154" s="92"/>
      <c r="D154" s="92"/>
      <c r="E154" s="92"/>
      <c r="F154" s="92">
        <v>9</v>
      </c>
      <c r="G154" s="93" t="s">
        <v>318</v>
      </c>
      <c r="H154" s="92">
        <v>1</v>
      </c>
      <c r="I154" s="92">
        <v>1</v>
      </c>
      <c r="J154" s="92">
        <v>1</v>
      </c>
      <c r="K154" s="92">
        <v>1</v>
      </c>
      <c r="L154" s="92">
        <v>1</v>
      </c>
      <c r="M154" s="92">
        <v>1</v>
      </c>
      <c r="N154" s="92">
        <v>1</v>
      </c>
      <c r="O154" s="92">
        <v>1</v>
      </c>
      <c r="P154" s="92">
        <v>1</v>
      </c>
      <c r="Q154" s="92">
        <v>1</v>
      </c>
      <c r="R154" s="92">
        <v>1</v>
      </c>
      <c r="S154" s="92">
        <v>2</v>
      </c>
      <c r="T154" s="92">
        <v>2</v>
      </c>
      <c r="U154" s="92">
        <v>3</v>
      </c>
      <c r="V154" s="92">
        <v>3</v>
      </c>
      <c r="W154" s="92">
        <v>4</v>
      </c>
      <c r="X154" s="92">
        <v>4</v>
      </c>
      <c r="Y154" s="92">
        <v>5</v>
      </c>
      <c r="Z154" s="92">
        <v>5</v>
      </c>
      <c r="AA154" s="92">
        <v>6</v>
      </c>
      <c r="AB154" s="92">
        <v>6</v>
      </c>
      <c r="AC154" s="92">
        <v>6</v>
      </c>
      <c r="AD154" s="92">
        <v>7</v>
      </c>
      <c r="AE154" s="92">
        <v>7</v>
      </c>
      <c r="AF154" s="92">
        <v>8</v>
      </c>
      <c r="AG154" s="92">
        <v>8</v>
      </c>
      <c r="AH154" s="92">
        <v>9</v>
      </c>
      <c r="AI154" s="92" t="s">
        <v>301</v>
      </c>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2"/>
      <c r="BL154" s="92"/>
      <c r="BM154" s="92"/>
      <c r="BN154" s="92"/>
      <c r="BO154" s="92"/>
      <c r="BP154" s="92"/>
      <c r="BQ154" s="92"/>
      <c r="BR154" s="92"/>
      <c r="BS154" s="92"/>
      <c r="BT154" s="92"/>
      <c r="BU154" s="92"/>
      <c r="BV154" s="92"/>
      <c r="BW154" s="92"/>
      <c r="BX154" s="92"/>
      <c r="BY154" s="92"/>
      <c r="BZ154" s="92"/>
      <c r="CA154" s="92"/>
      <c r="CB154" s="92"/>
    </row>
    <row r="155" spans="1:80" ht="12.75" customHeight="1">
      <c r="A155" s="92"/>
      <c r="B155" s="92"/>
      <c r="C155" s="92"/>
      <c r="D155" s="92"/>
      <c r="E155" s="92"/>
      <c r="F155" s="92">
        <v>10</v>
      </c>
      <c r="G155" s="93" t="s">
        <v>320</v>
      </c>
      <c r="H155" s="92">
        <v>1</v>
      </c>
      <c r="I155" s="92">
        <v>1</v>
      </c>
      <c r="J155" s="92">
        <v>1</v>
      </c>
      <c r="K155" s="92">
        <v>1</v>
      </c>
      <c r="L155" s="92">
        <v>1</v>
      </c>
      <c r="M155" s="92">
        <v>1</v>
      </c>
      <c r="N155" s="92">
        <v>1</v>
      </c>
      <c r="O155" s="92">
        <v>1</v>
      </c>
      <c r="P155" s="92">
        <v>1</v>
      </c>
      <c r="Q155" s="92">
        <v>1</v>
      </c>
      <c r="R155" s="92">
        <v>1</v>
      </c>
      <c r="S155" s="92">
        <v>2</v>
      </c>
      <c r="T155" s="92">
        <v>2</v>
      </c>
      <c r="U155" s="92">
        <v>3</v>
      </c>
      <c r="V155" s="92">
        <v>3</v>
      </c>
      <c r="W155" s="92">
        <v>3</v>
      </c>
      <c r="X155" s="92">
        <v>4</v>
      </c>
      <c r="Y155" s="92">
        <v>4</v>
      </c>
      <c r="Z155" s="92">
        <v>5</v>
      </c>
      <c r="AA155" s="92">
        <v>5</v>
      </c>
      <c r="AB155" s="92">
        <v>5</v>
      </c>
      <c r="AC155" s="92">
        <v>6</v>
      </c>
      <c r="AD155" s="92">
        <v>6</v>
      </c>
      <c r="AE155" s="92">
        <v>7</v>
      </c>
      <c r="AF155" s="92">
        <v>7</v>
      </c>
      <c r="AG155" s="92">
        <v>8</v>
      </c>
      <c r="AH155" s="92">
        <v>9</v>
      </c>
      <c r="AI155" s="92" t="s">
        <v>301</v>
      </c>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2"/>
      <c r="BL155" s="92"/>
      <c r="BM155" s="92"/>
      <c r="BN155" s="92"/>
      <c r="BO155" s="92"/>
      <c r="BP155" s="92"/>
      <c r="BQ155" s="92"/>
      <c r="BR155" s="92"/>
      <c r="BS155" s="92"/>
      <c r="BT155" s="92"/>
      <c r="BU155" s="92"/>
      <c r="BV155" s="92"/>
      <c r="BW155" s="92"/>
      <c r="BX155" s="92"/>
      <c r="BY155" s="92"/>
      <c r="BZ155" s="92"/>
      <c r="CA155" s="92"/>
      <c r="CB155" s="92"/>
    </row>
    <row r="156" spans="1:80" ht="12.75" customHeight="1">
      <c r="A156" s="92"/>
      <c r="B156" s="92"/>
      <c r="C156" s="92"/>
      <c r="D156" s="92"/>
      <c r="E156" s="92"/>
      <c r="F156" s="92">
        <v>11</v>
      </c>
      <c r="G156" s="93" t="s">
        <v>322</v>
      </c>
      <c r="H156" s="92">
        <v>1</v>
      </c>
      <c r="I156" s="92">
        <v>1</v>
      </c>
      <c r="J156" s="92">
        <v>1</v>
      </c>
      <c r="K156" s="92">
        <v>1</v>
      </c>
      <c r="L156" s="92">
        <v>1</v>
      </c>
      <c r="M156" s="92">
        <v>1</v>
      </c>
      <c r="N156" s="92">
        <v>1</v>
      </c>
      <c r="O156" s="92">
        <v>1</v>
      </c>
      <c r="P156" s="92">
        <v>1</v>
      </c>
      <c r="Q156" s="92">
        <v>1</v>
      </c>
      <c r="R156" s="92">
        <v>1</v>
      </c>
      <c r="S156" s="92">
        <v>2</v>
      </c>
      <c r="T156" s="92">
        <v>2</v>
      </c>
      <c r="U156" s="92">
        <v>3</v>
      </c>
      <c r="V156" s="92">
        <v>3</v>
      </c>
      <c r="W156" s="92">
        <v>4</v>
      </c>
      <c r="X156" s="92">
        <v>4</v>
      </c>
      <c r="Y156" s="92">
        <v>5</v>
      </c>
      <c r="Z156" s="92">
        <v>5</v>
      </c>
      <c r="AA156" s="92">
        <v>6</v>
      </c>
      <c r="AB156" s="92">
        <v>6</v>
      </c>
      <c r="AC156" s="92">
        <v>6</v>
      </c>
      <c r="AD156" s="92">
        <v>7</v>
      </c>
      <c r="AE156" s="92">
        <v>7</v>
      </c>
      <c r="AF156" s="92">
        <v>8</v>
      </c>
      <c r="AG156" s="92">
        <v>8</v>
      </c>
      <c r="AH156" s="92">
        <v>9</v>
      </c>
      <c r="AI156" s="92" t="s">
        <v>301</v>
      </c>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2"/>
      <c r="BL156" s="92"/>
      <c r="BM156" s="92"/>
      <c r="BN156" s="92"/>
      <c r="BO156" s="92"/>
      <c r="BP156" s="92"/>
      <c r="BQ156" s="92"/>
      <c r="BR156" s="92"/>
      <c r="BS156" s="92"/>
      <c r="BT156" s="92"/>
      <c r="BU156" s="92"/>
      <c r="BV156" s="92"/>
      <c r="BW156" s="92"/>
      <c r="BX156" s="92"/>
      <c r="BY156" s="92"/>
      <c r="BZ156" s="92"/>
      <c r="CA156" s="92"/>
      <c r="CB156" s="92"/>
    </row>
    <row r="157" spans="1:80" ht="12.75" customHeight="1">
      <c r="A157" s="92"/>
      <c r="B157" s="92"/>
      <c r="C157" s="92"/>
      <c r="D157" s="92"/>
      <c r="E157" s="92"/>
      <c r="F157" s="92">
        <v>12</v>
      </c>
      <c r="G157" s="93" t="s">
        <v>324</v>
      </c>
      <c r="H157" s="92">
        <v>1</v>
      </c>
      <c r="I157" s="92">
        <v>1</v>
      </c>
      <c r="J157" s="92">
        <v>1</v>
      </c>
      <c r="K157" s="92">
        <v>1</v>
      </c>
      <c r="L157" s="92">
        <v>1</v>
      </c>
      <c r="M157" s="92">
        <v>1</v>
      </c>
      <c r="N157" s="92">
        <v>2</v>
      </c>
      <c r="O157" s="92">
        <v>2</v>
      </c>
      <c r="P157" s="92">
        <v>2</v>
      </c>
      <c r="Q157" s="92">
        <v>3</v>
      </c>
      <c r="R157" s="92">
        <v>3</v>
      </c>
      <c r="S157" s="92">
        <v>3</v>
      </c>
      <c r="T157" s="92">
        <v>3</v>
      </c>
      <c r="U157" s="92">
        <v>4</v>
      </c>
      <c r="V157" s="92">
        <v>4</v>
      </c>
      <c r="W157" s="92">
        <v>4</v>
      </c>
      <c r="X157" s="92">
        <v>5</v>
      </c>
      <c r="Y157" s="92">
        <v>5</v>
      </c>
      <c r="Z157" s="92">
        <v>5</v>
      </c>
      <c r="AA157" s="92">
        <v>6</v>
      </c>
      <c r="AB157" s="92">
        <v>6</v>
      </c>
      <c r="AC157" s="92">
        <v>7</v>
      </c>
      <c r="AD157" s="92">
        <v>7</v>
      </c>
      <c r="AE157" s="92">
        <v>8</v>
      </c>
      <c r="AF157" s="92">
        <v>8</v>
      </c>
      <c r="AG157" s="92">
        <v>9</v>
      </c>
      <c r="AH157" s="92">
        <v>10</v>
      </c>
      <c r="AI157" s="92" t="s">
        <v>301</v>
      </c>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2"/>
      <c r="BL157" s="92"/>
      <c r="BM157" s="92"/>
      <c r="BN157" s="92"/>
      <c r="BO157" s="92"/>
      <c r="BP157" s="92"/>
      <c r="BQ157" s="92"/>
      <c r="BR157" s="92"/>
      <c r="BS157" s="92"/>
      <c r="BT157" s="92"/>
      <c r="BU157" s="92"/>
      <c r="BV157" s="92"/>
      <c r="BW157" s="92"/>
      <c r="BX157" s="92"/>
      <c r="BY157" s="92"/>
      <c r="BZ157" s="92"/>
      <c r="CA157" s="92"/>
      <c r="CB157" s="92"/>
    </row>
    <row r="158" spans="1:80" ht="12.75" customHeight="1">
      <c r="A158" s="92"/>
      <c r="B158" s="92"/>
      <c r="C158" s="92"/>
      <c r="D158" s="92"/>
      <c r="E158" s="92"/>
      <c r="F158" s="92">
        <v>13</v>
      </c>
      <c r="G158" s="93" t="s">
        <v>326</v>
      </c>
      <c r="H158" s="92">
        <v>1</v>
      </c>
      <c r="I158" s="92">
        <v>1</v>
      </c>
      <c r="J158" s="92">
        <v>2</v>
      </c>
      <c r="K158" s="92">
        <v>2</v>
      </c>
      <c r="L158" s="92">
        <v>2</v>
      </c>
      <c r="M158" s="92">
        <v>3</v>
      </c>
      <c r="N158" s="92">
        <v>3</v>
      </c>
      <c r="O158" s="92">
        <v>4</v>
      </c>
      <c r="P158" s="92">
        <v>4</v>
      </c>
      <c r="Q158" s="92">
        <v>4</v>
      </c>
      <c r="R158" s="92">
        <v>5</v>
      </c>
      <c r="S158" s="92">
        <v>5</v>
      </c>
      <c r="T158" s="92">
        <v>5</v>
      </c>
      <c r="U158" s="92">
        <v>6</v>
      </c>
      <c r="V158" s="92">
        <v>6</v>
      </c>
      <c r="W158" s="92">
        <v>6</v>
      </c>
      <c r="X158" s="92">
        <v>6</v>
      </c>
      <c r="Y158" s="92">
        <v>7</v>
      </c>
      <c r="Z158" s="92">
        <v>7</v>
      </c>
      <c r="AA158" s="92">
        <v>7</v>
      </c>
      <c r="AB158" s="92">
        <v>8</v>
      </c>
      <c r="AC158" s="92">
        <v>8</v>
      </c>
      <c r="AD158" s="92">
        <v>8</v>
      </c>
      <c r="AE158" s="92">
        <v>9</v>
      </c>
      <c r="AF158" s="92">
        <v>9</v>
      </c>
      <c r="AG158" s="92">
        <v>10</v>
      </c>
      <c r="AH158" s="92">
        <v>10</v>
      </c>
      <c r="AI158" s="92" t="s">
        <v>301</v>
      </c>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2"/>
      <c r="BL158" s="92"/>
      <c r="BM158" s="92"/>
      <c r="BN158" s="92"/>
      <c r="BO158" s="92"/>
      <c r="BP158" s="92"/>
      <c r="BQ158" s="92"/>
      <c r="BR158" s="92"/>
      <c r="BS158" s="92"/>
      <c r="BT158" s="92"/>
      <c r="BU158" s="92"/>
      <c r="BV158" s="92"/>
      <c r="BW158" s="92"/>
      <c r="BX158" s="92"/>
      <c r="BY158" s="92"/>
      <c r="BZ158" s="92"/>
      <c r="CA158" s="92"/>
      <c r="CB158" s="92"/>
    </row>
    <row r="159" spans="1:80" ht="12.75" customHeight="1">
      <c r="A159" s="92"/>
      <c r="B159" s="92"/>
      <c r="C159" s="92"/>
      <c r="D159" s="92"/>
      <c r="E159" s="92"/>
      <c r="F159" s="92">
        <v>14</v>
      </c>
      <c r="G159" s="93" t="s">
        <v>328</v>
      </c>
      <c r="H159" s="92">
        <v>1</v>
      </c>
      <c r="I159" s="92">
        <v>1</v>
      </c>
      <c r="J159" s="92">
        <v>1</v>
      </c>
      <c r="K159" s="92">
        <v>1</v>
      </c>
      <c r="L159" s="92">
        <v>2</v>
      </c>
      <c r="M159" s="92">
        <v>2</v>
      </c>
      <c r="N159" s="92">
        <v>3</v>
      </c>
      <c r="O159" s="92">
        <v>3</v>
      </c>
      <c r="P159" s="92">
        <v>4</v>
      </c>
      <c r="Q159" s="92">
        <v>4</v>
      </c>
      <c r="R159" s="92">
        <v>5</v>
      </c>
      <c r="S159" s="92">
        <v>5</v>
      </c>
      <c r="T159" s="92">
        <v>5</v>
      </c>
      <c r="U159" s="92">
        <v>6</v>
      </c>
      <c r="V159" s="92">
        <v>6</v>
      </c>
      <c r="W159" s="92">
        <v>7</v>
      </c>
      <c r="X159" s="92">
        <v>7</v>
      </c>
      <c r="Y159" s="92">
        <v>7</v>
      </c>
      <c r="Z159" s="92">
        <v>7</v>
      </c>
      <c r="AA159" s="92">
        <v>8</v>
      </c>
      <c r="AB159" s="92">
        <v>8</v>
      </c>
      <c r="AC159" s="92">
        <v>8</v>
      </c>
      <c r="AD159" s="92">
        <v>9</v>
      </c>
      <c r="AE159" s="92">
        <v>9</v>
      </c>
      <c r="AF159" s="92">
        <v>10</v>
      </c>
      <c r="AG159" s="92">
        <v>10</v>
      </c>
      <c r="AH159" s="92">
        <v>10</v>
      </c>
      <c r="AI159" s="92" t="s">
        <v>301</v>
      </c>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2"/>
      <c r="BL159" s="92"/>
      <c r="BM159" s="92"/>
      <c r="BN159" s="92"/>
      <c r="BO159" s="92"/>
      <c r="BP159" s="92"/>
      <c r="BQ159" s="92"/>
      <c r="BR159" s="92"/>
      <c r="BS159" s="92"/>
      <c r="BT159" s="92"/>
      <c r="BU159" s="92"/>
      <c r="BV159" s="92"/>
      <c r="BW159" s="92"/>
      <c r="BX159" s="92"/>
      <c r="BY159" s="92"/>
      <c r="BZ159" s="92"/>
      <c r="CA159" s="92"/>
      <c r="CB159" s="92"/>
    </row>
    <row r="160" spans="1:80" ht="12.75" customHeight="1">
      <c r="A160" s="92"/>
      <c r="B160" s="92"/>
      <c r="C160" s="92"/>
      <c r="D160" s="92"/>
      <c r="E160" s="92"/>
      <c r="F160" s="92">
        <v>15</v>
      </c>
      <c r="G160" s="93" t="s">
        <v>330</v>
      </c>
      <c r="H160" s="92">
        <v>1</v>
      </c>
      <c r="I160" s="92">
        <v>1</v>
      </c>
      <c r="J160" s="92">
        <v>1</v>
      </c>
      <c r="K160" s="92">
        <v>2</v>
      </c>
      <c r="L160" s="92">
        <v>3</v>
      </c>
      <c r="M160" s="92">
        <v>3</v>
      </c>
      <c r="N160" s="92">
        <v>4</v>
      </c>
      <c r="O160" s="92">
        <v>4</v>
      </c>
      <c r="P160" s="92">
        <v>5</v>
      </c>
      <c r="Q160" s="92">
        <v>5</v>
      </c>
      <c r="R160" s="92">
        <v>5</v>
      </c>
      <c r="S160" s="92">
        <v>5</v>
      </c>
      <c r="T160" s="92">
        <v>6</v>
      </c>
      <c r="U160" s="92">
        <v>6</v>
      </c>
      <c r="V160" s="92">
        <v>6</v>
      </c>
      <c r="W160" s="92">
        <v>7</v>
      </c>
      <c r="X160" s="92">
        <v>7</v>
      </c>
      <c r="Y160" s="92">
        <v>7</v>
      </c>
      <c r="Z160" s="92">
        <v>8</v>
      </c>
      <c r="AA160" s="92">
        <v>8</v>
      </c>
      <c r="AB160" s="92">
        <v>8</v>
      </c>
      <c r="AC160" s="92">
        <v>9</v>
      </c>
      <c r="AD160" s="92">
        <v>9</v>
      </c>
      <c r="AE160" s="92">
        <v>10</v>
      </c>
      <c r="AF160" s="92">
        <v>10</v>
      </c>
      <c r="AG160" s="92">
        <v>10</v>
      </c>
      <c r="AH160" s="92">
        <v>10</v>
      </c>
      <c r="AI160" s="92" t="s">
        <v>301</v>
      </c>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2"/>
      <c r="BL160" s="92"/>
      <c r="BM160" s="92"/>
      <c r="BN160" s="92"/>
      <c r="BO160" s="92"/>
      <c r="BP160" s="92"/>
      <c r="BQ160" s="92"/>
      <c r="BR160" s="92"/>
      <c r="BS160" s="92"/>
      <c r="BT160" s="92"/>
      <c r="BU160" s="92"/>
      <c r="BV160" s="92"/>
      <c r="BW160" s="92"/>
      <c r="BX160" s="92"/>
      <c r="BY160" s="92"/>
      <c r="BZ160" s="92"/>
      <c r="CA160" s="92"/>
      <c r="CB160" s="92"/>
    </row>
    <row r="161" spans="1:80" ht="12.75" customHeight="1">
      <c r="A161" s="92"/>
      <c r="B161" s="92"/>
      <c r="C161" s="92"/>
      <c r="D161" s="92"/>
      <c r="E161" s="92"/>
      <c r="F161" s="92">
        <v>16</v>
      </c>
      <c r="G161" s="93" t="s">
        <v>341</v>
      </c>
      <c r="H161" s="92">
        <v>1</v>
      </c>
      <c r="I161" s="92">
        <v>2</v>
      </c>
      <c r="J161" s="92">
        <v>2</v>
      </c>
      <c r="K161" s="92">
        <v>2</v>
      </c>
      <c r="L161" s="92">
        <v>3</v>
      </c>
      <c r="M161" s="92">
        <v>3</v>
      </c>
      <c r="N161" s="92">
        <v>3</v>
      </c>
      <c r="O161" s="92">
        <v>3</v>
      </c>
      <c r="P161" s="92">
        <v>4</v>
      </c>
      <c r="Q161" s="92">
        <v>4</v>
      </c>
      <c r="R161" s="92">
        <v>4</v>
      </c>
      <c r="S161" s="92">
        <v>4</v>
      </c>
      <c r="T161" s="92">
        <v>4</v>
      </c>
      <c r="U161" s="92">
        <v>4</v>
      </c>
      <c r="V161" s="92">
        <v>4</v>
      </c>
      <c r="W161" s="92">
        <v>5</v>
      </c>
      <c r="X161" s="92">
        <v>5</v>
      </c>
      <c r="Y161" s="92">
        <v>6</v>
      </c>
      <c r="Z161" s="92">
        <v>6</v>
      </c>
      <c r="AA161" s="92">
        <v>7</v>
      </c>
      <c r="AB161" s="92">
        <v>8</v>
      </c>
      <c r="AC161" s="92" t="s">
        <v>301</v>
      </c>
      <c r="AD161" s="92" t="s">
        <v>301</v>
      </c>
      <c r="AE161" s="92" t="s">
        <v>301</v>
      </c>
      <c r="AF161" s="92" t="s">
        <v>301</v>
      </c>
      <c r="AG161" s="92" t="s">
        <v>301</v>
      </c>
      <c r="AH161" s="92" t="s">
        <v>301</v>
      </c>
      <c r="AI161" s="92" t="s">
        <v>301</v>
      </c>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2"/>
      <c r="BL161" s="92"/>
      <c r="BM161" s="92"/>
      <c r="BN161" s="92"/>
      <c r="BO161" s="92"/>
      <c r="BP161" s="92"/>
      <c r="BQ161" s="92"/>
      <c r="BR161" s="92"/>
      <c r="BS161" s="92"/>
      <c r="BT161" s="92"/>
      <c r="BU161" s="92"/>
      <c r="BV161" s="92"/>
      <c r="BW161" s="92"/>
      <c r="BX161" s="92"/>
      <c r="BY161" s="92"/>
      <c r="BZ161" s="92"/>
      <c r="CA161" s="92"/>
      <c r="CB161" s="92"/>
    </row>
    <row r="162" spans="1:80" ht="12.75" customHeight="1">
      <c r="A162" s="92"/>
      <c r="B162" s="92"/>
      <c r="C162" s="92"/>
      <c r="D162" s="92"/>
      <c r="E162" s="92"/>
      <c r="F162" s="92">
        <v>17</v>
      </c>
      <c r="G162" s="93" t="s">
        <v>343</v>
      </c>
      <c r="H162" s="92">
        <v>2</v>
      </c>
      <c r="I162" s="92">
        <v>2</v>
      </c>
      <c r="J162" s="92">
        <v>3</v>
      </c>
      <c r="K162" s="92">
        <v>3</v>
      </c>
      <c r="L162" s="92">
        <v>4</v>
      </c>
      <c r="M162" s="92">
        <v>4</v>
      </c>
      <c r="N162" s="92">
        <v>4</v>
      </c>
      <c r="O162" s="92">
        <v>4</v>
      </c>
      <c r="P162" s="92">
        <v>4</v>
      </c>
      <c r="Q162" s="92">
        <v>4</v>
      </c>
      <c r="R162" s="92">
        <v>4</v>
      </c>
      <c r="S162" s="92">
        <v>4</v>
      </c>
      <c r="T162" s="92">
        <v>5</v>
      </c>
      <c r="U162" s="92">
        <v>5</v>
      </c>
      <c r="V162" s="92">
        <v>6</v>
      </c>
      <c r="W162" s="92">
        <v>6</v>
      </c>
      <c r="X162" s="92">
        <v>6</v>
      </c>
      <c r="Y162" s="92">
        <v>6</v>
      </c>
      <c r="Z162" s="92">
        <v>7</v>
      </c>
      <c r="AA162" s="92">
        <v>7</v>
      </c>
      <c r="AB162" s="92">
        <v>8</v>
      </c>
      <c r="AC162" s="92" t="s">
        <v>301</v>
      </c>
      <c r="AD162" s="92" t="s">
        <v>301</v>
      </c>
      <c r="AE162" s="92" t="s">
        <v>301</v>
      </c>
      <c r="AF162" s="92" t="s">
        <v>301</v>
      </c>
      <c r="AG162" s="92" t="s">
        <v>301</v>
      </c>
      <c r="AH162" s="92" t="s">
        <v>301</v>
      </c>
      <c r="AI162" s="92" t="s">
        <v>301</v>
      </c>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2"/>
      <c r="BL162" s="92"/>
      <c r="BM162" s="92"/>
      <c r="BN162" s="92"/>
      <c r="BO162" s="92"/>
      <c r="BP162" s="92"/>
      <c r="BQ162" s="92"/>
      <c r="BR162" s="92"/>
      <c r="BS162" s="92"/>
      <c r="BT162" s="92"/>
      <c r="BU162" s="92"/>
      <c r="BV162" s="92"/>
      <c r="BW162" s="92"/>
      <c r="BX162" s="92"/>
      <c r="BY162" s="92"/>
      <c r="BZ162" s="92"/>
      <c r="CA162" s="92"/>
      <c r="CB162" s="92"/>
    </row>
    <row r="163" spans="1:80" ht="12.75" customHeight="1">
      <c r="A163" s="92"/>
      <c r="B163" s="92"/>
      <c r="C163" s="92"/>
      <c r="D163" s="92"/>
      <c r="E163" s="92"/>
      <c r="F163" s="92">
        <v>18</v>
      </c>
      <c r="G163" s="93" t="s">
        <v>348</v>
      </c>
      <c r="H163" s="92">
        <v>1</v>
      </c>
      <c r="I163" s="92">
        <v>2</v>
      </c>
      <c r="J163" s="92">
        <v>2</v>
      </c>
      <c r="K163" s="92">
        <v>3</v>
      </c>
      <c r="L163" s="92">
        <v>3</v>
      </c>
      <c r="M163" s="92">
        <v>3</v>
      </c>
      <c r="N163" s="92">
        <v>3</v>
      </c>
      <c r="O163" s="92">
        <v>4</v>
      </c>
      <c r="P163" s="92">
        <v>4</v>
      </c>
      <c r="Q163" s="92">
        <v>4</v>
      </c>
      <c r="R163" s="92">
        <v>4</v>
      </c>
      <c r="S163" s="92">
        <v>4</v>
      </c>
      <c r="T163" s="92">
        <v>4</v>
      </c>
      <c r="U163" s="92">
        <v>4</v>
      </c>
      <c r="V163" s="92">
        <v>4</v>
      </c>
      <c r="W163" s="92">
        <v>5</v>
      </c>
      <c r="X163" s="92">
        <v>5</v>
      </c>
      <c r="Y163" s="92">
        <v>6</v>
      </c>
      <c r="Z163" s="92">
        <v>6</v>
      </c>
      <c r="AA163" s="92">
        <v>7</v>
      </c>
      <c r="AB163" s="92">
        <v>8</v>
      </c>
      <c r="AC163" s="92" t="s">
        <v>301</v>
      </c>
      <c r="AD163" s="92" t="s">
        <v>301</v>
      </c>
      <c r="AE163" s="92" t="s">
        <v>301</v>
      </c>
      <c r="AF163" s="92" t="s">
        <v>301</v>
      </c>
      <c r="AG163" s="92" t="s">
        <v>301</v>
      </c>
      <c r="AH163" s="92" t="s">
        <v>301</v>
      </c>
      <c r="AI163" s="92" t="s">
        <v>301</v>
      </c>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2"/>
      <c r="BL163" s="92"/>
      <c r="BM163" s="92"/>
      <c r="BN163" s="92"/>
      <c r="BO163" s="92"/>
      <c r="BP163" s="92"/>
      <c r="BQ163" s="92"/>
      <c r="BR163" s="92"/>
      <c r="BS163" s="92"/>
      <c r="BT163" s="92"/>
      <c r="BU163" s="92"/>
      <c r="BV163" s="92"/>
      <c r="BW163" s="92"/>
      <c r="BX163" s="92"/>
      <c r="BY163" s="92"/>
      <c r="BZ163" s="92"/>
      <c r="CA163" s="92"/>
      <c r="CB163" s="92"/>
    </row>
    <row r="164" spans="1:80" ht="12.75" customHeight="1">
      <c r="A164" s="92"/>
      <c r="B164" s="92"/>
      <c r="C164" s="92"/>
      <c r="D164" s="92"/>
      <c r="E164" s="92"/>
      <c r="F164" s="92"/>
      <c r="G164" s="93"/>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2"/>
      <c r="BL164" s="92"/>
      <c r="BM164" s="92"/>
      <c r="BN164" s="92"/>
      <c r="BO164" s="92"/>
      <c r="BP164" s="92"/>
      <c r="BQ164" s="92"/>
      <c r="BR164" s="92"/>
      <c r="BS164" s="92"/>
      <c r="BT164" s="92"/>
      <c r="BU164" s="92"/>
      <c r="BV164" s="92"/>
      <c r="BW164" s="92"/>
      <c r="BX164" s="92"/>
      <c r="BY164" s="92"/>
      <c r="BZ164" s="92"/>
      <c r="CA164" s="92"/>
      <c r="CB164" s="92"/>
    </row>
    <row r="165" spans="1:80" ht="12.75" customHeight="1">
      <c r="A165" s="92"/>
      <c r="B165" s="92"/>
      <c r="C165" s="92"/>
      <c r="D165" s="92"/>
      <c r="E165" s="92"/>
      <c r="F165" s="92"/>
      <c r="G165" s="93"/>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2"/>
      <c r="BL165" s="92"/>
      <c r="BM165" s="92"/>
      <c r="BN165" s="92"/>
      <c r="BO165" s="92"/>
      <c r="BP165" s="92"/>
      <c r="BQ165" s="92"/>
      <c r="BR165" s="92"/>
      <c r="BS165" s="92"/>
      <c r="BT165" s="92"/>
      <c r="BU165" s="92"/>
      <c r="BV165" s="92"/>
      <c r="BW165" s="92"/>
      <c r="BX165" s="92"/>
      <c r="BY165" s="92"/>
      <c r="BZ165" s="92"/>
      <c r="CA165" s="92"/>
      <c r="CB165" s="92"/>
    </row>
    <row r="166" spans="1:80" ht="12.75" customHeight="1">
      <c r="A166" s="92"/>
      <c r="B166" s="92"/>
      <c r="C166" s="92"/>
      <c r="D166" s="92"/>
      <c r="E166" s="92"/>
      <c r="F166" s="92"/>
      <c r="G166" s="93"/>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2"/>
      <c r="BL166" s="92"/>
      <c r="BM166" s="92"/>
      <c r="BN166" s="92"/>
      <c r="BO166" s="92"/>
      <c r="BP166" s="92"/>
      <c r="BQ166" s="92"/>
      <c r="BR166" s="92"/>
      <c r="BS166" s="92"/>
      <c r="BT166" s="92"/>
      <c r="BU166" s="92"/>
      <c r="BV166" s="92"/>
      <c r="BW166" s="92"/>
      <c r="BX166" s="92"/>
      <c r="BY166" s="92"/>
      <c r="BZ166" s="92"/>
      <c r="CA166" s="92"/>
      <c r="CB166" s="92"/>
    </row>
    <row r="167" spans="1:80" ht="12.75" customHeight="1">
      <c r="A167" s="92"/>
      <c r="B167" s="92"/>
      <c r="C167" s="92"/>
      <c r="D167" s="92"/>
      <c r="E167" s="92"/>
      <c r="F167" s="92"/>
      <c r="G167" s="93"/>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2"/>
      <c r="BL167" s="92"/>
      <c r="BM167" s="92"/>
      <c r="BN167" s="92"/>
      <c r="BO167" s="92"/>
      <c r="BP167" s="92"/>
      <c r="BQ167" s="92"/>
      <c r="BR167" s="92"/>
      <c r="BS167" s="92"/>
      <c r="BT167" s="92"/>
      <c r="BU167" s="92"/>
      <c r="BV167" s="92"/>
      <c r="BW167" s="92"/>
      <c r="BX167" s="92"/>
      <c r="BY167" s="92"/>
      <c r="BZ167" s="92"/>
      <c r="CA167" s="92"/>
      <c r="CB167" s="92"/>
    </row>
    <row r="168" spans="1:80" ht="12.75" customHeight="1">
      <c r="A168" s="92"/>
      <c r="B168" s="92"/>
      <c r="C168" s="92"/>
      <c r="D168" s="92"/>
      <c r="E168" s="92"/>
      <c r="F168" s="92"/>
      <c r="G168" s="93" t="s">
        <v>409</v>
      </c>
      <c r="H168" s="92">
        <v>0</v>
      </c>
      <c r="I168" s="92">
        <v>1</v>
      </c>
      <c r="J168" s="92">
        <v>2</v>
      </c>
      <c r="K168" s="92">
        <v>3</v>
      </c>
      <c r="L168" s="92">
        <v>4</v>
      </c>
      <c r="M168" s="92">
        <v>5</v>
      </c>
      <c r="N168" s="92">
        <v>6</v>
      </c>
      <c r="O168" s="92">
        <v>7</v>
      </c>
      <c r="P168" s="92">
        <v>8</v>
      </c>
      <c r="Q168" s="92">
        <v>9</v>
      </c>
      <c r="R168" s="92">
        <v>10</v>
      </c>
      <c r="S168" s="92">
        <v>11</v>
      </c>
      <c r="T168" s="92">
        <v>12</v>
      </c>
      <c r="U168" s="92">
        <v>13</v>
      </c>
      <c r="V168" s="92">
        <v>14</v>
      </c>
      <c r="W168" s="92">
        <v>15</v>
      </c>
      <c r="X168" s="92">
        <v>16</v>
      </c>
      <c r="Y168" s="92">
        <v>17</v>
      </c>
      <c r="Z168" s="92">
        <v>18</v>
      </c>
      <c r="AA168" s="92">
        <v>19</v>
      </c>
      <c r="AB168" s="92">
        <v>20</v>
      </c>
      <c r="AC168" s="92">
        <v>21</v>
      </c>
      <c r="AD168" s="92">
        <v>22</v>
      </c>
      <c r="AE168" s="92">
        <v>99</v>
      </c>
      <c r="AF168" s="92">
        <v>99</v>
      </c>
      <c r="AG168" s="92">
        <v>99</v>
      </c>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2"/>
      <c r="BL168" s="92"/>
      <c r="BM168" s="92"/>
      <c r="BN168" s="92"/>
      <c r="BO168" s="92"/>
      <c r="BP168" s="92"/>
      <c r="BQ168" s="92"/>
      <c r="BR168" s="92"/>
      <c r="BS168" s="92"/>
      <c r="BT168" s="92"/>
      <c r="BU168" s="92"/>
      <c r="BV168" s="92"/>
      <c r="BW168" s="92"/>
      <c r="BX168" s="92"/>
      <c r="BY168" s="92"/>
      <c r="BZ168" s="92"/>
      <c r="CA168" s="92"/>
      <c r="CB168" s="92"/>
    </row>
    <row r="169" spans="1:80" ht="12.75" customHeight="1">
      <c r="A169" s="92"/>
      <c r="B169" s="92"/>
      <c r="C169" s="92"/>
      <c r="D169" s="92"/>
      <c r="E169" s="92"/>
      <c r="F169" s="92">
        <v>1</v>
      </c>
      <c r="G169" s="93" t="s">
        <v>300</v>
      </c>
      <c r="H169" s="99">
        <v>1</v>
      </c>
      <c r="I169" s="99">
        <v>1</v>
      </c>
      <c r="J169" s="99">
        <v>1</v>
      </c>
      <c r="K169" s="99">
        <v>1</v>
      </c>
      <c r="L169" s="99">
        <v>2</v>
      </c>
      <c r="M169" s="99">
        <v>2</v>
      </c>
      <c r="N169" s="99">
        <v>3</v>
      </c>
      <c r="O169" s="99">
        <v>4</v>
      </c>
      <c r="P169" s="99">
        <v>4</v>
      </c>
      <c r="Q169" s="99">
        <v>5</v>
      </c>
      <c r="R169" s="99">
        <v>5</v>
      </c>
      <c r="S169" s="99">
        <v>6</v>
      </c>
      <c r="T169" s="99">
        <v>7</v>
      </c>
      <c r="U169" s="99">
        <v>7</v>
      </c>
      <c r="V169" s="99">
        <v>8</v>
      </c>
      <c r="W169" s="99">
        <v>8</v>
      </c>
      <c r="X169" s="99">
        <v>9</v>
      </c>
      <c r="Y169" s="99">
        <v>9</v>
      </c>
      <c r="Z169" s="99">
        <v>10</v>
      </c>
      <c r="AA169" s="99">
        <v>10</v>
      </c>
      <c r="AB169" s="99">
        <v>10</v>
      </c>
      <c r="AC169" s="92" t="s">
        <v>301</v>
      </c>
      <c r="AD169" s="92" t="s">
        <v>301</v>
      </c>
      <c r="AE169" s="92" t="s">
        <v>301</v>
      </c>
      <c r="AF169" s="92" t="s">
        <v>301</v>
      </c>
      <c r="AG169" s="92" t="s">
        <v>301</v>
      </c>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2"/>
      <c r="BL169" s="92"/>
      <c r="BM169" s="92"/>
      <c r="BN169" s="92"/>
      <c r="BO169" s="92"/>
      <c r="BP169" s="92"/>
      <c r="BQ169" s="92"/>
      <c r="BR169" s="92"/>
      <c r="BS169" s="92"/>
      <c r="BT169" s="92"/>
      <c r="BU169" s="92"/>
      <c r="BV169" s="92"/>
      <c r="BW169" s="92"/>
      <c r="BX169" s="92"/>
      <c r="BY169" s="92"/>
      <c r="BZ169" s="92"/>
      <c r="CA169" s="92"/>
      <c r="CB169" s="92"/>
    </row>
    <row r="170" spans="1:80" ht="12.75" customHeight="1">
      <c r="A170" s="92"/>
      <c r="B170" s="92"/>
      <c r="C170" s="92"/>
      <c r="D170" s="92"/>
      <c r="E170" s="92"/>
      <c r="F170" s="92">
        <v>2</v>
      </c>
      <c r="G170" s="93" t="s">
        <v>303</v>
      </c>
      <c r="H170" s="99">
        <v>1</v>
      </c>
      <c r="I170" s="99">
        <v>1</v>
      </c>
      <c r="J170" s="99">
        <v>1</v>
      </c>
      <c r="K170" s="99">
        <v>1</v>
      </c>
      <c r="L170" s="99">
        <v>1</v>
      </c>
      <c r="M170" s="99">
        <v>1</v>
      </c>
      <c r="N170" s="99">
        <v>2</v>
      </c>
      <c r="O170" s="99">
        <v>2</v>
      </c>
      <c r="P170" s="99">
        <v>3</v>
      </c>
      <c r="Q170" s="99">
        <v>4</v>
      </c>
      <c r="R170" s="99">
        <v>4</v>
      </c>
      <c r="S170" s="99">
        <v>5</v>
      </c>
      <c r="T170" s="99">
        <v>5</v>
      </c>
      <c r="U170" s="99">
        <v>6</v>
      </c>
      <c r="V170" s="99">
        <v>7</v>
      </c>
      <c r="W170" s="99">
        <v>7</v>
      </c>
      <c r="X170" s="99">
        <v>8</v>
      </c>
      <c r="Y170" s="99">
        <v>9</v>
      </c>
      <c r="Z170" s="99">
        <v>9</v>
      </c>
      <c r="AA170" s="99">
        <v>10</v>
      </c>
      <c r="AB170" s="99">
        <v>10</v>
      </c>
      <c r="AC170" s="92" t="s">
        <v>301</v>
      </c>
      <c r="AD170" s="92" t="s">
        <v>301</v>
      </c>
      <c r="AE170" s="92" t="s">
        <v>301</v>
      </c>
      <c r="AF170" s="92" t="s">
        <v>301</v>
      </c>
      <c r="AG170" s="92" t="s">
        <v>301</v>
      </c>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2"/>
      <c r="BL170" s="92"/>
      <c r="BM170" s="92"/>
      <c r="BN170" s="92"/>
      <c r="BO170" s="92"/>
      <c r="BP170" s="92"/>
      <c r="BQ170" s="92"/>
      <c r="BR170" s="92"/>
      <c r="BS170" s="92"/>
      <c r="BT170" s="92"/>
      <c r="BU170" s="92"/>
      <c r="BV170" s="92"/>
      <c r="BW170" s="92"/>
      <c r="BX170" s="92"/>
      <c r="BY170" s="92"/>
      <c r="BZ170" s="92"/>
      <c r="CA170" s="92"/>
      <c r="CB170" s="92"/>
    </row>
    <row r="171" spans="1:80" ht="12.75" customHeight="1">
      <c r="A171" s="92"/>
      <c r="B171" s="92"/>
      <c r="C171" s="92"/>
      <c r="D171" s="92"/>
      <c r="E171" s="92"/>
      <c r="F171" s="92">
        <v>3</v>
      </c>
      <c r="G171" s="93" t="s">
        <v>305</v>
      </c>
      <c r="H171" s="99">
        <v>1</v>
      </c>
      <c r="I171" s="99">
        <v>1</v>
      </c>
      <c r="J171" s="99">
        <v>1</v>
      </c>
      <c r="K171" s="99">
        <v>1</v>
      </c>
      <c r="L171" s="99">
        <v>1</v>
      </c>
      <c r="M171" s="99">
        <v>2</v>
      </c>
      <c r="N171" s="99">
        <v>3</v>
      </c>
      <c r="O171" s="99">
        <v>3</v>
      </c>
      <c r="P171" s="99">
        <v>4</v>
      </c>
      <c r="Q171" s="99">
        <v>4</v>
      </c>
      <c r="R171" s="99">
        <v>5</v>
      </c>
      <c r="S171" s="99">
        <v>5</v>
      </c>
      <c r="T171" s="99">
        <v>6</v>
      </c>
      <c r="U171" s="99">
        <v>7</v>
      </c>
      <c r="V171" s="99">
        <v>7</v>
      </c>
      <c r="W171" s="99">
        <v>8</v>
      </c>
      <c r="X171" s="99">
        <v>8</v>
      </c>
      <c r="Y171" s="99">
        <v>9</v>
      </c>
      <c r="Z171" s="99">
        <v>10</v>
      </c>
      <c r="AA171" s="99">
        <v>10</v>
      </c>
      <c r="AB171" s="99">
        <v>10</v>
      </c>
      <c r="AC171" s="92" t="s">
        <v>301</v>
      </c>
      <c r="AD171" s="92" t="s">
        <v>301</v>
      </c>
      <c r="AE171" s="92" t="s">
        <v>301</v>
      </c>
      <c r="AF171" s="92" t="s">
        <v>301</v>
      </c>
      <c r="AG171" s="92" t="s">
        <v>301</v>
      </c>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2"/>
      <c r="BL171" s="92"/>
      <c r="BM171" s="92"/>
      <c r="BN171" s="92"/>
      <c r="BO171" s="92"/>
      <c r="BP171" s="92"/>
      <c r="BQ171" s="92"/>
      <c r="BR171" s="92"/>
      <c r="BS171" s="92"/>
      <c r="BT171" s="92"/>
      <c r="BU171" s="92"/>
      <c r="BV171" s="92"/>
      <c r="BW171" s="92"/>
      <c r="BX171" s="92"/>
      <c r="BY171" s="92"/>
      <c r="BZ171" s="92"/>
      <c r="CA171" s="92"/>
      <c r="CB171" s="92"/>
    </row>
    <row r="172" spans="1:80" ht="12.75" customHeight="1">
      <c r="A172" s="92"/>
      <c r="B172" s="92"/>
      <c r="C172" s="92"/>
      <c r="D172" s="92"/>
      <c r="E172" s="92"/>
      <c r="F172" s="92">
        <v>4</v>
      </c>
      <c r="G172" s="93" t="s">
        <v>307</v>
      </c>
      <c r="H172" s="92">
        <v>1</v>
      </c>
      <c r="I172" s="92">
        <v>1</v>
      </c>
      <c r="J172" s="92">
        <v>1</v>
      </c>
      <c r="K172" s="92">
        <v>1</v>
      </c>
      <c r="L172" s="92">
        <v>2</v>
      </c>
      <c r="M172" s="92">
        <v>3</v>
      </c>
      <c r="N172" s="92">
        <v>3</v>
      </c>
      <c r="O172" s="92">
        <v>4</v>
      </c>
      <c r="P172" s="92">
        <v>4</v>
      </c>
      <c r="Q172" s="92">
        <v>5</v>
      </c>
      <c r="R172" s="92">
        <v>5</v>
      </c>
      <c r="S172" s="92">
        <v>6</v>
      </c>
      <c r="T172" s="92">
        <v>6</v>
      </c>
      <c r="U172" s="92">
        <v>7</v>
      </c>
      <c r="V172" s="92">
        <v>8</v>
      </c>
      <c r="W172" s="92">
        <v>8</v>
      </c>
      <c r="X172" s="92">
        <v>9</v>
      </c>
      <c r="Y172" s="92">
        <v>9</v>
      </c>
      <c r="Z172" s="92">
        <v>10</v>
      </c>
      <c r="AA172" s="92">
        <v>10</v>
      </c>
      <c r="AB172" s="92">
        <v>10</v>
      </c>
      <c r="AC172" s="92" t="s">
        <v>301</v>
      </c>
      <c r="AD172" s="92" t="s">
        <v>301</v>
      </c>
      <c r="AE172" s="92" t="s">
        <v>301</v>
      </c>
      <c r="AF172" s="92" t="s">
        <v>301</v>
      </c>
      <c r="AG172" s="92" t="s">
        <v>301</v>
      </c>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2"/>
      <c r="BL172" s="92"/>
      <c r="BM172" s="92"/>
      <c r="BN172" s="92"/>
      <c r="BO172" s="92"/>
      <c r="BP172" s="92"/>
      <c r="BQ172" s="92"/>
      <c r="BR172" s="92"/>
      <c r="BS172" s="92"/>
      <c r="BT172" s="92"/>
      <c r="BU172" s="92"/>
      <c r="BV172" s="92"/>
      <c r="BW172" s="92"/>
      <c r="BX172" s="92"/>
      <c r="BY172" s="92"/>
      <c r="BZ172" s="92"/>
      <c r="CA172" s="92"/>
      <c r="CB172" s="92"/>
    </row>
    <row r="173" spans="1:80" ht="12.75" customHeight="1">
      <c r="A173" s="92"/>
      <c r="B173" s="92"/>
      <c r="C173" s="92"/>
      <c r="D173" s="92"/>
      <c r="E173" s="92"/>
      <c r="F173" s="92">
        <v>5</v>
      </c>
      <c r="G173" s="93" t="s">
        <v>309</v>
      </c>
      <c r="H173" s="92">
        <v>1</v>
      </c>
      <c r="I173" s="92">
        <v>1</v>
      </c>
      <c r="J173" s="92">
        <v>1</v>
      </c>
      <c r="K173" s="92">
        <v>1</v>
      </c>
      <c r="L173" s="92">
        <v>1</v>
      </c>
      <c r="M173" s="92">
        <v>1</v>
      </c>
      <c r="N173" s="92">
        <v>1</v>
      </c>
      <c r="O173" s="92">
        <v>2</v>
      </c>
      <c r="P173" s="92">
        <v>2</v>
      </c>
      <c r="Q173" s="92">
        <v>3</v>
      </c>
      <c r="R173" s="92">
        <v>3</v>
      </c>
      <c r="S173" s="92">
        <v>4</v>
      </c>
      <c r="T173" s="92">
        <v>4</v>
      </c>
      <c r="U173" s="92">
        <v>5</v>
      </c>
      <c r="V173" s="92">
        <v>5</v>
      </c>
      <c r="W173" s="92">
        <v>6</v>
      </c>
      <c r="X173" s="92">
        <v>6</v>
      </c>
      <c r="Y173" s="92">
        <v>7</v>
      </c>
      <c r="Z173" s="92">
        <v>8</v>
      </c>
      <c r="AA173" s="92">
        <v>9</v>
      </c>
      <c r="AB173" s="92">
        <v>10</v>
      </c>
      <c r="AC173" s="92" t="s">
        <v>301</v>
      </c>
      <c r="AD173" s="92" t="s">
        <v>301</v>
      </c>
      <c r="AE173" s="92" t="s">
        <v>301</v>
      </c>
      <c r="AF173" s="92" t="s">
        <v>301</v>
      </c>
      <c r="AG173" s="92" t="s">
        <v>301</v>
      </c>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2"/>
      <c r="BL173" s="92"/>
      <c r="BM173" s="92"/>
      <c r="BN173" s="92"/>
      <c r="BO173" s="92"/>
      <c r="BP173" s="92"/>
      <c r="BQ173" s="92"/>
      <c r="BR173" s="92"/>
      <c r="BS173" s="92"/>
      <c r="BT173" s="92"/>
      <c r="BU173" s="92"/>
      <c r="BV173" s="92"/>
      <c r="BW173" s="92"/>
      <c r="BX173" s="92"/>
      <c r="BY173" s="92"/>
      <c r="BZ173" s="92"/>
      <c r="CA173" s="92"/>
      <c r="CB173" s="92"/>
    </row>
    <row r="174" spans="1:80" ht="12.75" customHeight="1">
      <c r="A174" s="92"/>
      <c r="B174" s="92"/>
      <c r="C174" s="92"/>
      <c r="D174" s="92"/>
      <c r="E174" s="92"/>
      <c r="F174" s="92">
        <v>6</v>
      </c>
      <c r="G174" s="93" t="s">
        <v>311</v>
      </c>
      <c r="H174" s="92">
        <v>1</v>
      </c>
      <c r="I174" s="92">
        <v>1</v>
      </c>
      <c r="J174" s="92">
        <v>1</v>
      </c>
      <c r="K174" s="92">
        <v>1</v>
      </c>
      <c r="L174" s="92">
        <v>2</v>
      </c>
      <c r="M174" s="92">
        <v>3</v>
      </c>
      <c r="N174" s="92">
        <v>3</v>
      </c>
      <c r="O174" s="92">
        <v>4</v>
      </c>
      <c r="P174" s="92">
        <v>5</v>
      </c>
      <c r="Q174" s="92">
        <v>5</v>
      </c>
      <c r="R174" s="92">
        <v>6</v>
      </c>
      <c r="S174" s="92">
        <v>6</v>
      </c>
      <c r="T174" s="92">
        <v>7</v>
      </c>
      <c r="U174" s="92">
        <v>7</v>
      </c>
      <c r="V174" s="92">
        <v>8</v>
      </c>
      <c r="W174" s="92">
        <v>8</v>
      </c>
      <c r="X174" s="92">
        <v>9</v>
      </c>
      <c r="Y174" s="92">
        <v>10</v>
      </c>
      <c r="Z174" s="92">
        <v>10</v>
      </c>
      <c r="AA174" s="92">
        <v>10</v>
      </c>
      <c r="AB174" s="92">
        <v>10</v>
      </c>
      <c r="AC174" s="92" t="s">
        <v>301</v>
      </c>
      <c r="AD174" s="92" t="s">
        <v>301</v>
      </c>
      <c r="AE174" s="92" t="s">
        <v>301</v>
      </c>
      <c r="AF174" s="92" t="s">
        <v>301</v>
      </c>
      <c r="AG174" s="92" t="s">
        <v>301</v>
      </c>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2"/>
      <c r="BL174" s="92"/>
      <c r="BM174" s="92"/>
      <c r="BN174" s="92"/>
      <c r="BO174" s="92"/>
      <c r="BP174" s="92"/>
      <c r="BQ174" s="92"/>
      <c r="BR174" s="92"/>
      <c r="BS174" s="92"/>
      <c r="BT174" s="92"/>
      <c r="BU174" s="92"/>
      <c r="BV174" s="92"/>
      <c r="BW174" s="92"/>
      <c r="BX174" s="92"/>
      <c r="BY174" s="92"/>
      <c r="BZ174" s="92"/>
      <c r="CA174" s="92"/>
      <c r="CB174" s="92"/>
    </row>
    <row r="175" spans="1:80" ht="12.75" customHeight="1">
      <c r="A175" s="92"/>
      <c r="B175" s="92"/>
      <c r="C175" s="92"/>
      <c r="D175" s="92"/>
      <c r="E175" s="92"/>
      <c r="F175" s="92">
        <v>7</v>
      </c>
      <c r="G175" s="93" t="s">
        <v>313</v>
      </c>
      <c r="H175" s="92">
        <v>1</v>
      </c>
      <c r="I175" s="92">
        <v>1</v>
      </c>
      <c r="J175" s="92">
        <v>1</v>
      </c>
      <c r="K175" s="92">
        <v>1</v>
      </c>
      <c r="L175" s="92">
        <v>1</v>
      </c>
      <c r="M175" s="92">
        <v>1</v>
      </c>
      <c r="N175" s="92">
        <v>1</v>
      </c>
      <c r="O175" s="92">
        <v>2</v>
      </c>
      <c r="P175" s="92">
        <v>3</v>
      </c>
      <c r="Q175" s="92">
        <v>3</v>
      </c>
      <c r="R175" s="92">
        <v>4</v>
      </c>
      <c r="S175" s="92">
        <v>4</v>
      </c>
      <c r="T175" s="92">
        <v>5</v>
      </c>
      <c r="U175" s="92">
        <v>5</v>
      </c>
      <c r="V175" s="92">
        <v>6</v>
      </c>
      <c r="W175" s="92">
        <v>7</v>
      </c>
      <c r="X175" s="92">
        <v>7</v>
      </c>
      <c r="Y175" s="92">
        <v>8</v>
      </c>
      <c r="Z175" s="92">
        <v>9</v>
      </c>
      <c r="AA175" s="92">
        <v>9</v>
      </c>
      <c r="AB175" s="92">
        <v>10</v>
      </c>
      <c r="AC175" s="92" t="s">
        <v>301</v>
      </c>
      <c r="AD175" s="92" t="s">
        <v>301</v>
      </c>
      <c r="AE175" s="92" t="s">
        <v>301</v>
      </c>
      <c r="AF175" s="92" t="s">
        <v>301</v>
      </c>
      <c r="AG175" s="92" t="s">
        <v>301</v>
      </c>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2"/>
      <c r="BL175" s="92"/>
      <c r="BM175" s="92"/>
      <c r="BN175" s="92"/>
      <c r="BO175" s="92"/>
      <c r="BP175" s="92"/>
      <c r="BQ175" s="92"/>
      <c r="BR175" s="92"/>
      <c r="BS175" s="92"/>
      <c r="BT175" s="92"/>
      <c r="BU175" s="92"/>
      <c r="BV175" s="92"/>
      <c r="BW175" s="92"/>
      <c r="BX175" s="92"/>
      <c r="BY175" s="92"/>
      <c r="BZ175" s="92"/>
      <c r="CA175" s="92"/>
      <c r="CB175" s="92"/>
    </row>
    <row r="176" spans="1:80" ht="12.75" customHeight="1">
      <c r="A176" s="92"/>
      <c r="B176" s="92"/>
      <c r="C176" s="92"/>
      <c r="D176" s="92"/>
      <c r="E176" s="92"/>
      <c r="F176" s="92">
        <v>8</v>
      </c>
      <c r="G176" s="93" t="s">
        <v>315</v>
      </c>
      <c r="H176" s="92">
        <v>1</v>
      </c>
      <c r="I176" s="92">
        <v>1</v>
      </c>
      <c r="J176" s="92">
        <v>1</v>
      </c>
      <c r="K176" s="92">
        <v>2</v>
      </c>
      <c r="L176" s="92">
        <v>2</v>
      </c>
      <c r="M176" s="92">
        <v>3</v>
      </c>
      <c r="N176" s="92">
        <v>4</v>
      </c>
      <c r="O176" s="92">
        <v>4</v>
      </c>
      <c r="P176" s="92">
        <v>5</v>
      </c>
      <c r="Q176" s="92">
        <v>6</v>
      </c>
      <c r="R176" s="92">
        <v>7</v>
      </c>
      <c r="S176" s="92">
        <v>7</v>
      </c>
      <c r="T176" s="92">
        <v>8</v>
      </c>
      <c r="U176" s="92">
        <v>9</v>
      </c>
      <c r="V176" s="92">
        <v>9</v>
      </c>
      <c r="W176" s="92">
        <v>10</v>
      </c>
      <c r="X176" s="92">
        <v>10</v>
      </c>
      <c r="Y176" s="92">
        <v>10</v>
      </c>
      <c r="Z176" s="92">
        <v>10</v>
      </c>
      <c r="AA176" s="92">
        <v>10</v>
      </c>
      <c r="AB176" s="92">
        <v>10</v>
      </c>
      <c r="AC176" s="92" t="s">
        <v>301</v>
      </c>
      <c r="AD176" s="92" t="s">
        <v>301</v>
      </c>
      <c r="AE176" s="92" t="s">
        <v>301</v>
      </c>
      <c r="AF176" s="92" t="s">
        <v>301</v>
      </c>
      <c r="AG176" s="92" t="s">
        <v>301</v>
      </c>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2"/>
      <c r="BL176" s="92"/>
      <c r="BM176" s="92"/>
      <c r="BN176" s="92"/>
      <c r="BO176" s="92"/>
      <c r="BP176" s="92"/>
      <c r="BQ176" s="92"/>
      <c r="BR176" s="92"/>
      <c r="BS176" s="92"/>
      <c r="BT176" s="92"/>
      <c r="BU176" s="92"/>
      <c r="BV176" s="92"/>
      <c r="BW176" s="92"/>
      <c r="BX176" s="92"/>
      <c r="BY176" s="92"/>
      <c r="BZ176" s="92"/>
      <c r="CA176" s="92"/>
      <c r="CB176" s="92"/>
    </row>
    <row r="177" spans="1:80" ht="12.75" customHeight="1">
      <c r="A177" s="92"/>
      <c r="B177" s="92"/>
      <c r="C177" s="92"/>
      <c r="D177" s="92"/>
      <c r="E177" s="92"/>
      <c r="F177" s="92">
        <v>9</v>
      </c>
      <c r="G177" s="93" t="s">
        <v>318</v>
      </c>
      <c r="H177" s="92">
        <v>1</v>
      </c>
      <c r="I177" s="92">
        <v>1</v>
      </c>
      <c r="J177" s="92">
        <v>1</v>
      </c>
      <c r="K177" s="92">
        <v>1</v>
      </c>
      <c r="L177" s="92">
        <v>1</v>
      </c>
      <c r="M177" s="92">
        <v>1</v>
      </c>
      <c r="N177" s="92">
        <v>2</v>
      </c>
      <c r="O177" s="92">
        <v>2</v>
      </c>
      <c r="P177" s="92">
        <v>3</v>
      </c>
      <c r="Q177" s="92">
        <v>4</v>
      </c>
      <c r="R177" s="92">
        <v>4</v>
      </c>
      <c r="S177" s="92">
        <v>5</v>
      </c>
      <c r="T177" s="92">
        <v>6</v>
      </c>
      <c r="U177" s="92">
        <v>6</v>
      </c>
      <c r="V177" s="92">
        <v>7</v>
      </c>
      <c r="W177" s="92">
        <v>8</v>
      </c>
      <c r="X177" s="92">
        <v>8</v>
      </c>
      <c r="Y177" s="92">
        <v>9</v>
      </c>
      <c r="Z177" s="92">
        <v>10</v>
      </c>
      <c r="AA177" s="92">
        <v>10</v>
      </c>
      <c r="AB177" s="92">
        <v>10</v>
      </c>
      <c r="AC177" s="92" t="s">
        <v>301</v>
      </c>
      <c r="AD177" s="92" t="s">
        <v>301</v>
      </c>
      <c r="AE177" s="92" t="s">
        <v>301</v>
      </c>
      <c r="AF177" s="92" t="s">
        <v>301</v>
      </c>
      <c r="AG177" s="92" t="s">
        <v>301</v>
      </c>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2"/>
      <c r="BL177" s="92"/>
      <c r="BM177" s="92"/>
      <c r="BN177" s="92"/>
      <c r="BO177" s="92"/>
      <c r="BP177" s="92"/>
      <c r="BQ177" s="92"/>
      <c r="BR177" s="92"/>
      <c r="BS177" s="92"/>
      <c r="BT177" s="92"/>
      <c r="BU177" s="92"/>
      <c r="BV177" s="92"/>
      <c r="BW177" s="92"/>
      <c r="BX177" s="92"/>
      <c r="BY177" s="92"/>
      <c r="BZ177" s="92"/>
      <c r="CA177" s="92"/>
      <c r="CB177" s="92"/>
    </row>
    <row r="178" spans="1:80" ht="12.75" customHeight="1">
      <c r="A178" s="92"/>
      <c r="B178" s="92"/>
      <c r="C178" s="92"/>
      <c r="D178" s="92"/>
      <c r="E178" s="92"/>
      <c r="F178" s="92">
        <v>10</v>
      </c>
      <c r="G178" s="93" t="s">
        <v>320</v>
      </c>
      <c r="H178" s="92">
        <v>1</v>
      </c>
      <c r="I178" s="92">
        <v>1</v>
      </c>
      <c r="J178" s="92">
        <v>1</v>
      </c>
      <c r="K178" s="92">
        <v>1</v>
      </c>
      <c r="L178" s="92">
        <v>1</v>
      </c>
      <c r="M178" s="92">
        <v>2</v>
      </c>
      <c r="N178" s="92">
        <v>3</v>
      </c>
      <c r="O178" s="92">
        <v>3</v>
      </c>
      <c r="P178" s="92">
        <v>4</v>
      </c>
      <c r="Q178" s="92">
        <v>5</v>
      </c>
      <c r="R178" s="92">
        <v>5</v>
      </c>
      <c r="S178" s="92">
        <v>6</v>
      </c>
      <c r="T178" s="92">
        <v>6</v>
      </c>
      <c r="U178" s="92">
        <v>7</v>
      </c>
      <c r="V178" s="92">
        <v>8</v>
      </c>
      <c r="W178" s="92">
        <v>8</v>
      </c>
      <c r="X178" s="92">
        <v>9</v>
      </c>
      <c r="Y178" s="92">
        <v>10</v>
      </c>
      <c r="Z178" s="92">
        <v>10</v>
      </c>
      <c r="AA178" s="92">
        <v>10</v>
      </c>
      <c r="AB178" s="92">
        <v>10</v>
      </c>
      <c r="AC178" s="92" t="s">
        <v>301</v>
      </c>
      <c r="AD178" s="92" t="s">
        <v>301</v>
      </c>
      <c r="AE178" s="92" t="s">
        <v>301</v>
      </c>
      <c r="AF178" s="92" t="s">
        <v>301</v>
      </c>
      <c r="AG178" s="92" t="s">
        <v>301</v>
      </c>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2"/>
      <c r="BL178" s="92"/>
      <c r="BM178" s="92"/>
      <c r="BN178" s="92"/>
      <c r="BO178" s="92"/>
      <c r="BP178" s="92"/>
      <c r="BQ178" s="92"/>
      <c r="BR178" s="92"/>
      <c r="BS178" s="92"/>
      <c r="BT178" s="92"/>
      <c r="BU178" s="92"/>
      <c r="BV178" s="92"/>
      <c r="BW178" s="92"/>
      <c r="BX178" s="92"/>
      <c r="BY178" s="92"/>
      <c r="BZ178" s="92"/>
      <c r="CA178" s="92"/>
      <c r="CB178" s="92"/>
    </row>
    <row r="179" spans="1:80" ht="12.75" customHeight="1">
      <c r="A179" s="92"/>
      <c r="B179" s="92"/>
      <c r="C179" s="92"/>
      <c r="D179" s="92"/>
      <c r="E179" s="92"/>
      <c r="F179" s="92">
        <v>11</v>
      </c>
      <c r="G179" s="93" t="s">
        <v>322</v>
      </c>
      <c r="H179" s="92">
        <v>1</v>
      </c>
      <c r="I179" s="92">
        <v>1</v>
      </c>
      <c r="J179" s="92">
        <v>1</v>
      </c>
      <c r="K179" s="92">
        <v>1</v>
      </c>
      <c r="L179" s="92">
        <v>1</v>
      </c>
      <c r="M179" s="92">
        <v>1</v>
      </c>
      <c r="N179" s="92">
        <v>2</v>
      </c>
      <c r="O179" s="92">
        <v>2</v>
      </c>
      <c r="P179" s="92">
        <v>3</v>
      </c>
      <c r="Q179" s="92">
        <v>4</v>
      </c>
      <c r="R179" s="92">
        <v>4</v>
      </c>
      <c r="S179" s="92">
        <v>5</v>
      </c>
      <c r="T179" s="92">
        <v>6</v>
      </c>
      <c r="U179" s="92">
        <v>6</v>
      </c>
      <c r="V179" s="92">
        <v>7</v>
      </c>
      <c r="W179" s="92">
        <v>8</v>
      </c>
      <c r="X179" s="92">
        <v>8</v>
      </c>
      <c r="Y179" s="92">
        <v>9</v>
      </c>
      <c r="Z179" s="92">
        <v>10</v>
      </c>
      <c r="AA179" s="92">
        <v>10</v>
      </c>
      <c r="AB179" s="92">
        <v>10</v>
      </c>
      <c r="AC179" s="92" t="s">
        <v>301</v>
      </c>
      <c r="AD179" s="92" t="s">
        <v>301</v>
      </c>
      <c r="AE179" s="92" t="s">
        <v>301</v>
      </c>
      <c r="AF179" s="92" t="s">
        <v>301</v>
      </c>
      <c r="AG179" s="92" t="s">
        <v>301</v>
      </c>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2"/>
      <c r="BL179" s="92"/>
      <c r="BM179" s="92"/>
      <c r="BN179" s="92"/>
      <c r="BO179" s="92"/>
      <c r="BP179" s="92"/>
      <c r="BQ179" s="92"/>
      <c r="BR179" s="92"/>
      <c r="BS179" s="92"/>
      <c r="BT179" s="92"/>
      <c r="BU179" s="92"/>
      <c r="BV179" s="92"/>
      <c r="BW179" s="92"/>
      <c r="BX179" s="92"/>
      <c r="BY179" s="92"/>
      <c r="BZ179" s="92"/>
      <c r="CA179" s="92"/>
      <c r="CB179" s="92"/>
    </row>
    <row r="180" spans="1:80" ht="12.75" customHeight="1">
      <c r="A180" s="92"/>
      <c r="B180" s="92"/>
      <c r="C180" s="92"/>
      <c r="D180" s="92"/>
      <c r="E180" s="92"/>
      <c r="F180" s="92">
        <v>12</v>
      </c>
      <c r="G180" s="93" t="s">
        <v>324</v>
      </c>
      <c r="H180" s="92">
        <v>1</v>
      </c>
      <c r="I180" s="92">
        <v>1</v>
      </c>
      <c r="J180" s="92">
        <v>1</v>
      </c>
      <c r="K180" s="92">
        <v>1</v>
      </c>
      <c r="L180" s="92">
        <v>2</v>
      </c>
      <c r="M180" s="92">
        <v>3</v>
      </c>
      <c r="N180" s="92">
        <v>3</v>
      </c>
      <c r="O180" s="92">
        <v>4</v>
      </c>
      <c r="P180" s="92">
        <v>5</v>
      </c>
      <c r="Q180" s="92">
        <v>5</v>
      </c>
      <c r="R180" s="92">
        <v>6</v>
      </c>
      <c r="S180" s="92">
        <v>6</v>
      </c>
      <c r="T180" s="92">
        <v>7</v>
      </c>
      <c r="U180" s="92">
        <v>8</v>
      </c>
      <c r="V180" s="92">
        <v>8</v>
      </c>
      <c r="W180" s="92">
        <v>9</v>
      </c>
      <c r="X180" s="92">
        <v>9</v>
      </c>
      <c r="Y180" s="92">
        <v>10</v>
      </c>
      <c r="Z180" s="92">
        <v>10</v>
      </c>
      <c r="AA180" s="92">
        <v>10</v>
      </c>
      <c r="AB180" s="92">
        <v>10</v>
      </c>
      <c r="AC180" s="92" t="s">
        <v>301</v>
      </c>
      <c r="AD180" s="92" t="s">
        <v>301</v>
      </c>
      <c r="AE180" s="92" t="s">
        <v>301</v>
      </c>
      <c r="AF180" s="92" t="s">
        <v>301</v>
      </c>
      <c r="AG180" s="92" t="s">
        <v>301</v>
      </c>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2"/>
      <c r="BL180" s="92"/>
      <c r="BM180" s="92"/>
      <c r="BN180" s="92"/>
      <c r="BO180" s="92"/>
      <c r="BP180" s="92"/>
      <c r="BQ180" s="92"/>
      <c r="BR180" s="92"/>
      <c r="BS180" s="92"/>
      <c r="BT180" s="92"/>
      <c r="BU180" s="92"/>
      <c r="BV180" s="92"/>
      <c r="BW180" s="92"/>
      <c r="BX180" s="92"/>
      <c r="BY180" s="92"/>
      <c r="BZ180" s="92"/>
      <c r="CA180" s="92"/>
      <c r="CB180" s="92"/>
    </row>
    <row r="181" spans="1:80" ht="12.75" customHeight="1">
      <c r="A181" s="92"/>
      <c r="B181" s="92"/>
      <c r="C181" s="92"/>
      <c r="D181" s="92"/>
      <c r="E181" s="92"/>
      <c r="F181" s="92">
        <v>13</v>
      </c>
      <c r="G181" s="93" t="s">
        <v>326</v>
      </c>
      <c r="H181" s="92">
        <v>1</v>
      </c>
      <c r="I181" s="92">
        <v>1</v>
      </c>
      <c r="J181" s="92">
        <v>1</v>
      </c>
      <c r="K181" s="92">
        <v>1</v>
      </c>
      <c r="L181" s="92">
        <v>1</v>
      </c>
      <c r="M181" s="92">
        <v>1</v>
      </c>
      <c r="N181" s="92">
        <v>1</v>
      </c>
      <c r="O181" s="92">
        <v>2</v>
      </c>
      <c r="P181" s="92">
        <v>2</v>
      </c>
      <c r="Q181" s="92">
        <v>3</v>
      </c>
      <c r="R181" s="92">
        <v>4</v>
      </c>
      <c r="S181" s="92">
        <v>4</v>
      </c>
      <c r="T181" s="92">
        <v>5</v>
      </c>
      <c r="U181" s="92">
        <v>6</v>
      </c>
      <c r="V181" s="92">
        <v>6</v>
      </c>
      <c r="W181" s="92">
        <v>7</v>
      </c>
      <c r="X181" s="92">
        <v>8</v>
      </c>
      <c r="Y181" s="92">
        <v>8</v>
      </c>
      <c r="Z181" s="92">
        <v>9</v>
      </c>
      <c r="AA181" s="92">
        <v>10</v>
      </c>
      <c r="AB181" s="92">
        <v>10</v>
      </c>
      <c r="AC181" s="92" t="s">
        <v>301</v>
      </c>
      <c r="AD181" s="92" t="s">
        <v>301</v>
      </c>
      <c r="AE181" s="92" t="s">
        <v>301</v>
      </c>
      <c r="AF181" s="92" t="s">
        <v>301</v>
      </c>
      <c r="AG181" s="92" t="s">
        <v>301</v>
      </c>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2"/>
      <c r="BL181" s="92"/>
      <c r="BM181" s="92"/>
      <c r="BN181" s="92"/>
      <c r="BO181" s="92"/>
      <c r="BP181" s="92"/>
      <c r="BQ181" s="92"/>
      <c r="BR181" s="92"/>
      <c r="BS181" s="92"/>
      <c r="BT181" s="92"/>
      <c r="BU181" s="92"/>
      <c r="BV181" s="92"/>
      <c r="BW181" s="92"/>
      <c r="BX181" s="92"/>
      <c r="BY181" s="92"/>
      <c r="BZ181" s="92"/>
      <c r="CA181" s="92"/>
      <c r="CB181" s="92"/>
    </row>
    <row r="182" spans="1:80" ht="12.75" customHeight="1">
      <c r="A182" s="92"/>
      <c r="B182" s="92"/>
      <c r="C182" s="92"/>
      <c r="D182" s="92"/>
      <c r="E182" s="92"/>
      <c r="F182" s="92">
        <v>14</v>
      </c>
      <c r="G182" s="93" t="s">
        <v>328</v>
      </c>
      <c r="H182" s="92">
        <v>1</v>
      </c>
      <c r="I182" s="92">
        <v>1</v>
      </c>
      <c r="J182" s="92">
        <v>1</v>
      </c>
      <c r="K182" s="92">
        <v>1</v>
      </c>
      <c r="L182" s="92">
        <v>2</v>
      </c>
      <c r="M182" s="92">
        <v>3</v>
      </c>
      <c r="N182" s="92">
        <v>3</v>
      </c>
      <c r="O182" s="92">
        <v>4</v>
      </c>
      <c r="P182" s="92">
        <v>5</v>
      </c>
      <c r="Q182" s="92">
        <v>5</v>
      </c>
      <c r="R182" s="92">
        <v>6</v>
      </c>
      <c r="S182" s="92">
        <v>6</v>
      </c>
      <c r="T182" s="92">
        <v>7</v>
      </c>
      <c r="U182" s="92">
        <v>7</v>
      </c>
      <c r="V182" s="92">
        <v>8</v>
      </c>
      <c r="W182" s="92">
        <v>8</v>
      </c>
      <c r="X182" s="92">
        <v>9</v>
      </c>
      <c r="Y182" s="92">
        <v>10</v>
      </c>
      <c r="Z182" s="92">
        <v>10</v>
      </c>
      <c r="AA182" s="92">
        <v>10</v>
      </c>
      <c r="AB182" s="92">
        <v>10</v>
      </c>
      <c r="AC182" s="92" t="s">
        <v>301</v>
      </c>
      <c r="AD182" s="92" t="s">
        <v>301</v>
      </c>
      <c r="AE182" s="92" t="s">
        <v>301</v>
      </c>
      <c r="AF182" s="92" t="s">
        <v>301</v>
      </c>
      <c r="AG182" s="92" t="s">
        <v>301</v>
      </c>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2"/>
      <c r="BL182" s="92"/>
      <c r="BM182" s="92"/>
      <c r="BN182" s="92"/>
      <c r="BO182" s="92"/>
      <c r="BP182" s="92"/>
      <c r="BQ182" s="92"/>
      <c r="BR182" s="92"/>
      <c r="BS182" s="92"/>
      <c r="BT182" s="92"/>
      <c r="BU182" s="92"/>
      <c r="BV182" s="92"/>
      <c r="BW182" s="92"/>
      <c r="BX182" s="92"/>
      <c r="BY182" s="92"/>
      <c r="BZ182" s="92"/>
      <c r="CA182" s="92"/>
      <c r="CB182" s="92"/>
    </row>
    <row r="183" spans="1:80" ht="12.75" customHeight="1">
      <c r="A183" s="92"/>
      <c r="B183" s="92"/>
      <c r="C183" s="92"/>
      <c r="D183" s="92"/>
      <c r="E183" s="92"/>
      <c r="F183" s="92">
        <v>15</v>
      </c>
      <c r="G183" s="93" t="s">
        <v>330</v>
      </c>
      <c r="H183" s="92">
        <v>1</v>
      </c>
      <c r="I183" s="92">
        <v>1</v>
      </c>
      <c r="J183" s="92">
        <v>1</v>
      </c>
      <c r="K183" s="92">
        <v>1</v>
      </c>
      <c r="L183" s="92">
        <v>1</v>
      </c>
      <c r="M183" s="92">
        <v>1</v>
      </c>
      <c r="N183" s="92">
        <v>2</v>
      </c>
      <c r="O183" s="92">
        <v>3</v>
      </c>
      <c r="P183" s="92">
        <v>3</v>
      </c>
      <c r="Q183" s="92">
        <v>4</v>
      </c>
      <c r="R183" s="92">
        <v>4</v>
      </c>
      <c r="S183" s="92">
        <v>5</v>
      </c>
      <c r="T183" s="92">
        <v>6</v>
      </c>
      <c r="U183" s="92">
        <v>6</v>
      </c>
      <c r="V183" s="92">
        <v>7</v>
      </c>
      <c r="W183" s="92">
        <v>8</v>
      </c>
      <c r="X183" s="92">
        <v>8</v>
      </c>
      <c r="Y183" s="92">
        <v>9</v>
      </c>
      <c r="Z183" s="92">
        <v>10</v>
      </c>
      <c r="AA183" s="92">
        <v>10</v>
      </c>
      <c r="AB183" s="92">
        <v>10</v>
      </c>
      <c r="AC183" s="92" t="s">
        <v>301</v>
      </c>
      <c r="AD183" s="92" t="s">
        <v>301</v>
      </c>
      <c r="AE183" s="92" t="s">
        <v>301</v>
      </c>
      <c r="AF183" s="92" t="s">
        <v>301</v>
      </c>
      <c r="AG183" s="92" t="s">
        <v>301</v>
      </c>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2"/>
      <c r="BL183" s="92"/>
      <c r="BM183" s="92"/>
      <c r="BN183" s="92"/>
      <c r="BO183" s="92"/>
      <c r="BP183" s="92"/>
      <c r="BQ183" s="92"/>
      <c r="BR183" s="92"/>
      <c r="BS183" s="92"/>
      <c r="BT183" s="92"/>
      <c r="BU183" s="92"/>
      <c r="BV183" s="92"/>
      <c r="BW183" s="92"/>
      <c r="BX183" s="92"/>
      <c r="BY183" s="92"/>
      <c r="BZ183" s="92"/>
      <c r="CA183" s="92"/>
      <c r="CB183" s="92"/>
    </row>
    <row r="184" spans="1:80" ht="12.75" customHeight="1">
      <c r="A184" s="92"/>
      <c r="B184" s="92"/>
      <c r="C184" s="92"/>
      <c r="D184" s="92"/>
      <c r="E184" s="92"/>
      <c r="F184" s="92">
        <v>16</v>
      </c>
      <c r="G184" s="93" t="s">
        <v>341</v>
      </c>
      <c r="H184" s="92">
        <v>1</v>
      </c>
      <c r="I184" s="92">
        <v>2</v>
      </c>
      <c r="J184" s="92">
        <v>3</v>
      </c>
      <c r="K184" s="92">
        <v>3</v>
      </c>
      <c r="L184" s="92">
        <v>4</v>
      </c>
      <c r="M184" s="92">
        <v>4</v>
      </c>
      <c r="N184" s="92">
        <v>5</v>
      </c>
      <c r="O184" s="92">
        <v>6</v>
      </c>
      <c r="P184" s="92">
        <v>6</v>
      </c>
      <c r="Q184" s="92">
        <v>6</v>
      </c>
      <c r="R184" s="92">
        <v>7</v>
      </c>
      <c r="S184" s="92">
        <v>7</v>
      </c>
      <c r="T184" s="92">
        <v>8</v>
      </c>
      <c r="U184" s="92">
        <v>8</v>
      </c>
      <c r="V184" s="92">
        <v>8</v>
      </c>
      <c r="W184" s="92">
        <v>9</v>
      </c>
      <c r="X184" s="92">
        <v>9</v>
      </c>
      <c r="Y184" s="92">
        <v>9</v>
      </c>
      <c r="Z184" s="92">
        <v>10</v>
      </c>
      <c r="AA184" s="92">
        <v>10</v>
      </c>
      <c r="AB184" s="92">
        <v>10</v>
      </c>
      <c r="AC184" s="92">
        <v>10</v>
      </c>
      <c r="AD184" s="92">
        <v>10</v>
      </c>
      <c r="AE184" s="92" t="s">
        <v>301</v>
      </c>
      <c r="AF184" s="92" t="s">
        <v>301</v>
      </c>
      <c r="AG184" s="92" t="s">
        <v>301</v>
      </c>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2"/>
      <c r="BL184" s="92"/>
      <c r="BM184" s="92"/>
      <c r="BN184" s="92"/>
      <c r="BO184" s="92"/>
      <c r="BP184" s="92"/>
      <c r="BQ184" s="92"/>
      <c r="BR184" s="92"/>
      <c r="BS184" s="92"/>
      <c r="BT184" s="92"/>
      <c r="BU184" s="92"/>
      <c r="BV184" s="92"/>
      <c r="BW184" s="92"/>
      <c r="BX184" s="92"/>
      <c r="BY184" s="92"/>
      <c r="BZ184" s="92"/>
      <c r="CA184" s="92"/>
      <c r="CB184" s="92"/>
    </row>
    <row r="185" spans="1:80" ht="12.75" customHeight="1">
      <c r="A185" s="92"/>
      <c r="B185" s="92"/>
      <c r="C185" s="92"/>
      <c r="D185" s="92"/>
      <c r="E185" s="92"/>
      <c r="F185" s="92">
        <v>17</v>
      </c>
      <c r="G185" s="93" t="s">
        <v>343</v>
      </c>
      <c r="H185" s="92">
        <v>1</v>
      </c>
      <c r="I185" s="92">
        <v>1</v>
      </c>
      <c r="J185" s="92">
        <v>1</v>
      </c>
      <c r="K185" s="92">
        <v>2</v>
      </c>
      <c r="L185" s="92">
        <v>2</v>
      </c>
      <c r="M185" s="92">
        <v>2</v>
      </c>
      <c r="N185" s="92">
        <v>3</v>
      </c>
      <c r="O185" s="92">
        <v>3</v>
      </c>
      <c r="P185" s="92">
        <v>3</v>
      </c>
      <c r="Q185" s="92">
        <v>4</v>
      </c>
      <c r="R185" s="92">
        <v>4</v>
      </c>
      <c r="S185" s="92">
        <v>4</v>
      </c>
      <c r="T185" s="92">
        <v>4</v>
      </c>
      <c r="U185" s="92">
        <v>4</v>
      </c>
      <c r="V185" s="92">
        <v>4</v>
      </c>
      <c r="W185" s="92">
        <v>5</v>
      </c>
      <c r="X185" s="92">
        <v>6</v>
      </c>
      <c r="Y185" s="92">
        <v>6</v>
      </c>
      <c r="Z185" s="92">
        <v>6</v>
      </c>
      <c r="AA185" s="92">
        <v>7</v>
      </c>
      <c r="AB185" s="92">
        <v>8</v>
      </c>
      <c r="AC185" s="92">
        <v>8</v>
      </c>
      <c r="AD185" s="92">
        <v>10</v>
      </c>
      <c r="AE185" s="92" t="s">
        <v>301</v>
      </c>
      <c r="AF185" s="92" t="s">
        <v>301</v>
      </c>
      <c r="AG185" s="92" t="s">
        <v>301</v>
      </c>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c r="BO185" s="92"/>
      <c r="BP185" s="92"/>
      <c r="BQ185" s="92"/>
      <c r="BR185" s="92"/>
      <c r="BS185" s="92"/>
      <c r="BT185" s="92"/>
      <c r="BU185" s="92"/>
      <c r="BV185" s="92"/>
      <c r="BW185" s="92"/>
      <c r="BX185" s="92"/>
      <c r="BY185" s="92"/>
      <c r="BZ185" s="92"/>
      <c r="CA185" s="92"/>
      <c r="CB185" s="92"/>
    </row>
    <row r="186" spans="1:80" ht="12.75" customHeight="1">
      <c r="A186" s="92"/>
      <c r="B186" s="92"/>
      <c r="C186" s="92"/>
      <c r="D186" s="92"/>
      <c r="E186" s="92"/>
      <c r="F186" s="92">
        <v>18</v>
      </c>
      <c r="G186" s="93" t="s">
        <v>348</v>
      </c>
      <c r="H186" s="92">
        <v>1</v>
      </c>
      <c r="I186" s="92">
        <v>2</v>
      </c>
      <c r="J186" s="92">
        <v>3</v>
      </c>
      <c r="K186" s="92">
        <v>3</v>
      </c>
      <c r="L186" s="92">
        <v>4</v>
      </c>
      <c r="M186" s="92">
        <v>4</v>
      </c>
      <c r="N186" s="92">
        <v>4</v>
      </c>
      <c r="O186" s="92">
        <v>5</v>
      </c>
      <c r="P186" s="92">
        <v>5</v>
      </c>
      <c r="Q186" s="92">
        <v>6</v>
      </c>
      <c r="R186" s="92">
        <v>6</v>
      </c>
      <c r="S186" s="92">
        <v>7</v>
      </c>
      <c r="T186" s="92">
        <v>7</v>
      </c>
      <c r="U186" s="92">
        <v>7</v>
      </c>
      <c r="V186" s="92">
        <v>7</v>
      </c>
      <c r="W186" s="92">
        <v>8</v>
      </c>
      <c r="X186" s="92">
        <v>8</v>
      </c>
      <c r="Y186" s="92">
        <v>8</v>
      </c>
      <c r="Z186" s="92">
        <v>8</v>
      </c>
      <c r="AA186" s="92">
        <v>9</v>
      </c>
      <c r="AB186" s="92">
        <v>9</v>
      </c>
      <c r="AC186" s="92">
        <v>10</v>
      </c>
      <c r="AD186" s="92">
        <v>10</v>
      </c>
      <c r="AE186" s="92" t="s">
        <v>301</v>
      </c>
      <c r="AF186" s="92" t="s">
        <v>301</v>
      </c>
      <c r="AG186" s="92" t="s">
        <v>301</v>
      </c>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2"/>
      <c r="BL186" s="92"/>
      <c r="BM186" s="92"/>
      <c r="BN186" s="92"/>
      <c r="BO186" s="92"/>
      <c r="BP186" s="92"/>
      <c r="BQ186" s="92"/>
      <c r="BR186" s="92"/>
      <c r="BS186" s="92"/>
      <c r="BT186" s="92"/>
      <c r="BU186" s="92"/>
      <c r="BV186" s="92"/>
      <c r="BW186" s="92"/>
      <c r="BX186" s="92"/>
      <c r="BY186" s="92"/>
      <c r="BZ186" s="92"/>
      <c r="CA186" s="92"/>
      <c r="CB186" s="92"/>
    </row>
    <row r="187" spans="1:80" ht="12.75" customHeight="1">
      <c r="A187" s="92"/>
      <c r="B187" s="92"/>
      <c r="C187" s="92"/>
      <c r="D187" s="92"/>
      <c r="E187" s="92"/>
      <c r="F187" s="92"/>
      <c r="G187" s="93"/>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c r="BO187" s="92"/>
      <c r="BP187" s="92"/>
      <c r="BQ187" s="92"/>
      <c r="BR187" s="92"/>
      <c r="BS187" s="92"/>
      <c r="BT187" s="92"/>
      <c r="BU187" s="92"/>
      <c r="BV187" s="92"/>
      <c r="BW187" s="92"/>
      <c r="BX187" s="92"/>
      <c r="BY187" s="92"/>
      <c r="BZ187" s="92"/>
      <c r="CA187" s="92"/>
      <c r="CB187" s="92"/>
    </row>
    <row r="188" spans="1:80" ht="12.75" customHeight="1">
      <c r="A188" s="92"/>
      <c r="B188" s="92"/>
      <c r="C188" s="92"/>
      <c r="D188" s="92"/>
      <c r="E188" s="92"/>
      <c r="F188" s="92"/>
      <c r="G188" s="93"/>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2"/>
      <c r="BL188" s="92"/>
      <c r="BM188" s="92"/>
      <c r="BN188" s="92"/>
      <c r="BO188" s="92"/>
      <c r="BP188" s="92"/>
      <c r="BQ188" s="92"/>
      <c r="BR188" s="92"/>
      <c r="BS188" s="92"/>
      <c r="BT188" s="92"/>
      <c r="BU188" s="92"/>
      <c r="BV188" s="92"/>
      <c r="BW188" s="92"/>
      <c r="BX188" s="92"/>
      <c r="BY188" s="92"/>
      <c r="BZ188" s="92"/>
      <c r="CA188" s="92"/>
      <c r="CB188" s="92"/>
    </row>
    <row r="189" spans="1:80" ht="12.75" customHeight="1">
      <c r="A189" s="92"/>
      <c r="B189" s="92"/>
      <c r="C189" s="92"/>
      <c r="D189" s="92"/>
      <c r="E189" s="92"/>
      <c r="F189" s="92"/>
      <c r="G189" s="93"/>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c r="BO189" s="92"/>
      <c r="BP189" s="92"/>
      <c r="BQ189" s="92"/>
      <c r="BR189" s="92"/>
      <c r="BS189" s="92"/>
      <c r="BT189" s="92"/>
      <c r="BU189" s="92"/>
      <c r="BV189" s="92"/>
      <c r="BW189" s="92"/>
      <c r="BX189" s="92"/>
      <c r="BY189" s="92"/>
      <c r="BZ189" s="92"/>
      <c r="CA189" s="92"/>
      <c r="CB189" s="92"/>
    </row>
    <row r="190" spans="1:80" ht="12.75" customHeight="1">
      <c r="A190" s="92"/>
      <c r="B190" s="92"/>
      <c r="C190" s="92"/>
      <c r="D190" s="92"/>
      <c r="E190" s="92"/>
      <c r="F190" s="92"/>
      <c r="G190" s="93"/>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2"/>
      <c r="BL190" s="92"/>
      <c r="BM190" s="92"/>
      <c r="BN190" s="92"/>
      <c r="BO190" s="92"/>
      <c r="BP190" s="92"/>
      <c r="BQ190" s="92"/>
      <c r="BR190" s="92"/>
      <c r="BS190" s="92"/>
      <c r="BT190" s="92"/>
      <c r="BU190" s="92"/>
      <c r="BV190" s="92"/>
      <c r="BW190" s="92"/>
      <c r="BX190" s="92"/>
      <c r="BY190" s="92"/>
      <c r="BZ190" s="92"/>
      <c r="CA190" s="92"/>
      <c r="CB190" s="92"/>
    </row>
    <row r="191" spans="1:80" ht="12.75" customHeight="1">
      <c r="A191" s="92"/>
      <c r="B191" s="92"/>
      <c r="C191" s="92"/>
      <c r="D191" s="92"/>
      <c r="E191" s="92"/>
      <c r="F191" s="92"/>
      <c r="G191" s="93" t="s">
        <v>410</v>
      </c>
      <c r="H191" s="92">
        <v>0</v>
      </c>
      <c r="I191" s="92">
        <v>1</v>
      </c>
      <c r="J191" s="92">
        <v>2</v>
      </c>
      <c r="K191" s="92">
        <v>3</v>
      </c>
      <c r="L191" s="92">
        <v>4</v>
      </c>
      <c r="M191" s="92">
        <v>5</v>
      </c>
      <c r="N191" s="92">
        <v>6</v>
      </c>
      <c r="O191" s="92">
        <v>7</v>
      </c>
      <c r="P191" s="92">
        <v>8</v>
      </c>
      <c r="Q191" s="92">
        <v>9</v>
      </c>
      <c r="R191" s="92">
        <v>10</v>
      </c>
      <c r="S191" s="92">
        <v>11</v>
      </c>
      <c r="T191" s="92">
        <v>12</v>
      </c>
      <c r="U191" s="92">
        <v>13</v>
      </c>
      <c r="V191" s="92">
        <v>14</v>
      </c>
      <c r="W191" s="92">
        <v>15</v>
      </c>
      <c r="X191" s="92">
        <v>16</v>
      </c>
      <c r="Y191" s="92">
        <v>17</v>
      </c>
      <c r="Z191" s="92">
        <v>18</v>
      </c>
      <c r="AA191" s="92">
        <v>19</v>
      </c>
      <c r="AB191" s="92">
        <v>20</v>
      </c>
      <c r="AC191" s="92">
        <v>21</v>
      </c>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2"/>
      <c r="BL191" s="92"/>
      <c r="BM191" s="92"/>
      <c r="BN191" s="92"/>
      <c r="BO191" s="92"/>
      <c r="BP191" s="92"/>
      <c r="BQ191" s="92"/>
      <c r="BR191" s="92"/>
      <c r="BS191" s="92"/>
      <c r="BT191" s="92"/>
      <c r="BU191" s="92"/>
      <c r="BV191" s="92"/>
      <c r="BW191" s="92"/>
      <c r="BX191" s="92"/>
      <c r="BY191" s="92"/>
      <c r="BZ191" s="92"/>
      <c r="CA191" s="92"/>
      <c r="CB191" s="92"/>
    </row>
    <row r="192" spans="1:80" ht="12.75" customHeight="1">
      <c r="A192" s="92"/>
      <c r="B192" s="92"/>
      <c r="C192" s="92"/>
      <c r="D192" s="92"/>
      <c r="E192" s="92"/>
      <c r="F192" s="92">
        <v>1</v>
      </c>
      <c r="G192" s="93" t="s">
        <v>300</v>
      </c>
      <c r="H192" s="99">
        <v>1</v>
      </c>
      <c r="I192" s="99">
        <v>1</v>
      </c>
      <c r="J192" s="99">
        <v>1</v>
      </c>
      <c r="K192" s="99">
        <v>1</v>
      </c>
      <c r="L192" s="99">
        <v>1</v>
      </c>
      <c r="M192" s="99">
        <v>2</v>
      </c>
      <c r="N192" s="99">
        <v>3</v>
      </c>
      <c r="O192" s="99">
        <v>3</v>
      </c>
      <c r="P192" s="99">
        <v>4</v>
      </c>
      <c r="Q192" s="99">
        <v>5</v>
      </c>
      <c r="R192" s="99">
        <v>5</v>
      </c>
      <c r="S192" s="99">
        <v>6</v>
      </c>
      <c r="T192" s="99">
        <v>7</v>
      </c>
      <c r="U192" s="99">
        <v>8</v>
      </c>
      <c r="V192" s="99">
        <v>8</v>
      </c>
      <c r="W192" s="99">
        <v>9</v>
      </c>
      <c r="X192" s="99">
        <v>10</v>
      </c>
      <c r="Y192" s="99">
        <v>10</v>
      </c>
      <c r="Z192" s="99">
        <v>10</v>
      </c>
      <c r="AA192" s="99">
        <v>10</v>
      </c>
      <c r="AB192" s="99">
        <v>10</v>
      </c>
      <c r="AC192" s="92" t="s">
        <v>301</v>
      </c>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2"/>
      <c r="BL192" s="92"/>
      <c r="BM192" s="92"/>
      <c r="BN192" s="92"/>
      <c r="BO192" s="92"/>
      <c r="BP192" s="92"/>
      <c r="BQ192" s="92"/>
      <c r="BR192" s="92"/>
      <c r="BS192" s="92"/>
      <c r="BT192" s="92"/>
      <c r="BU192" s="92"/>
      <c r="BV192" s="92"/>
      <c r="BW192" s="92"/>
      <c r="BX192" s="92"/>
      <c r="BY192" s="92"/>
      <c r="BZ192" s="92"/>
      <c r="CA192" s="92"/>
      <c r="CB192" s="92"/>
    </row>
    <row r="193" spans="1:80" ht="12.75" customHeight="1">
      <c r="A193" s="92"/>
      <c r="B193" s="92"/>
      <c r="C193" s="92"/>
      <c r="D193" s="92"/>
      <c r="E193" s="92"/>
      <c r="F193" s="92">
        <v>2</v>
      </c>
      <c r="G193" s="93" t="s">
        <v>303</v>
      </c>
      <c r="H193" s="99">
        <v>1</v>
      </c>
      <c r="I193" s="99">
        <v>1</v>
      </c>
      <c r="J193" s="99">
        <v>1</v>
      </c>
      <c r="K193" s="99">
        <v>1</v>
      </c>
      <c r="L193" s="99">
        <v>1</v>
      </c>
      <c r="M193" s="99">
        <v>2</v>
      </c>
      <c r="N193" s="99">
        <v>3</v>
      </c>
      <c r="O193" s="99">
        <v>3</v>
      </c>
      <c r="P193" s="99">
        <v>4</v>
      </c>
      <c r="Q193" s="99">
        <v>5</v>
      </c>
      <c r="R193" s="99">
        <v>6</v>
      </c>
      <c r="S193" s="99">
        <v>6</v>
      </c>
      <c r="T193" s="99">
        <v>7</v>
      </c>
      <c r="U193" s="99">
        <v>8</v>
      </c>
      <c r="V193" s="99">
        <v>8</v>
      </c>
      <c r="W193" s="99">
        <v>9</v>
      </c>
      <c r="X193" s="99">
        <v>10</v>
      </c>
      <c r="Y193" s="99">
        <v>10</v>
      </c>
      <c r="Z193" s="99">
        <v>10</v>
      </c>
      <c r="AA193" s="99">
        <v>10</v>
      </c>
      <c r="AB193" s="99">
        <v>10</v>
      </c>
      <c r="AC193" s="92" t="s">
        <v>301</v>
      </c>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c r="BO193" s="92"/>
      <c r="BP193" s="92"/>
      <c r="BQ193" s="92"/>
      <c r="BR193" s="92"/>
      <c r="BS193" s="92"/>
      <c r="BT193" s="92"/>
      <c r="BU193" s="92"/>
      <c r="BV193" s="92"/>
      <c r="BW193" s="92"/>
      <c r="BX193" s="92"/>
      <c r="BY193" s="92"/>
      <c r="BZ193" s="92"/>
      <c r="CA193" s="92"/>
      <c r="CB193" s="92"/>
    </row>
    <row r="194" spans="1:80" ht="12.75" customHeight="1">
      <c r="A194" s="92"/>
      <c r="B194" s="92"/>
      <c r="C194" s="92"/>
      <c r="D194" s="92"/>
      <c r="E194" s="92"/>
      <c r="F194" s="92">
        <v>3</v>
      </c>
      <c r="G194" s="93" t="s">
        <v>305</v>
      </c>
      <c r="H194" s="99">
        <v>1</v>
      </c>
      <c r="I194" s="99">
        <v>1</v>
      </c>
      <c r="J194" s="99">
        <v>1</v>
      </c>
      <c r="K194" s="99">
        <v>1</v>
      </c>
      <c r="L194" s="99">
        <v>1</v>
      </c>
      <c r="M194" s="99">
        <v>2</v>
      </c>
      <c r="N194" s="99">
        <v>3</v>
      </c>
      <c r="O194" s="99">
        <v>3</v>
      </c>
      <c r="P194" s="99">
        <v>4</v>
      </c>
      <c r="Q194" s="99">
        <v>5</v>
      </c>
      <c r="R194" s="99">
        <v>5</v>
      </c>
      <c r="S194" s="99">
        <v>6</v>
      </c>
      <c r="T194" s="99">
        <v>7</v>
      </c>
      <c r="U194" s="99">
        <v>8</v>
      </c>
      <c r="V194" s="99">
        <v>8</v>
      </c>
      <c r="W194" s="99">
        <v>9</v>
      </c>
      <c r="X194" s="99">
        <v>10</v>
      </c>
      <c r="Y194" s="99">
        <v>10</v>
      </c>
      <c r="Z194" s="99">
        <v>10</v>
      </c>
      <c r="AA194" s="99">
        <v>10</v>
      </c>
      <c r="AB194" s="99">
        <v>10</v>
      </c>
      <c r="AC194" s="92" t="s">
        <v>301</v>
      </c>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2"/>
      <c r="BL194" s="92"/>
      <c r="BM194" s="92"/>
      <c r="BN194" s="92"/>
      <c r="BO194" s="92"/>
      <c r="BP194" s="92"/>
      <c r="BQ194" s="92"/>
      <c r="BR194" s="92"/>
      <c r="BS194" s="92"/>
      <c r="BT194" s="92"/>
      <c r="BU194" s="92"/>
      <c r="BV194" s="92"/>
      <c r="BW194" s="92"/>
      <c r="BX194" s="92"/>
      <c r="BY194" s="92"/>
      <c r="BZ194" s="92"/>
      <c r="CA194" s="92"/>
      <c r="CB194" s="92"/>
    </row>
    <row r="195" spans="1:80" ht="12.75" customHeight="1">
      <c r="A195" s="92"/>
      <c r="B195" s="92"/>
      <c r="C195" s="92"/>
      <c r="D195" s="92"/>
      <c r="E195" s="92"/>
      <c r="F195" s="92">
        <v>4</v>
      </c>
      <c r="G195" s="93" t="s">
        <v>307</v>
      </c>
      <c r="H195" s="92">
        <v>1</v>
      </c>
      <c r="I195" s="92">
        <v>1</v>
      </c>
      <c r="J195" s="92">
        <v>1</v>
      </c>
      <c r="K195" s="92">
        <v>1</v>
      </c>
      <c r="L195" s="92">
        <v>2</v>
      </c>
      <c r="M195" s="92">
        <v>3</v>
      </c>
      <c r="N195" s="92">
        <v>3</v>
      </c>
      <c r="O195" s="92">
        <v>4</v>
      </c>
      <c r="P195" s="92">
        <v>4</v>
      </c>
      <c r="Q195" s="92">
        <v>5</v>
      </c>
      <c r="R195" s="92">
        <v>6</v>
      </c>
      <c r="S195" s="92">
        <v>6</v>
      </c>
      <c r="T195" s="92">
        <v>7</v>
      </c>
      <c r="U195" s="92">
        <v>7</v>
      </c>
      <c r="V195" s="92">
        <v>8</v>
      </c>
      <c r="W195" s="92">
        <v>9</v>
      </c>
      <c r="X195" s="92">
        <v>9</v>
      </c>
      <c r="Y195" s="92">
        <v>10</v>
      </c>
      <c r="Z195" s="92">
        <v>10</v>
      </c>
      <c r="AA195" s="92">
        <v>10</v>
      </c>
      <c r="AB195" s="92">
        <v>10</v>
      </c>
      <c r="AC195" s="92" t="s">
        <v>301</v>
      </c>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c r="BW195" s="92"/>
      <c r="BX195" s="92"/>
      <c r="BY195" s="92"/>
      <c r="BZ195" s="92"/>
      <c r="CA195" s="92"/>
      <c r="CB195" s="92"/>
    </row>
    <row r="196" spans="1:80" ht="12.75" customHeight="1">
      <c r="A196" s="92"/>
      <c r="B196" s="92"/>
      <c r="C196" s="92"/>
      <c r="D196" s="92"/>
      <c r="E196" s="92"/>
      <c r="F196" s="92">
        <v>5</v>
      </c>
      <c r="G196" s="93" t="s">
        <v>309</v>
      </c>
      <c r="H196" s="92">
        <v>1</v>
      </c>
      <c r="I196" s="92">
        <v>1</v>
      </c>
      <c r="J196" s="92">
        <v>1</v>
      </c>
      <c r="K196" s="92">
        <v>1</v>
      </c>
      <c r="L196" s="92">
        <v>2</v>
      </c>
      <c r="M196" s="92">
        <v>2</v>
      </c>
      <c r="N196" s="92">
        <v>3</v>
      </c>
      <c r="O196" s="92">
        <v>3</v>
      </c>
      <c r="P196" s="92">
        <v>4</v>
      </c>
      <c r="Q196" s="92">
        <v>5</v>
      </c>
      <c r="R196" s="92">
        <v>5</v>
      </c>
      <c r="S196" s="92">
        <v>6</v>
      </c>
      <c r="T196" s="92">
        <v>6</v>
      </c>
      <c r="U196" s="92">
        <v>7</v>
      </c>
      <c r="V196" s="92">
        <v>7</v>
      </c>
      <c r="W196" s="92">
        <v>8</v>
      </c>
      <c r="X196" s="92">
        <v>9</v>
      </c>
      <c r="Y196" s="92">
        <v>10</v>
      </c>
      <c r="Z196" s="92">
        <v>10</v>
      </c>
      <c r="AA196" s="92">
        <v>10</v>
      </c>
      <c r="AB196" s="92">
        <v>10</v>
      </c>
      <c r="AC196" s="92" t="s">
        <v>301</v>
      </c>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2"/>
      <c r="BL196" s="92"/>
      <c r="BM196" s="92"/>
      <c r="BN196" s="92"/>
      <c r="BO196" s="92"/>
      <c r="BP196" s="92"/>
      <c r="BQ196" s="92"/>
      <c r="BR196" s="92"/>
      <c r="BS196" s="92"/>
      <c r="BT196" s="92"/>
      <c r="BU196" s="92"/>
      <c r="BV196" s="92"/>
      <c r="BW196" s="92"/>
      <c r="BX196" s="92"/>
      <c r="BY196" s="92"/>
      <c r="BZ196" s="92"/>
      <c r="CA196" s="92"/>
      <c r="CB196" s="92"/>
    </row>
    <row r="197" spans="1:80" ht="12.75" customHeight="1">
      <c r="A197" s="92"/>
      <c r="B197" s="92"/>
      <c r="C197" s="92"/>
      <c r="D197" s="92"/>
      <c r="E197" s="92"/>
      <c r="F197" s="92">
        <v>6</v>
      </c>
      <c r="G197" s="93" t="s">
        <v>311</v>
      </c>
      <c r="H197" s="92">
        <v>1</v>
      </c>
      <c r="I197" s="92">
        <v>1</v>
      </c>
      <c r="J197" s="92">
        <v>1</v>
      </c>
      <c r="K197" s="92">
        <v>1</v>
      </c>
      <c r="L197" s="92">
        <v>1</v>
      </c>
      <c r="M197" s="92">
        <v>1</v>
      </c>
      <c r="N197" s="92">
        <v>2</v>
      </c>
      <c r="O197" s="92">
        <v>3</v>
      </c>
      <c r="P197" s="92">
        <v>3</v>
      </c>
      <c r="Q197" s="92">
        <v>4</v>
      </c>
      <c r="R197" s="92">
        <v>5</v>
      </c>
      <c r="S197" s="92">
        <v>5</v>
      </c>
      <c r="T197" s="92">
        <v>6</v>
      </c>
      <c r="U197" s="92">
        <v>7</v>
      </c>
      <c r="V197" s="92">
        <v>7</v>
      </c>
      <c r="W197" s="92">
        <v>8</v>
      </c>
      <c r="X197" s="92">
        <v>8</v>
      </c>
      <c r="Y197" s="92">
        <v>9</v>
      </c>
      <c r="Z197" s="92">
        <v>10</v>
      </c>
      <c r="AA197" s="92">
        <v>10</v>
      </c>
      <c r="AB197" s="92">
        <v>10</v>
      </c>
      <c r="AC197" s="92" t="s">
        <v>301</v>
      </c>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c r="BO197" s="92"/>
      <c r="BP197" s="92"/>
      <c r="BQ197" s="92"/>
      <c r="BR197" s="92"/>
      <c r="BS197" s="92"/>
      <c r="BT197" s="92"/>
      <c r="BU197" s="92"/>
      <c r="BV197" s="92"/>
      <c r="BW197" s="92"/>
      <c r="BX197" s="92"/>
      <c r="BY197" s="92"/>
      <c r="BZ197" s="92"/>
      <c r="CA197" s="92"/>
      <c r="CB197" s="92"/>
    </row>
    <row r="198" spans="1:80" ht="12.75" customHeight="1">
      <c r="A198" s="92"/>
      <c r="B198" s="92"/>
      <c r="C198" s="92"/>
      <c r="D198" s="92"/>
      <c r="E198" s="92"/>
      <c r="F198" s="92">
        <v>7</v>
      </c>
      <c r="G198" s="93" t="s">
        <v>313</v>
      </c>
      <c r="H198" s="92">
        <v>1</v>
      </c>
      <c r="I198" s="92">
        <v>1</v>
      </c>
      <c r="J198" s="92">
        <v>1</v>
      </c>
      <c r="K198" s="92">
        <v>1</v>
      </c>
      <c r="L198" s="92">
        <v>2</v>
      </c>
      <c r="M198" s="92">
        <v>2</v>
      </c>
      <c r="N198" s="92">
        <v>2</v>
      </c>
      <c r="O198" s="92">
        <v>3</v>
      </c>
      <c r="P198" s="92">
        <v>4</v>
      </c>
      <c r="Q198" s="92">
        <v>4</v>
      </c>
      <c r="R198" s="92">
        <v>5</v>
      </c>
      <c r="S198" s="92">
        <v>6</v>
      </c>
      <c r="T198" s="92">
        <v>6</v>
      </c>
      <c r="U198" s="92">
        <v>7</v>
      </c>
      <c r="V198" s="92">
        <v>8</v>
      </c>
      <c r="W198" s="92">
        <v>8</v>
      </c>
      <c r="X198" s="92">
        <v>9</v>
      </c>
      <c r="Y198" s="92">
        <v>10</v>
      </c>
      <c r="Z198" s="92">
        <v>10</v>
      </c>
      <c r="AA198" s="92">
        <v>10</v>
      </c>
      <c r="AB198" s="92">
        <v>10</v>
      </c>
      <c r="AC198" s="92" t="s">
        <v>301</v>
      </c>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2"/>
      <c r="BL198" s="92"/>
      <c r="BM198" s="92"/>
      <c r="BN198" s="92"/>
      <c r="BO198" s="92"/>
      <c r="BP198" s="92"/>
      <c r="BQ198" s="92"/>
      <c r="BR198" s="92"/>
      <c r="BS198" s="92"/>
      <c r="BT198" s="92"/>
      <c r="BU198" s="92"/>
      <c r="BV198" s="92"/>
      <c r="BW198" s="92"/>
      <c r="BX198" s="92"/>
      <c r="BY198" s="92"/>
      <c r="BZ198" s="92"/>
      <c r="CA198" s="92"/>
      <c r="CB198" s="92"/>
    </row>
    <row r="199" spans="1:80" ht="12.75" customHeight="1">
      <c r="A199" s="92"/>
      <c r="B199" s="92"/>
      <c r="C199" s="92"/>
      <c r="D199" s="92"/>
      <c r="E199" s="92"/>
      <c r="F199" s="92">
        <v>8</v>
      </c>
      <c r="G199" s="93" t="s">
        <v>315</v>
      </c>
      <c r="H199" s="92">
        <v>1</v>
      </c>
      <c r="I199" s="92">
        <v>1</v>
      </c>
      <c r="J199" s="92">
        <v>1</v>
      </c>
      <c r="K199" s="92">
        <v>1</v>
      </c>
      <c r="L199" s="92">
        <v>2</v>
      </c>
      <c r="M199" s="92">
        <v>2</v>
      </c>
      <c r="N199" s="92">
        <v>3</v>
      </c>
      <c r="O199" s="92">
        <v>4</v>
      </c>
      <c r="P199" s="92">
        <v>4</v>
      </c>
      <c r="Q199" s="92">
        <v>5</v>
      </c>
      <c r="R199" s="92">
        <v>6</v>
      </c>
      <c r="S199" s="92">
        <v>6</v>
      </c>
      <c r="T199" s="92">
        <v>7</v>
      </c>
      <c r="U199" s="92">
        <v>8</v>
      </c>
      <c r="V199" s="92">
        <v>8</v>
      </c>
      <c r="W199" s="92">
        <v>9</v>
      </c>
      <c r="X199" s="92">
        <v>9</v>
      </c>
      <c r="Y199" s="92">
        <v>10</v>
      </c>
      <c r="Z199" s="92">
        <v>10</v>
      </c>
      <c r="AA199" s="92">
        <v>10</v>
      </c>
      <c r="AB199" s="92">
        <v>10</v>
      </c>
      <c r="AC199" s="92" t="s">
        <v>301</v>
      </c>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2"/>
      <c r="BL199" s="92"/>
      <c r="BM199" s="92"/>
      <c r="BN199" s="92"/>
      <c r="BO199" s="92"/>
      <c r="BP199" s="92"/>
      <c r="BQ199" s="92"/>
      <c r="BR199" s="92"/>
      <c r="BS199" s="92"/>
      <c r="BT199" s="92"/>
      <c r="BU199" s="92"/>
      <c r="BV199" s="92"/>
      <c r="BW199" s="92"/>
      <c r="BX199" s="92"/>
      <c r="BY199" s="92"/>
      <c r="BZ199" s="92"/>
      <c r="CA199" s="92"/>
      <c r="CB199" s="92"/>
    </row>
    <row r="200" spans="1:80" ht="12.75" customHeight="1">
      <c r="A200" s="92"/>
      <c r="B200" s="92"/>
      <c r="C200" s="92"/>
      <c r="D200" s="92"/>
      <c r="E200" s="92"/>
      <c r="F200" s="92">
        <v>9</v>
      </c>
      <c r="G200" s="93" t="s">
        <v>318</v>
      </c>
      <c r="H200" s="92">
        <v>1</v>
      </c>
      <c r="I200" s="92">
        <v>1</v>
      </c>
      <c r="J200" s="92">
        <v>1</v>
      </c>
      <c r="K200" s="92">
        <v>1</v>
      </c>
      <c r="L200" s="92">
        <v>2</v>
      </c>
      <c r="M200" s="92">
        <v>3</v>
      </c>
      <c r="N200" s="92">
        <v>3</v>
      </c>
      <c r="O200" s="92">
        <v>4</v>
      </c>
      <c r="P200" s="92">
        <v>5</v>
      </c>
      <c r="Q200" s="92">
        <v>6</v>
      </c>
      <c r="R200" s="92">
        <v>6</v>
      </c>
      <c r="S200" s="92">
        <v>7</v>
      </c>
      <c r="T200" s="92">
        <v>8</v>
      </c>
      <c r="U200" s="92">
        <v>9</v>
      </c>
      <c r="V200" s="92">
        <v>9</v>
      </c>
      <c r="W200" s="92">
        <v>10</v>
      </c>
      <c r="X200" s="92">
        <v>10</v>
      </c>
      <c r="Y200" s="92">
        <v>10</v>
      </c>
      <c r="Z200" s="92">
        <v>10</v>
      </c>
      <c r="AA200" s="92">
        <v>10</v>
      </c>
      <c r="AB200" s="92">
        <v>10</v>
      </c>
      <c r="AC200" s="92" t="s">
        <v>301</v>
      </c>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row>
    <row r="201" spans="1:80" ht="12.75" customHeight="1">
      <c r="A201" s="92"/>
      <c r="B201" s="92"/>
      <c r="C201" s="92"/>
      <c r="D201" s="92"/>
      <c r="E201" s="92"/>
      <c r="F201" s="92">
        <v>10</v>
      </c>
      <c r="G201" s="93" t="s">
        <v>320</v>
      </c>
      <c r="H201" s="92">
        <v>1</v>
      </c>
      <c r="I201" s="92">
        <v>1</v>
      </c>
      <c r="J201" s="92">
        <v>1</v>
      </c>
      <c r="K201" s="92">
        <v>2</v>
      </c>
      <c r="L201" s="92">
        <v>2</v>
      </c>
      <c r="M201" s="92">
        <v>3</v>
      </c>
      <c r="N201" s="92">
        <v>4</v>
      </c>
      <c r="O201" s="92">
        <v>4</v>
      </c>
      <c r="P201" s="92">
        <v>5</v>
      </c>
      <c r="Q201" s="92">
        <v>5</v>
      </c>
      <c r="R201" s="92">
        <v>6</v>
      </c>
      <c r="S201" s="92">
        <v>7</v>
      </c>
      <c r="T201" s="92">
        <v>7</v>
      </c>
      <c r="U201" s="92">
        <v>8</v>
      </c>
      <c r="V201" s="92">
        <v>9</v>
      </c>
      <c r="W201" s="92">
        <v>9</v>
      </c>
      <c r="X201" s="92">
        <v>10</v>
      </c>
      <c r="Y201" s="92">
        <v>10</v>
      </c>
      <c r="Z201" s="92">
        <v>10</v>
      </c>
      <c r="AA201" s="92">
        <v>10</v>
      </c>
      <c r="AB201" s="92">
        <v>10</v>
      </c>
      <c r="AC201" s="92" t="s">
        <v>301</v>
      </c>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c r="BO201" s="92"/>
      <c r="BP201" s="92"/>
      <c r="BQ201" s="92"/>
      <c r="BR201" s="92"/>
      <c r="BS201" s="92"/>
      <c r="BT201" s="92"/>
      <c r="BU201" s="92"/>
      <c r="BV201" s="92"/>
      <c r="BW201" s="92"/>
      <c r="BX201" s="92"/>
      <c r="BY201" s="92"/>
      <c r="BZ201" s="92"/>
      <c r="CA201" s="92"/>
      <c r="CB201" s="92"/>
    </row>
    <row r="202" spans="1:80" ht="12.75" customHeight="1">
      <c r="A202" s="92"/>
      <c r="B202" s="92"/>
      <c r="C202" s="92"/>
      <c r="D202" s="92"/>
      <c r="E202" s="92"/>
      <c r="F202" s="92">
        <v>11</v>
      </c>
      <c r="G202" s="93" t="s">
        <v>322</v>
      </c>
      <c r="H202" s="92">
        <v>1</v>
      </c>
      <c r="I202" s="92">
        <v>1</v>
      </c>
      <c r="J202" s="92">
        <v>1</v>
      </c>
      <c r="K202" s="92">
        <v>1</v>
      </c>
      <c r="L202" s="92">
        <v>2</v>
      </c>
      <c r="M202" s="92">
        <v>3</v>
      </c>
      <c r="N202" s="92">
        <v>3</v>
      </c>
      <c r="O202" s="92">
        <v>4</v>
      </c>
      <c r="P202" s="92">
        <v>5</v>
      </c>
      <c r="Q202" s="92">
        <v>6</v>
      </c>
      <c r="R202" s="92">
        <v>6</v>
      </c>
      <c r="S202" s="92">
        <v>7</v>
      </c>
      <c r="T202" s="92">
        <v>8</v>
      </c>
      <c r="U202" s="92">
        <v>9</v>
      </c>
      <c r="V202" s="92">
        <v>9</v>
      </c>
      <c r="W202" s="92">
        <v>10</v>
      </c>
      <c r="X202" s="92">
        <v>10</v>
      </c>
      <c r="Y202" s="92">
        <v>10</v>
      </c>
      <c r="Z202" s="92">
        <v>10</v>
      </c>
      <c r="AA202" s="92">
        <v>10</v>
      </c>
      <c r="AB202" s="92">
        <v>10</v>
      </c>
      <c r="AC202" s="92" t="s">
        <v>301</v>
      </c>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2"/>
      <c r="BL202" s="92"/>
      <c r="BM202" s="92"/>
      <c r="BN202" s="92"/>
      <c r="BO202" s="92"/>
      <c r="BP202" s="92"/>
      <c r="BQ202" s="92"/>
      <c r="BR202" s="92"/>
      <c r="BS202" s="92"/>
      <c r="BT202" s="92"/>
      <c r="BU202" s="92"/>
      <c r="BV202" s="92"/>
      <c r="BW202" s="92"/>
      <c r="BX202" s="92"/>
      <c r="BY202" s="92"/>
      <c r="BZ202" s="92"/>
      <c r="CA202" s="92"/>
      <c r="CB202" s="92"/>
    </row>
    <row r="203" spans="1:80" ht="12.75" customHeight="1">
      <c r="A203" s="92"/>
      <c r="B203" s="92"/>
      <c r="C203" s="92"/>
      <c r="D203" s="92"/>
      <c r="E203" s="92"/>
      <c r="F203" s="92">
        <v>12</v>
      </c>
      <c r="G203" s="93" t="s">
        <v>324</v>
      </c>
      <c r="H203" s="92">
        <v>1</v>
      </c>
      <c r="I203" s="92">
        <v>1</v>
      </c>
      <c r="J203" s="92">
        <v>1</v>
      </c>
      <c r="K203" s="92">
        <v>2</v>
      </c>
      <c r="L203" s="92">
        <v>2</v>
      </c>
      <c r="M203" s="92">
        <v>3</v>
      </c>
      <c r="N203" s="92">
        <v>4</v>
      </c>
      <c r="O203" s="92">
        <v>4</v>
      </c>
      <c r="P203" s="92">
        <v>5</v>
      </c>
      <c r="Q203" s="92">
        <v>6</v>
      </c>
      <c r="R203" s="92">
        <v>6</v>
      </c>
      <c r="S203" s="92">
        <v>7</v>
      </c>
      <c r="T203" s="92">
        <v>8</v>
      </c>
      <c r="U203" s="92">
        <v>8</v>
      </c>
      <c r="V203" s="92">
        <v>9</v>
      </c>
      <c r="W203" s="92">
        <v>9</v>
      </c>
      <c r="X203" s="92">
        <v>10</v>
      </c>
      <c r="Y203" s="92">
        <v>10</v>
      </c>
      <c r="Z203" s="92">
        <v>10</v>
      </c>
      <c r="AA203" s="92">
        <v>10</v>
      </c>
      <c r="AB203" s="92">
        <v>10</v>
      </c>
      <c r="AC203" s="92" t="s">
        <v>301</v>
      </c>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2"/>
      <c r="BL203" s="92"/>
      <c r="BM203" s="92"/>
      <c r="BN203" s="92"/>
      <c r="BO203" s="92"/>
      <c r="BP203" s="92"/>
      <c r="BQ203" s="92"/>
      <c r="BR203" s="92"/>
      <c r="BS203" s="92"/>
      <c r="BT203" s="92"/>
      <c r="BU203" s="92"/>
      <c r="BV203" s="92"/>
      <c r="BW203" s="92"/>
      <c r="BX203" s="92"/>
      <c r="BY203" s="92"/>
      <c r="BZ203" s="92"/>
      <c r="CA203" s="92"/>
      <c r="CB203" s="92"/>
    </row>
    <row r="204" spans="1:80" ht="12.75" customHeight="1">
      <c r="A204" s="92"/>
      <c r="B204" s="92"/>
      <c r="C204" s="92"/>
      <c r="D204" s="92"/>
      <c r="E204" s="92"/>
      <c r="F204" s="92">
        <v>13</v>
      </c>
      <c r="G204" s="93" t="s">
        <v>326</v>
      </c>
      <c r="H204" s="92">
        <v>1</v>
      </c>
      <c r="I204" s="92">
        <v>1</v>
      </c>
      <c r="J204" s="92">
        <v>1</v>
      </c>
      <c r="K204" s="92">
        <v>1</v>
      </c>
      <c r="L204" s="92">
        <v>2</v>
      </c>
      <c r="M204" s="92">
        <v>3</v>
      </c>
      <c r="N204" s="92">
        <v>4</v>
      </c>
      <c r="O204" s="92">
        <v>5</v>
      </c>
      <c r="P204" s="92">
        <v>5</v>
      </c>
      <c r="Q204" s="92">
        <v>6</v>
      </c>
      <c r="R204" s="92">
        <v>6</v>
      </c>
      <c r="S204" s="92">
        <v>7</v>
      </c>
      <c r="T204" s="92">
        <v>7</v>
      </c>
      <c r="U204" s="92">
        <v>8</v>
      </c>
      <c r="V204" s="92">
        <v>9</v>
      </c>
      <c r="W204" s="92">
        <v>9</v>
      </c>
      <c r="X204" s="92">
        <v>9</v>
      </c>
      <c r="Y204" s="92">
        <v>10</v>
      </c>
      <c r="Z204" s="92">
        <v>10</v>
      </c>
      <c r="AA204" s="92">
        <v>10</v>
      </c>
      <c r="AB204" s="92">
        <v>10</v>
      </c>
      <c r="AC204" s="92" t="s">
        <v>301</v>
      </c>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2"/>
      <c r="BL204" s="92"/>
      <c r="BM204" s="92"/>
      <c r="BN204" s="92"/>
      <c r="BO204" s="92"/>
      <c r="BP204" s="92"/>
      <c r="BQ204" s="92"/>
      <c r="BR204" s="92"/>
      <c r="BS204" s="92"/>
      <c r="BT204" s="92"/>
      <c r="BU204" s="92"/>
      <c r="BV204" s="92"/>
      <c r="BW204" s="92"/>
      <c r="BX204" s="92"/>
      <c r="BY204" s="92"/>
      <c r="BZ204" s="92"/>
      <c r="CA204" s="92"/>
      <c r="CB204" s="92"/>
    </row>
    <row r="205" spans="1:80" ht="12.75" customHeight="1">
      <c r="A205" s="92"/>
      <c r="B205" s="92"/>
      <c r="C205" s="92"/>
      <c r="D205" s="92"/>
      <c r="E205" s="92"/>
      <c r="F205" s="92">
        <v>14</v>
      </c>
      <c r="G205" s="93" t="s">
        <v>328</v>
      </c>
      <c r="H205" s="92">
        <v>1</v>
      </c>
      <c r="I205" s="92">
        <v>1</v>
      </c>
      <c r="J205" s="92">
        <v>1</v>
      </c>
      <c r="K205" s="92">
        <v>1</v>
      </c>
      <c r="L205" s="92">
        <v>2</v>
      </c>
      <c r="M205" s="92">
        <v>2</v>
      </c>
      <c r="N205" s="92">
        <v>3</v>
      </c>
      <c r="O205" s="92">
        <v>4</v>
      </c>
      <c r="P205" s="92">
        <v>4</v>
      </c>
      <c r="Q205" s="92">
        <v>5</v>
      </c>
      <c r="R205" s="92">
        <v>5</v>
      </c>
      <c r="S205" s="92">
        <v>6</v>
      </c>
      <c r="T205" s="92">
        <v>7</v>
      </c>
      <c r="U205" s="92">
        <v>7</v>
      </c>
      <c r="V205" s="92">
        <v>8</v>
      </c>
      <c r="W205" s="92">
        <v>9</v>
      </c>
      <c r="X205" s="92">
        <v>9</v>
      </c>
      <c r="Y205" s="92">
        <v>10</v>
      </c>
      <c r="Z205" s="92">
        <v>10</v>
      </c>
      <c r="AA205" s="92">
        <v>10</v>
      </c>
      <c r="AB205" s="92">
        <v>10</v>
      </c>
      <c r="AC205" s="92" t="s">
        <v>301</v>
      </c>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2"/>
      <c r="BL205" s="92"/>
      <c r="BM205" s="92"/>
      <c r="BN205" s="92"/>
      <c r="BO205" s="92"/>
      <c r="BP205" s="92"/>
      <c r="BQ205" s="92"/>
      <c r="BR205" s="92"/>
      <c r="BS205" s="92"/>
      <c r="BT205" s="92"/>
      <c r="BU205" s="92"/>
      <c r="BV205" s="92"/>
      <c r="BW205" s="92"/>
      <c r="BX205" s="92"/>
      <c r="BY205" s="92"/>
      <c r="BZ205" s="92"/>
      <c r="CA205" s="92"/>
      <c r="CB205" s="92"/>
    </row>
    <row r="206" spans="1:80" ht="12.75" customHeight="1">
      <c r="A206" s="92"/>
      <c r="B206" s="92"/>
      <c r="C206" s="92"/>
      <c r="D206" s="92"/>
      <c r="E206" s="92"/>
      <c r="F206" s="92">
        <v>15</v>
      </c>
      <c r="G206" s="93" t="s">
        <v>330</v>
      </c>
      <c r="H206" s="92">
        <v>1</v>
      </c>
      <c r="I206" s="92">
        <v>1</v>
      </c>
      <c r="J206" s="92">
        <v>1</v>
      </c>
      <c r="K206" s="92">
        <v>1</v>
      </c>
      <c r="L206" s="92">
        <v>2</v>
      </c>
      <c r="M206" s="92">
        <v>2</v>
      </c>
      <c r="N206" s="92">
        <v>3</v>
      </c>
      <c r="O206" s="92">
        <v>4</v>
      </c>
      <c r="P206" s="92">
        <v>4</v>
      </c>
      <c r="Q206" s="92">
        <v>5</v>
      </c>
      <c r="R206" s="92">
        <v>6</v>
      </c>
      <c r="S206" s="92">
        <v>6</v>
      </c>
      <c r="T206" s="92">
        <v>7</v>
      </c>
      <c r="U206" s="92">
        <v>8</v>
      </c>
      <c r="V206" s="92">
        <v>8</v>
      </c>
      <c r="W206" s="92">
        <v>9</v>
      </c>
      <c r="X206" s="92">
        <v>10</v>
      </c>
      <c r="Y206" s="92">
        <v>10</v>
      </c>
      <c r="Z206" s="92">
        <v>10</v>
      </c>
      <c r="AA206" s="92">
        <v>10</v>
      </c>
      <c r="AB206" s="92">
        <v>10</v>
      </c>
      <c r="AC206" s="92" t="s">
        <v>301</v>
      </c>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2"/>
      <c r="BL206" s="92"/>
      <c r="BM206" s="92"/>
      <c r="BN206" s="92"/>
      <c r="BO206" s="92"/>
      <c r="BP206" s="92"/>
      <c r="BQ206" s="92"/>
      <c r="BR206" s="92"/>
      <c r="BS206" s="92"/>
      <c r="BT206" s="92"/>
      <c r="BU206" s="92"/>
      <c r="BV206" s="92"/>
      <c r="BW206" s="92"/>
      <c r="BX206" s="92"/>
      <c r="BY206" s="92"/>
      <c r="BZ206" s="92"/>
      <c r="CA206" s="92"/>
      <c r="CB206" s="92"/>
    </row>
    <row r="207" spans="1:80" ht="12.75" customHeight="1">
      <c r="A207" s="92"/>
      <c r="B207" s="92"/>
      <c r="C207" s="92"/>
      <c r="D207" s="92"/>
      <c r="E207" s="92"/>
      <c r="F207" s="92">
        <v>16</v>
      </c>
      <c r="G207" s="93" t="s">
        <v>341</v>
      </c>
      <c r="H207" s="92">
        <v>2</v>
      </c>
      <c r="I207" s="92">
        <v>3</v>
      </c>
      <c r="J207" s="92">
        <v>3</v>
      </c>
      <c r="K207" s="92">
        <v>4</v>
      </c>
      <c r="L207" s="92">
        <v>4</v>
      </c>
      <c r="M207" s="92">
        <v>4</v>
      </c>
      <c r="N207" s="92">
        <v>4</v>
      </c>
      <c r="O207" s="92">
        <v>5</v>
      </c>
      <c r="P207" s="92">
        <v>5</v>
      </c>
      <c r="Q207" s="92">
        <v>6</v>
      </c>
      <c r="R207" s="92">
        <v>6</v>
      </c>
      <c r="S207" s="92">
        <v>6</v>
      </c>
      <c r="T207" s="92">
        <v>7</v>
      </c>
      <c r="U207" s="92">
        <v>7</v>
      </c>
      <c r="V207" s="92">
        <v>7</v>
      </c>
      <c r="W207" s="92">
        <v>8</v>
      </c>
      <c r="X207" s="92">
        <v>8</v>
      </c>
      <c r="Y207" s="92">
        <v>9</v>
      </c>
      <c r="Z207" s="92">
        <v>9</v>
      </c>
      <c r="AA207" s="92">
        <v>10</v>
      </c>
      <c r="AB207" s="92">
        <v>10</v>
      </c>
      <c r="AC207" s="92" t="s">
        <v>301</v>
      </c>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c r="BO207" s="92"/>
      <c r="BP207" s="92"/>
      <c r="BQ207" s="92"/>
      <c r="BR207" s="92"/>
      <c r="BS207" s="92"/>
      <c r="BT207" s="92"/>
      <c r="BU207" s="92"/>
      <c r="BV207" s="92"/>
      <c r="BW207" s="92"/>
      <c r="BX207" s="92"/>
      <c r="BY207" s="92"/>
      <c r="BZ207" s="92"/>
      <c r="CA207" s="92"/>
      <c r="CB207" s="92"/>
    </row>
    <row r="208" spans="1:80" ht="12.75" customHeight="1">
      <c r="A208" s="92"/>
      <c r="B208" s="92"/>
      <c r="C208" s="92"/>
      <c r="D208" s="92"/>
      <c r="E208" s="92"/>
      <c r="F208" s="92">
        <v>17</v>
      </c>
      <c r="G208" s="93" t="s">
        <v>343</v>
      </c>
      <c r="H208" s="92">
        <v>1</v>
      </c>
      <c r="I208" s="92">
        <v>2</v>
      </c>
      <c r="J208" s="92">
        <v>2</v>
      </c>
      <c r="K208" s="92">
        <v>3</v>
      </c>
      <c r="L208" s="92">
        <v>3</v>
      </c>
      <c r="M208" s="92">
        <v>3</v>
      </c>
      <c r="N208" s="92">
        <v>4</v>
      </c>
      <c r="O208" s="92">
        <v>4</v>
      </c>
      <c r="P208" s="92">
        <v>4</v>
      </c>
      <c r="Q208" s="92">
        <v>4</v>
      </c>
      <c r="R208" s="92">
        <v>5</v>
      </c>
      <c r="S208" s="92">
        <v>5</v>
      </c>
      <c r="T208" s="92">
        <v>6</v>
      </c>
      <c r="U208" s="92">
        <v>6</v>
      </c>
      <c r="V208" s="92">
        <v>6</v>
      </c>
      <c r="W208" s="92">
        <v>7</v>
      </c>
      <c r="X208" s="92">
        <v>7</v>
      </c>
      <c r="Y208" s="92">
        <v>8</v>
      </c>
      <c r="Z208" s="92">
        <v>8</v>
      </c>
      <c r="AA208" s="92">
        <v>9</v>
      </c>
      <c r="AB208" s="92">
        <v>10</v>
      </c>
      <c r="AC208" s="92" t="s">
        <v>301</v>
      </c>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2"/>
      <c r="BL208" s="92"/>
      <c r="BM208" s="92"/>
      <c r="BN208" s="92"/>
      <c r="BO208" s="92"/>
      <c r="BP208" s="92"/>
      <c r="BQ208" s="92"/>
      <c r="BR208" s="92"/>
      <c r="BS208" s="92"/>
      <c r="BT208" s="92"/>
      <c r="BU208" s="92"/>
      <c r="BV208" s="92"/>
      <c r="BW208" s="92"/>
      <c r="BX208" s="92"/>
      <c r="BY208" s="92"/>
      <c r="BZ208" s="92"/>
      <c r="CA208" s="92"/>
      <c r="CB208" s="92"/>
    </row>
    <row r="209" spans="1:80" ht="12.75" customHeight="1">
      <c r="A209" s="92"/>
      <c r="B209" s="92"/>
      <c r="C209" s="92"/>
      <c r="D209" s="92"/>
      <c r="E209" s="92"/>
      <c r="F209" s="92">
        <v>18</v>
      </c>
      <c r="G209" s="93" t="s">
        <v>348</v>
      </c>
      <c r="H209" s="92">
        <v>2</v>
      </c>
      <c r="I209" s="92">
        <v>3</v>
      </c>
      <c r="J209" s="92">
        <v>3</v>
      </c>
      <c r="K209" s="92">
        <v>4</v>
      </c>
      <c r="L209" s="92">
        <v>4</v>
      </c>
      <c r="M209" s="92">
        <v>4</v>
      </c>
      <c r="N209" s="92">
        <v>4</v>
      </c>
      <c r="O209" s="92">
        <v>4</v>
      </c>
      <c r="P209" s="92">
        <v>5</v>
      </c>
      <c r="Q209" s="92">
        <v>5</v>
      </c>
      <c r="R209" s="92">
        <v>6</v>
      </c>
      <c r="S209" s="92">
        <v>6</v>
      </c>
      <c r="T209" s="92">
        <v>6</v>
      </c>
      <c r="U209" s="92">
        <v>7</v>
      </c>
      <c r="V209" s="92">
        <v>7</v>
      </c>
      <c r="W209" s="92">
        <v>7</v>
      </c>
      <c r="X209" s="92">
        <v>8</v>
      </c>
      <c r="Y209" s="92">
        <v>8</v>
      </c>
      <c r="Z209" s="92">
        <v>9</v>
      </c>
      <c r="AA209" s="92">
        <v>10</v>
      </c>
      <c r="AB209" s="92">
        <v>10</v>
      </c>
      <c r="AC209" s="92" t="s">
        <v>301</v>
      </c>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row>
    <row r="210" spans="1:80" ht="12.75" customHeight="1">
      <c r="A210" s="92"/>
      <c r="B210" s="92"/>
      <c r="C210" s="92"/>
      <c r="D210" s="92"/>
      <c r="E210" s="92"/>
      <c r="F210" s="92"/>
      <c r="G210" s="93"/>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2"/>
      <c r="BL210" s="92"/>
      <c r="BM210" s="92"/>
      <c r="BN210" s="92"/>
      <c r="BO210" s="92"/>
      <c r="BP210" s="92"/>
      <c r="BQ210" s="92"/>
      <c r="BR210" s="92"/>
      <c r="BS210" s="92"/>
      <c r="BT210" s="92"/>
      <c r="BU210" s="92"/>
      <c r="BV210" s="92"/>
      <c r="BW210" s="92"/>
      <c r="BX210" s="92"/>
      <c r="BY210" s="92"/>
      <c r="BZ210" s="92"/>
      <c r="CA210" s="92"/>
      <c r="CB210" s="92"/>
    </row>
    <row r="211" spans="1:80" ht="12.75" customHeight="1">
      <c r="A211" s="92"/>
      <c r="B211" s="92"/>
      <c r="C211" s="92"/>
      <c r="D211" s="92"/>
      <c r="E211" s="92"/>
      <c r="F211" s="92"/>
      <c r="G211" s="93"/>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c r="BO211" s="92"/>
      <c r="BP211" s="92"/>
      <c r="BQ211" s="92"/>
      <c r="BR211" s="92"/>
      <c r="BS211" s="92"/>
      <c r="BT211" s="92"/>
      <c r="BU211" s="92"/>
      <c r="BV211" s="92"/>
      <c r="BW211" s="92"/>
      <c r="BX211" s="92"/>
      <c r="BY211" s="92"/>
      <c r="BZ211" s="92"/>
      <c r="CA211" s="92"/>
      <c r="CB211" s="92"/>
    </row>
    <row r="212" spans="1:80" ht="12.75" customHeight="1">
      <c r="A212" s="92"/>
      <c r="B212" s="92"/>
      <c r="C212" s="92"/>
      <c r="D212" s="92"/>
      <c r="E212" s="92"/>
      <c r="F212" s="92"/>
      <c r="G212" s="93"/>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2"/>
      <c r="BL212" s="92"/>
      <c r="BM212" s="92"/>
      <c r="BN212" s="92"/>
      <c r="BO212" s="92"/>
      <c r="BP212" s="92"/>
      <c r="BQ212" s="92"/>
      <c r="BR212" s="92"/>
      <c r="BS212" s="92"/>
      <c r="BT212" s="92"/>
      <c r="BU212" s="92"/>
      <c r="BV212" s="92"/>
      <c r="BW212" s="92"/>
      <c r="BX212" s="92"/>
      <c r="BY212" s="92"/>
      <c r="BZ212" s="92"/>
      <c r="CA212" s="92"/>
      <c r="CB212" s="92"/>
    </row>
    <row r="213" spans="1:80" ht="12.75" customHeight="1">
      <c r="A213" s="92"/>
      <c r="B213" s="92"/>
      <c r="C213" s="92"/>
      <c r="D213" s="92"/>
      <c r="E213" s="92"/>
      <c r="F213" s="92"/>
      <c r="G213" s="93"/>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2"/>
      <c r="BL213" s="92"/>
      <c r="BM213" s="92"/>
      <c r="BN213" s="92"/>
      <c r="BO213" s="92"/>
      <c r="BP213" s="92"/>
      <c r="BQ213" s="92"/>
      <c r="BR213" s="92"/>
      <c r="BS213" s="92"/>
      <c r="BT213" s="92"/>
      <c r="BU213" s="92"/>
      <c r="BV213" s="92"/>
      <c r="BW213" s="92"/>
      <c r="BX213" s="92"/>
      <c r="BY213" s="92"/>
      <c r="BZ213" s="92"/>
      <c r="CA213" s="92"/>
      <c r="CB213" s="92"/>
    </row>
    <row r="214" spans="1:80" ht="12.75" customHeight="1">
      <c r="A214" s="92"/>
      <c r="B214" s="92"/>
      <c r="C214" s="92"/>
      <c r="D214" s="92"/>
      <c r="E214" s="92"/>
      <c r="F214" s="92"/>
      <c r="G214" s="93" t="s">
        <v>411</v>
      </c>
      <c r="H214" s="92">
        <v>0</v>
      </c>
      <c r="I214" s="92">
        <v>1</v>
      </c>
      <c r="J214" s="92">
        <v>2</v>
      </c>
      <c r="K214" s="92">
        <v>3</v>
      </c>
      <c r="L214" s="92">
        <v>4</v>
      </c>
      <c r="M214" s="92">
        <v>5</v>
      </c>
      <c r="N214" s="92">
        <v>6</v>
      </c>
      <c r="O214" s="92">
        <v>7</v>
      </c>
      <c r="P214" s="92">
        <v>8</v>
      </c>
      <c r="Q214" s="92">
        <v>9</v>
      </c>
      <c r="R214" s="92">
        <v>10</v>
      </c>
      <c r="S214" s="92">
        <v>11</v>
      </c>
      <c r="T214" s="92">
        <v>12</v>
      </c>
      <c r="U214" s="92">
        <v>13</v>
      </c>
      <c r="V214" s="92">
        <v>14</v>
      </c>
      <c r="W214" s="92">
        <v>15</v>
      </c>
      <c r="X214" s="92">
        <v>16</v>
      </c>
      <c r="Y214" s="92">
        <v>17</v>
      </c>
      <c r="Z214" s="92">
        <v>18</v>
      </c>
      <c r="AA214" s="92">
        <v>19</v>
      </c>
      <c r="AB214" s="92">
        <v>20</v>
      </c>
      <c r="AC214" s="92">
        <v>21</v>
      </c>
      <c r="AD214" s="92">
        <v>22</v>
      </c>
      <c r="AE214" s="92">
        <v>23</v>
      </c>
      <c r="AF214" s="92">
        <v>24</v>
      </c>
      <c r="AG214" s="92">
        <v>25</v>
      </c>
      <c r="AH214" s="92">
        <v>26</v>
      </c>
      <c r="AI214" s="92">
        <v>99</v>
      </c>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2"/>
      <c r="BL214" s="92"/>
      <c r="BM214" s="92"/>
      <c r="BN214" s="92"/>
      <c r="BO214" s="92"/>
      <c r="BP214" s="92"/>
      <c r="BQ214" s="92"/>
      <c r="BR214" s="92"/>
      <c r="BS214" s="92"/>
      <c r="BT214" s="92"/>
      <c r="BU214" s="92"/>
      <c r="BV214" s="92"/>
      <c r="BW214" s="92"/>
      <c r="BX214" s="92"/>
      <c r="BY214" s="92"/>
      <c r="BZ214" s="92"/>
      <c r="CA214" s="92"/>
      <c r="CB214" s="92"/>
    </row>
    <row r="215" spans="1:80" ht="12.75" customHeight="1">
      <c r="A215" s="92"/>
      <c r="B215" s="92"/>
      <c r="C215" s="92"/>
      <c r="D215" s="92"/>
      <c r="E215" s="92"/>
      <c r="F215" s="92">
        <v>1</v>
      </c>
      <c r="G215" s="93" t="s">
        <v>300</v>
      </c>
      <c r="H215" s="99">
        <v>1</v>
      </c>
      <c r="I215" s="99">
        <v>1</v>
      </c>
      <c r="J215" s="99">
        <v>1</v>
      </c>
      <c r="K215" s="99">
        <v>1</v>
      </c>
      <c r="L215" s="99">
        <v>1</v>
      </c>
      <c r="M215" s="99">
        <v>1</v>
      </c>
      <c r="N215" s="99">
        <v>2</v>
      </c>
      <c r="O215" s="99">
        <v>3</v>
      </c>
      <c r="P215" s="99">
        <v>3</v>
      </c>
      <c r="Q215" s="99">
        <v>4</v>
      </c>
      <c r="R215" s="99">
        <v>4</v>
      </c>
      <c r="S215" s="99">
        <v>5</v>
      </c>
      <c r="T215" s="99">
        <v>6</v>
      </c>
      <c r="U215" s="99">
        <v>6</v>
      </c>
      <c r="V215" s="99">
        <v>7</v>
      </c>
      <c r="W215" s="99">
        <v>7</v>
      </c>
      <c r="X215" s="99">
        <v>8</v>
      </c>
      <c r="Y215" s="99">
        <v>8</v>
      </c>
      <c r="Z215" s="99">
        <v>9</v>
      </c>
      <c r="AA215" s="99">
        <v>10</v>
      </c>
      <c r="AB215" s="99">
        <v>10</v>
      </c>
      <c r="AC215" s="99">
        <v>10</v>
      </c>
      <c r="AD215" s="99">
        <v>10</v>
      </c>
      <c r="AE215" s="99">
        <v>10</v>
      </c>
      <c r="AF215" s="92" t="s">
        <v>301</v>
      </c>
      <c r="AG215" s="92" t="s">
        <v>301</v>
      </c>
      <c r="AH215" s="92" t="s">
        <v>301</v>
      </c>
      <c r="AI215" s="92" t="s">
        <v>301</v>
      </c>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c r="BO215" s="92"/>
      <c r="BP215" s="92"/>
      <c r="BQ215" s="92"/>
      <c r="BR215" s="92"/>
      <c r="BS215" s="92"/>
      <c r="BT215" s="92"/>
      <c r="BU215" s="92"/>
      <c r="BV215" s="92"/>
      <c r="BW215" s="92"/>
      <c r="BX215" s="92"/>
      <c r="BY215" s="92"/>
      <c r="BZ215" s="92"/>
      <c r="CA215" s="92"/>
      <c r="CB215" s="92"/>
    </row>
    <row r="216" spans="1:80" ht="12.75" customHeight="1">
      <c r="A216" s="92"/>
      <c r="B216" s="92"/>
      <c r="C216" s="92"/>
      <c r="D216" s="92"/>
      <c r="E216" s="92"/>
      <c r="F216" s="92">
        <v>2</v>
      </c>
      <c r="G216" s="93" t="s">
        <v>303</v>
      </c>
      <c r="H216" s="99">
        <v>1</v>
      </c>
      <c r="I216" s="99">
        <v>1</v>
      </c>
      <c r="J216" s="99">
        <v>1</v>
      </c>
      <c r="K216" s="99">
        <v>1</v>
      </c>
      <c r="L216" s="99">
        <v>1</v>
      </c>
      <c r="M216" s="99">
        <v>2</v>
      </c>
      <c r="N216" s="99">
        <v>2</v>
      </c>
      <c r="O216" s="99">
        <v>3</v>
      </c>
      <c r="P216" s="99">
        <v>3</v>
      </c>
      <c r="Q216" s="99">
        <v>4</v>
      </c>
      <c r="R216" s="99">
        <v>5</v>
      </c>
      <c r="S216" s="99">
        <v>5</v>
      </c>
      <c r="T216" s="99">
        <v>6</v>
      </c>
      <c r="U216" s="99">
        <v>6</v>
      </c>
      <c r="V216" s="99">
        <v>7</v>
      </c>
      <c r="W216" s="99">
        <v>8</v>
      </c>
      <c r="X216" s="99">
        <v>8</v>
      </c>
      <c r="Y216" s="99">
        <v>9</v>
      </c>
      <c r="Z216" s="99">
        <v>9</v>
      </c>
      <c r="AA216" s="99">
        <v>10</v>
      </c>
      <c r="AB216" s="99">
        <v>10</v>
      </c>
      <c r="AC216" s="99">
        <v>10</v>
      </c>
      <c r="AD216" s="99">
        <v>10</v>
      </c>
      <c r="AE216" s="99">
        <v>10</v>
      </c>
      <c r="AF216" s="92" t="s">
        <v>301</v>
      </c>
      <c r="AG216" s="92" t="s">
        <v>301</v>
      </c>
      <c r="AH216" s="92" t="s">
        <v>301</v>
      </c>
      <c r="AI216" s="92" t="s">
        <v>301</v>
      </c>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2"/>
      <c r="BL216" s="92"/>
      <c r="BM216" s="92"/>
      <c r="BN216" s="92"/>
      <c r="BO216" s="92"/>
      <c r="BP216" s="92"/>
      <c r="BQ216" s="92"/>
      <c r="BR216" s="92"/>
      <c r="BS216" s="92"/>
      <c r="BT216" s="92"/>
      <c r="BU216" s="92"/>
      <c r="BV216" s="92"/>
      <c r="BW216" s="92"/>
      <c r="BX216" s="92"/>
      <c r="BY216" s="92"/>
      <c r="BZ216" s="92"/>
      <c r="CA216" s="92"/>
      <c r="CB216" s="92"/>
    </row>
    <row r="217" spans="1:80" ht="12.75" customHeight="1">
      <c r="A217" s="92"/>
      <c r="B217" s="92"/>
      <c r="C217" s="92"/>
      <c r="D217" s="92"/>
      <c r="E217" s="92"/>
      <c r="F217" s="92">
        <v>3</v>
      </c>
      <c r="G217" s="93" t="s">
        <v>305</v>
      </c>
      <c r="H217" s="99">
        <v>1</v>
      </c>
      <c r="I217" s="99">
        <v>1</v>
      </c>
      <c r="J217" s="99">
        <v>1</v>
      </c>
      <c r="K217" s="99">
        <v>1</v>
      </c>
      <c r="L217" s="99">
        <v>1</v>
      </c>
      <c r="M217" s="99">
        <v>2</v>
      </c>
      <c r="N217" s="99">
        <v>2</v>
      </c>
      <c r="O217" s="99">
        <v>3</v>
      </c>
      <c r="P217" s="99">
        <v>3</v>
      </c>
      <c r="Q217" s="99">
        <v>4</v>
      </c>
      <c r="R217" s="99">
        <v>4</v>
      </c>
      <c r="S217" s="99">
        <v>5</v>
      </c>
      <c r="T217" s="99">
        <v>6</v>
      </c>
      <c r="U217" s="99">
        <v>6</v>
      </c>
      <c r="V217" s="99">
        <v>7</v>
      </c>
      <c r="W217" s="99">
        <v>7</v>
      </c>
      <c r="X217" s="99">
        <v>8</v>
      </c>
      <c r="Y217" s="99">
        <v>9</v>
      </c>
      <c r="Z217" s="99">
        <v>9</v>
      </c>
      <c r="AA217" s="99">
        <v>10</v>
      </c>
      <c r="AB217" s="99">
        <v>10</v>
      </c>
      <c r="AC217" s="99">
        <v>10</v>
      </c>
      <c r="AD217" s="99">
        <v>10</v>
      </c>
      <c r="AE217" s="99">
        <v>10</v>
      </c>
      <c r="AF217" s="92" t="s">
        <v>301</v>
      </c>
      <c r="AG217" s="92" t="s">
        <v>301</v>
      </c>
      <c r="AH217" s="92" t="s">
        <v>301</v>
      </c>
      <c r="AI217" s="92" t="s">
        <v>301</v>
      </c>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c r="BO217" s="92"/>
      <c r="BP217" s="92"/>
      <c r="BQ217" s="92"/>
      <c r="BR217" s="92"/>
      <c r="BS217" s="92"/>
      <c r="BT217" s="92"/>
      <c r="BU217" s="92"/>
      <c r="BV217" s="92"/>
      <c r="BW217" s="92"/>
      <c r="BX217" s="92"/>
      <c r="BY217" s="92"/>
      <c r="BZ217" s="92"/>
      <c r="CA217" s="92"/>
      <c r="CB217" s="92"/>
    </row>
    <row r="218" spans="1:80" ht="12.75" customHeight="1">
      <c r="A218" s="92"/>
      <c r="B218" s="92"/>
      <c r="C218" s="92"/>
      <c r="D218" s="92"/>
      <c r="E218" s="92"/>
      <c r="F218" s="92">
        <v>4</v>
      </c>
      <c r="G218" s="93" t="s">
        <v>307</v>
      </c>
      <c r="H218" s="92">
        <v>1</v>
      </c>
      <c r="I218" s="92">
        <v>1</v>
      </c>
      <c r="J218" s="92">
        <v>1</v>
      </c>
      <c r="K218" s="92">
        <v>1</v>
      </c>
      <c r="L218" s="92">
        <v>1</v>
      </c>
      <c r="M218" s="92">
        <v>1</v>
      </c>
      <c r="N218" s="92">
        <v>2</v>
      </c>
      <c r="O218" s="92">
        <v>3</v>
      </c>
      <c r="P218" s="92">
        <v>3</v>
      </c>
      <c r="Q218" s="92">
        <v>4</v>
      </c>
      <c r="R218" s="92">
        <v>4</v>
      </c>
      <c r="S218" s="92">
        <v>5</v>
      </c>
      <c r="T218" s="92">
        <v>5</v>
      </c>
      <c r="U218" s="92">
        <v>6</v>
      </c>
      <c r="V218" s="92">
        <v>7</v>
      </c>
      <c r="W218" s="92">
        <v>7</v>
      </c>
      <c r="X218" s="92">
        <v>8</v>
      </c>
      <c r="Y218" s="92">
        <v>9</v>
      </c>
      <c r="Z218" s="92">
        <v>9</v>
      </c>
      <c r="AA218" s="92">
        <v>10</v>
      </c>
      <c r="AB218" s="92">
        <v>10</v>
      </c>
      <c r="AC218" s="92">
        <v>10</v>
      </c>
      <c r="AD218" s="92">
        <v>10</v>
      </c>
      <c r="AE218" s="92">
        <v>10</v>
      </c>
      <c r="AF218" s="92">
        <v>10</v>
      </c>
      <c r="AG218" s="92">
        <v>10</v>
      </c>
      <c r="AH218" s="92">
        <v>10</v>
      </c>
      <c r="AI218" s="92" t="s">
        <v>301</v>
      </c>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2"/>
      <c r="BL218" s="92"/>
      <c r="BM218" s="92"/>
      <c r="BN218" s="92"/>
      <c r="BO218" s="92"/>
      <c r="BP218" s="92"/>
      <c r="BQ218" s="92"/>
      <c r="BR218" s="92"/>
      <c r="BS218" s="92"/>
      <c r="BT218" s="92"/>
      <c r="BU218" s="92"/>
      <c r="BV218" s="92"/>
      <c r="BW218" s="92"/>
      <c r="BX218" s="92"/>
      <c r="BY218" s="92"/>
      <c r="BZ218" s="92"/>
      <c r="CA218" s="92"/>
      <c r="CB218" s="92"/>
    </row>
    <row r="219" spans="1:80" ht="12.75" customHeight="1">
      <c r="A219" s="92"/>
      <c r="B219" s="92"/>
      <c r="C219" s="92"/>
      <c r="D219" s="92"/>
      <c r="E219" s="92"/>
      <c r="F219" s="92">
        <v>5</v>
      </c>
      <c r="G219" s="93" t="s">
        <v>309</v>
      </c>
      <c r="H219" s="92">
        <v>1</v>
      </c>
      <c r="I219" s="92">
        <v>1</v>
      </c>
      <c r="J219" s="92">
        <v>1</v>
      </c>
      <c r="K219" s="92">
        <v>1</v>
      </c>
      <c r="L219" s="92">
        <v>1</v>
      </c>
      <c r="M219" s="92">
        <v>1</v>
      </c>
      <c r="N219" s="92">
        <v>1</v>
      </c>
      <c r="O219" s="92">
        <v>2</v>
      </c>
      <c r="P219" s="92">
        <v>2</v>
      </c>
      <c r="Q219" s="92">
        <v>3</v>
      </c>
      <c r="R219" s="92">
        <v>4</v>
      </c>
      <c r="S219" s="92">
        <v>4</v>
      </c>
      <c r="T219" s="92">
        <v>5</v>
      </c>
      <c r="U219" s="92">
        <v>5</v>
      </c>
      <c r="V219" s="92">
        <v>6</v>
      </c>
      <c r="W219" s="92">
        <v>6</v>
      </c>
      <c r="X219" s="92">
        <v>7</v>
      </c>
      <c r="Y219" s="92">
        <v>8</v>
      </c>
      <c r="Z219" s="92">
        <v>8</v>
      </c>
      <c r="AA219" s="92">
        <v>9</v>
      </c>
      <c r="AB219" s="92">
        <v>9</v>
      </c>
      <c r="AC219" s="92">
        <v>10</v>
      </c>
      <c r="AD219" s="92">
        <v>10</v>
      </c>
      <c r="AE219" s="92">
        <v>10</v>
      </c>
      <c r="AF219" s="92">
        <v>10</v>
      </c>
      <c r="AG219" s="92">
        <v>10</v>
      </c>
      <c r="AH219" s="92">
        <v>10</v>
      </c>
      <c r="AI219" s="92" t="s">
        <v>301</v>
      </c>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c r="BO219" s="92"/>
      <c r="BP219" s="92"/>
      <c r="BQ219" s="92"/>
      <c r="BR219" s="92"/>
      <c r="BS219" s="92"/>
      <c r="BT219" s="92"/>
      <c r="BU219" s="92"/>
      <c r="BV219" s="92"/>
      <c r="BW219" s="92"/>
      <c r="BX219" s="92"/>
      <c r="BY219" s="92"/>
      <c r="BZ219" s="92"/>
      <c r="CA219" s="92"/>
      <c r="CB219" s="92"/>
    </row>
    <row r="220" spans="1:80" ht="12.75" customHeight="1">
      <c r="A220" s="92"/>
      <c r="B220" s="92"/>
      <c r="C220" s="92"/>
      <c r="D220" s="92"/>
      <c r="E220" s="92"/>
      <c r="F220" s="92">
        <v>6</v>
      </c>
      <c r="G220" s="93" t="s">
        <v>311</v>
      </c>
      <c r="H220" s="92">
        <v>1</v>
      </c>
      <c r="I220" s="92">
        <v>1</v>
      </c>
      <c r="J220" s="92">
        <v>1</v>
      </c>
      <c r="K220" s="92">
        <v>1</v>
      </c>
      <c r="L220" s="92">
        <v>1</v>
      </c>
      <c r="M220" s="92">
        <v>1</v>
      </c>
      <c r="N220" s="92">
        <v>2</v>
      </c>
      <c r="O220" s="92">
        <v>3</v>
      </c>
      <c r="P220" s="92">
        <v>3</v>
      </c>
      <c r="Q220" s="92">
        <v>4</v>
      </c>
      <c r="R220" s="92">
        <v>5</v>
      </c>
      <c r="S220" s="92">
        <v>5</v>
      </c>
      <c r="T220" s="92">
        <v>6</v>
      </c>
      <c r="U220" s="92">
        <v>7</v>
      </c>
      <c r="V220" s="92">
        <v>7</v>
      </c>
      <c r="W220" s="92">
        <v>8</v>
      </c>
      <c r="X220" s="92">
        <v>8</v>
      </c>
      <c r="Y220" s="92">
        <v>9</v>
      </c>
      <c r="Z220" s="92">
        <v>9</v>
      </c>
      <c r="AA220" s="92">
        <v>10</v>
      </c>
      <c r="AB220" s="92">
        <v>10</v>
      </c>
      <c r="AC220" s="92">
        <v>10</v>
      </c>
      <c r="AD220" s="92">
        <v>10</v>
      </c>
      <c r="AE220" s="92">
        <v>10</v>
      </c>
      <c r="AF220" s="92">
        <v>10</v>
      </c>
      <c r="AG220" s="92">
        <v>10</v>
      </c>
      <c r="AH220" s="92">
        <v>10</v>
      </c>
      <c r="AI220" s="92" t="s">
        <v>301</v>
      </c>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2"/>
      <c r="BL220" s="92"/>
      <c r="BM220" s="92"/>
      <c r="BN220" s="92"/>
      <c r="BO220" s="92"/>
      <c r="BP220" s="92"/>
      <c r="BQ220" s="92"/>
      <c r="BR220" s="92"/>
      <c r="BS220" s="92"/>
      <c r="BT220" s="92"/>
      <c r="BU220" s="92"/>
      <c r="BV220" s="92"/>
      <c r="BW220" s="92"/>
      <c r="BX220" s="92"/>
      <c r="BY220" s="92"/>
      <c r="BZ220" s="92"/>
      <c r="CA220" s="92"/>
      <c r="CB220" s="92"/>
    </row>
    <row r="221" spans="1:80" ht="12.75" customHeight="1">
      <c r="A221" s="92"/>
      <c r="B221" s="92"/>
      <c r="C221" s="92"/>
      <c r="D221" s="92"/>
      <c r="E221" s="92"/>
      <c r="F221" s="92">
        <v>7</v>
      </c>
      <c r="G221" s="93" t="s">
        <v>313</v>
      </c>
      <c r="H221" s="92">
        <v>1</v>
      </c>
      <c r="I221" s="92">
        <v>1</v>
      </c>
      <c r="J221" s="92">
        <v>1</v>
      </c>
      <c r="K221" s="92">
        <v>1</v>
      </c>
      <c r="L221" s="92">
        <v>1</v>
      </c>
      <c r="M221" s="92">
        <v>1</v>
      </c>
      <c r="N221" s="92">
        <v>2</v>
      </c>
      <c r="O221" s="92">
        <v>2</v>
      </c>
      <c r="P221" s="92">
        <v>3</v>
      </c>
      <c r="Q221" s="92">
        <v>4</v>
      </c>
      <c r="R221" s="92">
        <v>4</v>
      </c>
      <c r="S221" s="92">
        <v>5</v>
      </c>
      <c r="T221" s="92">
        <v>6</v>
      </c>
      <c r="U221" s="92">
        <v>6</v>
      </c>
      <c r="V221" s="92">
        <v>7</v>
      </c>
      <c r="W221" s="92">
        <v>7</v>
      </c>
      <c r="X221" s="92">
        <v>8</v>
      </c>
      <c r="Y221" s="92">
        <v>8</v>
      </c>
      <c r="Z221" s="92">
        <v>9</v>
      </c>
      <c r="AA221" s="92">
        <v>10</v>
      </c>
      <c r="AB221" s="92">
        <v>10</v>
      </c>
      <c r="AC221" s="92">
        <v>10</v>
      </c>
      <c r="AD221" s="92">
        <v>10</v>
      </c>
      <c r="AE221" s="92">
        <v>10</v>
      </c>
      <c r="AF221" s="92">
        <v>10</v>
      </c>
      <c r="AG221" s="92">
        <v>10</v>
      </c>
      <c r="AH221" s="92">
        <v>10</v>
      </c>
      <c r="AI221" s="92" t="s">
        <v>301</v>
      </c>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2"/>
      <c r="BL221" s="92"/>
      <c r="BM221" s="92"/>
      <c r="BN221" s="92"/>
      <c r="BO221" s="92"/>
      <c r="BP221" s="92"/>
      <c r="BQ221" s="92"/>
      <c r="BR221" s="92"/>
      <c r="BS221" s="92"/>
      <c r="BT221" s="92"/>
      <c r="BU221" s="92"/>
      <c r="BV221" s="92"/>
      <c r="BW221" s="92"/>
      <c r="BX221" s="92"/>
      <c r="BY221" s="92"/>
      <c r="BZ221" s="92"/>
      <c r="CA221" s="92"/>
      <c r="CB221" s="92"/>
    </row>
    <row r="222" spans="1:80" ht="12.75" customHeight="1">
      <c r="A222" s="92"/>
      <c r="B222" s="92"/>
      <c r="C222" s="92"/>
      <c r="D222" s="92"/>
      <c r="E222" s="92"/>
      <c r="F222" s="92">
        <v>8</v>
      </c>
      <c r="G222" s="93" t="s">
        <v>315</v>
      </c>
      <c r="H222" s="92">
        <v>1</v>
      </c>
      <c r="I222" s="92">
        <v>1</v>
      </c>
      <c r="J222" s="92">
        <v>1</v>
      </c>
      <c r="K222" s="92">
        <v>1</v>
      </c>
      <c r="L222" s="92">
        <v>1</v>
      </c>
      <c r="M222" s="92">
        <v>1</v>
      </c>
      <c r="N222" s="92">
        <v>2</v>
      </c>
      <c r="O222" s="92">
        <v>2</v>
      </c>
      <c r="P222" s="92">
        <v>3</v>
      </c>
      <c r="Q222" s="92">
        <v>3</v>
      </c>
      <c r="R222" s="92">
        <v>4</v>
      </c>
      <c r="S222" s="92">
        <v>5</v>
      </c>
      <c r="T222" s="92">
        <v>5</v>
      </c>
      <c r="U222" s="92">
        <v>6</v>
      </c>
      <c r="V222" s="92">
        <v>6</v>
      </c>
      <c r="W222" s="92">
        <v>7</v>
      </c>
      <c r="X222" s="92">
        <v>7</v>
      </c>
      <c r="Y222" s="92">
        <v>8</v>
      </c>
      <c r="Z222" s="92">
        <v>8</v>
      </c>
      <c r="AA222" s="92">
        <v>9</v>
      </c>
      <c r="AB222" s="92">
        <v>10</v>
      </c>
      <c r="AC222" s="92">
        <v>10</v>
      </c>
      <c r="AD222" s="92">
        <v>10</v>
      </c>
      <c r="AE222" s="92">
        <v>10</v>
      </c>
      <c r="AF222" s="92">
        <v>10</v>
      </c>
      <c r="AG222" s="92">
        <v>10</v>
      </c>
      <c r="AH222" s="92">
        <v>10</v>
      </c>
      <c r="AI222" s="92" t="s">
        <v>301</v>
      </c>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2"/>
      <c r="BL222" s="92"/>
      <c r="BM222" s="92"/>
      <c r="BN222" s="92"/>
      <c r="BO222" s="92"/>
      <c r="BP222" s="92"/>
      <c r="BQ222" s="92"/>
      <c r="BR222" s="92"/>
      <c r="BS222" s="92"/>
      <c r="BT222" s="92"/>
      <c r="BU222" s="92"/>
      <c r="BV222" s="92"/>
      <c r="BW222" s="92"/>
      <c r="BX222" s="92"/>
      <c r="BY222" s="92"/>
      <c r="BZ222" s="92"/>
      <c r="CA222" s="92"/>
      <c r="CB222" s="92"/>
    </row>
    <row r="223" spans="1:80" ht="12.75" customHeight="1">
      <c r="A223" s="92"/>
      <c r="B223" s="92"/>
      <c r="C223" s="92"/>
      <c r="D223" s="92"/>
      <c r="E223" s="92"/>
      <c r="F223" s="92">
        <v>9</v>
      </c>
      <c r="G223" s="93" t="s">
        <v>318</v>
      </c>
      <c r="H223" s="92">
        <v>1</v>
      </c>
      <c r="I223" s="92">
        <v>1</v>
      </c>
      <c r="J223" s="92">
        <v>1</v>
      </c>
      <c r="K223" s="92">
        <v>1</v>
      </c>
      <c r="L223" s="92">
        <v>1</v>
      </c>
      <c r="M223" s="92">
        <v>1</v>
      </c>
      <c r="N223" s="92">
        <v>1</v>
      </c>
      <c r="O223" s="92">
        <v>2</v>
      </c>
      <c r="P223" s="92">
        <v>2</v>
      </c>
      <c r="Q223" s="92">
        <v>3</v>
      </c>
      <c r="R223" s="92">
        <v>4</v>
      </c>
      <c r="S223" s="92">
        <v>4</v>
      </c>
      <c r="T223" s="92">
        <v>5</v>
      </c>
      <c r="U223" s="92">
        <v>6</v>
      </c>
      <c r="V223" s="92">
        <v>6</v>
      </c>
      <c r="W223" s="92">
        <v>7</v>
      </c>
      <c r="X223" s="92">
        <v>8</v>
      </c>
      <c r="Y223" s="92">
        <v>8</v>
      </c>
      <c r="Z223" s="92">
        <v>9</v>
      </c>
      <c r="AA223" s="92">
        <v>10</v>
      </c>
      <c r="AB223" s="92">
        <v>10</v>
      </c>
      <c r="AC223" s="92">
        <v>10</v>
      </c>
      <c r="AD223" s="92">
        <v>10</v>
      </c>
      <c r="AE223" s="92">
        <v>10</v>
      </c>
      <c r="AF223" s="92">
        <v>10</v>
      </c>
      <c r="AG223" s="92">
        <v>10</v>
      </c>
      <c r="AH223" s="92">
        <v>10</v>
      </c>
      <c r="AI223" s="92" t="s">
        <v>301</v>
      </c>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c r="BO223" s="92"/>
      <c r="BP223" s="92"/>
      <c r="BQ223" s="92"/>
      <c r="BR223" s="92"/>
      <c r="BS223" s="92"/>
      <c r="BT223" s="92"/>
      <c r="BU223" s="92"/>
      <c r="BV223" s="92"/>
      <c r="BW223" s="92"/>
      <c r="BX223" s="92"/>
      <c r="BY223" s="92"/>
      <c r="BZ223" s="92"/>
      <c r="CA223" s="92"/>
      <c r="CB223" s="92"/>
    </row>
    <row r="224" spans="1:80" ht="12.75" customHeight="1">
      <c r="A224" s="92"/>
      <c r="B224" s="92"/>
      <c r="C224" s="92"/>
      <c r="D224" s="92"/>
      <c r="E224" s="92"/>
      <c r="F224" s="92">
        <v>10</v>
      </c>
      <c r="G224" s="93" t="s">
        <v>320</v>
      </c>
      <c r="H224" s="92">
        <v>1</v>
      </c>
      <c r="I224" s="92">
        <v>1</v>
      </c>
      <c r="J224" s="92">
        <v>1</v>
      </c>
      <c r="K224" s="92">
        <v>1</v>
      </c>
      <c r="L224" s="92">
        <v>1</v>
      </c>
      <c r="M224" s="92">
        <v>1</v>
      </c>
      <c r="N224" s="92">
        <v>2</v>
      </c>
      <c r="O224" s="92">
        <v>2</v>
      </c>
      <c r="P224" s="92">
        <v>3</v>
      </c>
      <c r="Q224" s="92">
        <v>3</v>
      </c>
      <c r="R224" s="92">
        <v>4</v>
      </c>
      <c r="S224" s="92">
        <v>5</v>
      </c>
      <c r="T224" s="92">
        <v>5</v>
      </c>
      <c r="U224" s="92">
        <v>6</v>
      </c>
      <c r="V224" s="92">
        <v>6</v>
      </c>
      <c r="W224" s="92">
        <v>7</v>
      </c>
      <c r="X224" s="92">
        <v>7</v>
      </c>
      <c r="Y224" s="92">
        <v>8</v>
      </c>
      <c r="Z224" s="92">
        <v>8</v>
      </c>
      <c r="AA224" s="92">
        <v>9</v>
      </c>
      <c r="AB224" s="92">
        <v>10</v>
      </c>
      <c r="AC224" s="92">
        <v>10</v>
      </c>
      <c r="AD224" s="92">
        <v>10</v>
      </c>
      <c r="AE224" s="92">
        <v>10</v>
      </c>
      <c r="AF224" s="92">
        <v>10</v>
      </c>
      <c r="AG224" s="92">
        <v>10</v>
      </c>
      <c r="AH224" s="92">
        <v>10</v>
      </c>
      <c r="AI224" s="92" t="s">
        <v>301</v>
      </c>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2"/>
      <c r="BL224" s="92"/>
      <c r="BM224" s="92"/>
      <c r="BN224" s="92"/>
      <c r="BO224" s="92"/>
      <c r="BP224" s="92"/>
      <c r="BQ224" s="92"/>
      <c r="BR224" s="92"/>
      <c r="BS224" s="92"/>
      <c r="BT224" s="92"/>
      <c r="BU224" s="92"/>
      <c r="BV224" s="92"/>
      <c r="BW224" s="92"/>
      <c r="BX224" s="92"/>
      <c r="BY224" s="92"/>
      <c r="BZ224" s="92"/>
      <c r="CA224" s="92"/>
      <c r="CB224" s="92"/>
    </row>
    <row r="225" spans="1:80" ht="12.75" customHeight="1">
      <c r="A225" s="92"/>
      <c r="B225" s="92"/>
      <c r="C225" s="92"/>
      <c r="D225" s="92"/>
      <c r="E225" s="92"/>
      <c r="F225" s="92">
        <v>11</v>
      </c>
      <c r="G225" s="93" t="s">
        <v>322</v>
      </c>
      <c r="H225" s="92">
        <v>1</v>
      </c>
      <c r="I225" s="92">
        <v>1</v>
      </c>
      <c r="J225" s="92">
        <v>1</v>
      </c>
      <c r="K225" s="92">
        <v>1</v>
      </c>
      <c r="L225" s="92">
        <v>1</v>
      </c>
      <c r="M225" s="92">
        <v>2</v>
      </c>
      <c r="N225" s="92">
        <v>2</v>
      </c>
      <c r="O225" s="92">
        <v>3</v>
      </c>
      <c r="P225" s="92">
        <v>4</v>
      </c>
      <c r="Q225" s="92">
        <v>4</v>
      </c>
      <c r="R225" s="92">
        <v>5</v>
      </c>
      <c r="S225" s="92">
        <v>5</v>
      </c>
      <c r="T225" s="92">
        <v>6</v>
      </c>
      <c r="U225" s="92">
        <v>6</v>
      </c>
      <c r="V225" s="92">
        <v>7</v>
      </c>
      <c r="W225" s="92">
        <v>7</v>
      </c>
      <c r="X225" s="92">
        <v>8</v>
      </c>
      <c r="Y225" s="92">
        <v>8</v>
      </c>
      <c r="Z225" s="92">
        <v>9</v>
      </c>
      <c r="AA225" s="92">
        <v>9</v>
      </c>
      <c r="AB225" s="92">
        <v>10</v>
      </c>
      <c r="AC225" s="92">
        <v>10</v>
      </c>
      <c r="AD225" s="92">
        <v>10</v>
      </c>
      <c r="AE225" s="92">
        <v>10</v>
      </c>
      <c r="AF225" s="92">
        <v>10</v>
      </c>
      <c r="AG225" s="92">
        <v>10</v>
      </c>
      <c r="AH225" s="92">
        <v>10</v>
      </c>
      <c r="AI225" s="92" t="s">
        <v>301</v>
      </c>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c r="BO225" s="92"/>
      <c r="BP225" s="92"/>
      <c r="BQ225" s="92"/>
      <c r="BR225" s="92"/>
      <c r="BS225" s="92"/>
      <c r="BT225" s="92"/>
      <c r="BU225" s="92"/>
      <c r="BV225" s="92"/>
      <c r="BW225" s="92"/>
      <c r="BX225" s="92"/>
      <c r="BY225" s="92"/>
      <c r="BZ225" s="92"/>
      <c r="CA225" s="92"/>
      <c r="CB225" s="92"/>
    </row>
    <row r="226" spans="1:80" ht="12.75" customHeight="1">
      <c r="A226" s="92"/>
      <c r="B226" s="92"/>
      <c r="C226" s="92"/>
      <c r="D226" s="92"/>
      <c r="E226" s="92"/>
      <c r="F226" s="92">
        <v>12</v>
      </c>
      <c r="G226" s="93" t="s">
        <v>324</v>
      </c>
      <c r="H226" s="92">
        <v>1</v>
      </c>
      <c r="I226" s="92">
        <v>1</v>
      </c>
      <c r="J226" s="92">
        <v>1</v>
      </c>
      <c r="K226" s="92">
        <v>1</v>
      </c>
      <c r="L226" s="92">
        <v>1</v>
      </c>
      <c r="M226" s="92">
        <v>2</v>
      </c>
      <c r="N226" s="92">
        <v>2</v>
      </c>
      <c r="O226" s="92">
        <v>3</v>
      </c>
      <c r="P226" s="92">
        <v>3</v>
      </c>
      <c r="Q226" s="92">
        <v>4</v>
      </c>
      <c r="R226" s="92">
        <v>4</v>
      </c>
      <c r="S226" s="92">
        <v>5</v>
      </c>
      <c r="T226" s="92">
        <v>6</v>
      </c>
      <c r="U226" s="92">
        <v>6</v>
      </c>
      <c r="V226" s="92">
        <v>7</v>
      </c>
      <c r="W226" s="92">
        <v>7</v>
      </c>
      <c r="X226" s="92">
        <v>8</v>
      </c>
      <c r="Y226" s="92">
        <v>8</v>
      </c>
      <c r="Z226" s="92">
        <v>9</v>
      </c>
      <c r="AA226" s="92">
        <v>9</v>
      </c>
      <c r="AB226" s="92">
        <v>10</v>
      </c>
      <c r="AC226" s="92">
        <v>10</v>
      </c>
      <c r="AD226" s="92">
        <v>10</v>
      </c>
      <c r="AE226" s="92">
        <v>10</v>
      </c>
      <c r="AF226" s="92">
        <v>10</v>
      </c>
      <c r="AG226" s="92">
        <v>10</v>
      </c>
      <c r="AH226" s="92">
        <v>10</v>
      </c>
      <c r="AI226" s="92" t="s">
        <v>301</v>
      </c>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2"/>
      <c r="BL226" s="92"/>
      <c r="BM226" s="92"/>
      <c r="BN226" s="92"/>
      <c r="BO226" s="92"/>
      <c r="BP226" s="92"/>
      <c r="BQ226" s="92"/>
      <c r="BR226" s="92"/>
      <c r="BS226" s="92"/>
      <c r="BT226" s="92"/>
      <c r="BU226" s="92"/>
      <c r="BV226" s="92"/>
      <c r="BW226" s="92"/>
      <c r="BX226" s="92"/>
      <c r="BY226" s="92"/>
      <c r="BZ226" s="92"/>
      <c r="CA226" s="92"/>
      <c r="CB226" s="92"/>
    </row>
    <row r="227" spans="1:80" ht="12.75" customHeight="1">
      <c r="A227" s="92"/>
      <c r="B227" s="92"/>
      <c r="C227" s="92"/>
      <c r="D227" s="92"/>
      <c r="E227" s="92"/>
      <c r="F227" s="92">
        <v>13</v>
      </c>
      <c r="G227" s="93" t="s">
        <v>326</v>
      </c>
      <c r="H227" s="92">
        <v>1</v>
      </c>
      <c r="I227" s="92">
        <v>1</v>
      </c>
      <c r="J227" s="92">
        <v>1</v>
      </c>
      <c r="K227" s="92">
        <v>1</v>
      </c>
      <c r="L227" s="92">
        <v>1</v>
      </c>
      <c r="M227" s="92">
        <v>1</v>
      </c>
      <c r="N227" s="92">
        <v>2</v>
      </c>
      <c r="O227" s="92">
        <v>2</v>
      </c>
      <c r="P227" s="92">
        <v>3</v>
      </c>
      <c r="Q227" s="92">
        <v>3</v>
      </c>
      <c r="R227" s="92">
        <v>4</v>
      </c>
      <c r="S227" s="92">
        <v>4</v>
      </c>
      <c r="T227" s="92">
        <v>5</v>
      </c>
      <c r="U227" s="92">
        <v>5</v>
      </c>
      <c r="V227" s="92">
        <v>6</v>
      </c>
      <c r="W227" s="92">
        <v>6</v>
      </c>
      <c r="X227" s="92">
        <v>7</v>
      </c>
      <c r="Y227" s="92">
        <v>8</v>
      </c>
      <c r="Z227" s="92">
        <v>8</v>
      </c>
      <c r="AA227" s="92">
        <v>9</v>
      </c>
      <c r="AB227" s="92">
        <v>9</v>
      </c>
      <c r="AC227" s="92">
        <v>10</v>
      </c>
      <c r="AD227" s="92">
        <v>10</v>
      </c>
      <c r="AE227" s="92">
        <v>10</v>
      </c>
      <c r="AF227" s="92">
        <v>10</v>
      </c>
      <c r="AG227" s="92">
        <v>10</v>
      </c>
      <c r="AH227" s="92">
        <v>10</v>
      </c>
      <c r="AI227" s="92" t="s">
        <v>301</v>
      </c>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c r="BO227" s="92"/>
      <c r="BP227" s="92"/>
      <c r="BQ227" s="92"/>
      <c r="BR227" s="92"/>
      <c r="BS227" s="92"/>
      <c r="BT227" s="92"/>
      <c r="BU227" s="92"/>
      <c r="BV227" s="92"/>
      <c r="BW227" s="92"/>
      <c r="BX227" s="92"/>
      <c r="BY227" s="92"/>
      <c r="BZ227" s="92"/>
      <c r="CA227" s="92"/>
      <c r="CB227" s="92"/>
    </row>
    <row r="228" spans="1:80" ht="12.75" customHeight="1">
      <c r="A228" s="92"/>
      <c r="B228" s="92"/>
      <c r="C228" s="92"/>
      <c r="D228" s="92"/>
      <c r="E228" s="92"/>
      <c r="F228" s="92">
        <v>14</v>
      </c>
      <c r="G228" s="93" t="s">
        <v>328</v>
      </c>
      <c r="H228" s="92">
        <v>1</v>
      </c>
      <c r="I228" s="92">
        <v>1</v>
      </c>
      <c r="J228" s="92">
        <v>1</v>
      </c>
      <c r="K228" s="92">
        <v>1</v>
      </c>
      <c r="L228" s="92">
        <v>1</v>
      </c>
      <c r="M228" s="92">
        <v>2</v>
      </c>
      <c r="N228" s="92">
        <v>2</v>
      </c>
      <c r="O228" s="92">
        <v>3</v>
      </c>
      <c r="P228" s="92">
        <v>3</v>
      </c>
      <c r="Q228" s="92">
        <v>4</v>
      </c>
      <c r="R228" s="92">
        <v>5</v>
      </c>
      <c r="S228" s="92">
        <v>5</v>
      </c>
      <c r="T228" s="92">
        <v>6</v>
      </c>
      <c r="U228" s="92">
        <v>6</v>
      </c>
      <c r="V228" s="92">
        <v>6</v>
      </c>
      <c r="W228" s="92">
        <v>7</v>
      </c>
      <c r="X228" s="92">
        <v>7</v>
      </c>
      <c r="Y228" s="92">
        <v>8</v>
      </c>
      <c r="Z228" s="92">
        <v>8</v>
      </c>
      <c r="AA228" s="92">
        <v>9</v>
      </c>
      <c r="AB228" s="92">
        <v>9</v>
      </c>
      <c r="AC228" s="92">
        <v>10</v>
      </c>
      <c r="AD228" s="92">
        <v>10</v>
      </c>
      <c r="AE228" s="92">
        <v>10</v>
      </c>
      <c r="AF228" s="92">
        <v>10</v>
      </c>
      <c r="AG228" s="92">
        <v>10</v>
      </c>
      <c r="AH228" s="92">
        <v>10</v>
      </c>
      <c r="AI228" s="92" t="s">
        <v>301</v>
      </c>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2"/>
      <c r="BL228" s="92"/>
      <c r="BM228" s="92"/>
      <c r="BN228" s="92"/>
      <c r="BO228" s="92"/>
      <c r="BP228" s="92"/>
      <c r="BQ228" s="92"/>
      <c r="BR228" s="92"/>
      <c r="BS228" s="92"/>
      <c r="BT228" s="92"/>
      <c r="BU228" s="92"/>
      <c r="BV228" s="92"/>
      <c r="BW228" s="92"/>
      <c r="BX228" s="92"/>
      <c r="BY228" s="92"/>
      <c r="BZ228" s="92"/>
      <c r="CA228" s="92"/>
      <c r="CB228" s="92"/>
    </row>
    <row r="229" spans="1:80" ht="12.75" customHeight="1">
      <c r="A229" s="92"/>
      <c r="B229" s="92"/>
      <c r="C229" s="92"/>
      <c r="D229" s="92"/>
      <c r="E229" s="92"/>
      <c r="F229" s="92">
        <v>15</v>
      </c>
      <c r="G229" s="93" t="s">
        <v>330</v>
      </c>
      <c r="H229" s="92">
        <v>1</v>
      </c>
      <c r="I229" s="92">
        <v>1</v>
      </c>
      <c r="J229" s="92">
        <v>1</v>
      </c>
      <c r="K229" s="92">
        <v>1</v>
      </c>
      <c r="L229" s="92">
        <v>1</v>
      </c>
      <c r="M229" s="92">
        <v>1</v>
      </c>
      <c r="N229" s="92">
        <v>2</v>
      </c>
      <c r="O229" s="92">
        <v>2</v>
      </c>
      <c r="P229" s="92">
        <v>3</v>
      </c>
      <c r="Q229" s="92">
        <v>3</v>
      </c>
      <c r="R229" s="92">
        <v>4</v>
      </c>
      <c r="S229" s="92">
        <v>5</v>
      </c>
      <c r="T229" s="92">
        <v>5</v>
      </c>
      <c r="U229" s="92">
        <v>6</v>
      </c>
      <c r="V229" s="92">
        <v>6</v>
      </c>
      <c r="W229" s="92">
        <v>7</v>
      </c>
      <c r="X229" s="92">
        <v>7</v>
      </c>
      <c r="Y229" s="92">
        <v>8</v>
      </c>
      <c r="Z229" s="92">
        <v>8</v>
      </c>
      <c r="AA229" s="92">
        <v>9</v>
      </c>
      <c r="AB229" s="92">
        <v>10</v>
      </c>
      <c r="AC229" s="92">
        <v>10</v>
      </c>
      <c r="AD229" s="92">
        <v>10</v>
      </c>
      <c r="AE229" s="92">
        <v>10</v>
      </c>
      <c r="AF229" s="92">
        <v>10</v>
      </c>
      <c r="AG229" s="92">
        <v>10</v>
      </c>
      <c r="AH229" s="92">
        <v>10</v>
      </c>
      <c r="AI229" s="92" t="s">
        <v>301</v>
      </c>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2"/>
      <c r="BL229" s="92"/>
      <c r="BM229" s="92"/>
      <c r="BN229" s="92"/>
      <c r="BO229" s="92"/>
      <c r="BP229" s="92"/>
      <c r="BQ229" s="92"/>
      <c r="BR229" s="92"/>
      <c r="BS229" s="92"/>
      <c r="BT229" s="92"/>
      <c r="BU229" s="92"/>
      <c r="BV229" s="92"/>
      <c r="BW229" s="92"/>
      <c r="BX229" s="92"/>
      <c r="BY229" s="92"/>
      <c r="BZ229" s="92"/>
      <c r="CA229" s="92"/>
      <c r="CB229" s="92"/>
    </row>
    <row r="230" spans="1:80" ht="12.75" customHeight="1">
      <c r="A230" s="92"/>
      <c r="B230" s="92"/>
      <c r="C230" s="92"/>
      <c r="D230" s="92"/>
      <c r="E230" s="92"/>
      <c r="F230" s="92">
        <v>16</v>
      </c>
      <c r="G230" s="93" t="s">
        <v>341</v>
      </c>
      <c r="H230" s="92">
        <v>3</v>
      </c>
      <c r="I230" s="92">
        <v>4</v>
      </c>
      <c r="J230" s="92">
        <v>4</v>
      </c>
      <c r="K230" s="92">
        <v>6</v>
      </c>
      <c r="L230" s="92">
        <v>6</v>
      </c>
      <c r="M230" s="92">
        <v>6</v>
      </c>
      <c r="N230" s="92">
        <v>6</v>
      </c>
      <c r="O230" s="92">
        <v>7</v>
      </c>
      <c r="P230" s="92">
        <v>7</v>
      </c>
      <c r="Q230" s="92">
        <v>7</v>
      </c>
      <c r="R230" s="92">
        <v>7</v>
      </c>
      <c r="S230" s="92">
        <v>8</v>
      </c>
      <c r="T230" s="92">
        <v>8</v>
      </c>
      <c r="U230" s="92">
        <v>8</v>
      </c>
      <c r="V230" s="92">
        <v>8</v>
      </c>
      <c r="W230" s="92">
        <v>9</v>
      </c>
      <c r="X230" s="92">
        <v>9</v>
      </c>
      <c r="Y230" s="92">
        <v>9</v>
      </c>
      <c r="Z230" s="92">
        <v>10</v>
      </c>
      <c r="AA230" s="92">
        <v>10</v>
      </c>
      <c r="AB230" s="92">
        <v>10</v>
      </c>
      <c r="AC230" s="92">
        <v>10</v>
      </c>
      <c r="AD230" s="92">
        <v>10</v>
      </c>
      <c r="AE230" s="92" t="s">
        <v>301</v>
      </c>
      <c r="AF230" s="92" t="s">
        <v>301</v>
      </c>
      <c r="AG230" s="92" t="s">
        <v>301</v>
      </c>
      <c r="AH230" s="92" t="s">
        <v>301</v>
      </c>
      <c r="AI230" s="92" t="s">
        <v>301</v>
      </c>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2"/>
      <c r="BL230" s="92"/>
      <c r="BM230" s="92"/>
      <c r="BN230" s="92"/>
      <c r="BO230" s="92"/>
      <c r="BP230" s="92"/>
      <c r="BQ230" s="92"/>
      <c r="BR230" s="92"/>
      <c r="BS230" s="92"/>
      <c r="BT230" s="92"/>
      <c r="BU230" s="92"/>
      <c r="BV230" s="92"/>
      <c r="BW230" s="92"/>
      <c r="BX230" s="92"/>
      <c r="BY230" s="92"/>
      <c r="BZ230" s="92"/>
      <c r="CA230" s="92"/>
      <c r="CB230" s="92"/>
    </row>
    <row r="231" spans="1:80" ht="12.75" customHeight="1">
      <c r="A231" s="92"/>
      <c r="B231" s="92"/>
      <c r="C231" s="92"/>
      <c r="D231" s="92"/>
      <c r="E231" s="92"/>
      <c r="F231" s="92">
        <v>17</v>
      </c>
      <c r="G231" s="93" t="s">
        <v>343</v>
      </c>
      <c r="H231" s="92">
        <v>3</v>
      </c>
      <c r="I231" s="92">
        <v>4</v>
      </c>
      <c r="J231" s="92">
        <v>4</v>
      </c>
      <c r="K231" s="92">
        <v>4</v>
      </c>
      <c r="L231" s="92">
        <v>4</v>
      </c>
      <c r="M231" s="92">
        <v>4</v>
      </c>
      <c r="N231" s="92">
        <v>5</v>
      </c>
      <c r="O231" s="92">
        <v>6</v>
      </c>
      <c r="P231" s="92">
        <v>6</v>
      </c>
      <c r="Q231" s="92">
        <v>6</v>
      </c>
      <c r="R231" s="92">
        <v>6</v>
      </c>
      <c r="S231" s="92">
        <v>7</v>
      </c>
      <c r="T231" s="92">
        <v>7</v>
      </c>
      <c r="U231" s="92">
        <v>7</v>
      </c>
      <c r="V231" s="92">
        <v>8</v>
      </c>
      <c r="W231" s="92">
        <v>8</v>
      </c>
      <c r="X231" s="92">
        <v>8</v>
      </c>
      <c r="Y231" s="92">
        <v>8</v>
      </c>
      <c r="Z231" s="92">
        <v>9</v>
      </c>
      <c r="AA231" s="92">
        <v>9</v>
      </c>
      <c r="AB231" s="92">
        <v>10</v>
      </c>
      <c r="AC231" s="92">
        <v>10</v>
      </c>
      <c r="AD231" s="92">
        <v>10</v>
      </c>
      <c r="AE231" s="92" t="s">
        <v>301</v>
      </c>
      <c r="AF231" s="92" t="s">
        <v>301</v>
      </c>
      <c r="AG231" s="92" t="s">
        <v>301</v>
      </c>
      <c r="AH231" s="92" t="s">
        <v>301</v>
      </c>
      <c r="AI231" s="92" t="s">
        <v>301</v>
      </c>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c r="BO231" s="92"/>
      <c r="BP231" s="92"/>
      <c r="BQ231" s="92"/>
      <c r="BR231" s="92"/>
      <c r="BS231" s="92"/>
      <c r="BT231" s="92"/>
      <c r="BU231" s="92"/>
      <c r="BV231" s="92"/>
      <c r="BW231" s="92"/>
      <c r="BX231" s="92"/>
      <c r="BY231" s="92"/>
      <c r="BZ231" s="92"/>
      <c r="CA231" s="92"/>
      <c r="CB231" s="92"/>
    </row>
    <row r="232" spans="1:80" ht="12.75" customHeight="1">
      <c r="A232" s="92"/>
      <c r="B232" s="92"/>
      <c r="C232" s="92"/>
      <c r="D232" s="92"/>
      <c r="E232" s="92"/>
      <c r="F232" s="92">
        <v>18</v>
      </c>
      <c r="G232" s="93" t="s">
        <v>348</v>
      </c>
      <c r="H232" s="92">
        <v>3</v>
      </c>
      <c r="I232" s="92">
        <v>4</v>
      </c>
      <c r="J232" s="92">
        <v>4</v>
      </c>
      <c r="K232" s="92">
        <v>5</v>
      </c>
      <c r="L232" s="92">
        <v>6</v>
      </c>
      <c r="M232" s="92">
        <v>6</v>
      </c>
      <c r="N232" s="92">
        <v>6</v>
      </c>
      <c r="O232" s="92">
        <v>6</v>
      </c>
      <c r="P232" s="92">
        <v>7</v>
      </c>
      <c r="Q232" s="92">
        <v>7</v>
      </c>
      <c r="R232" s="92">
        <v>7</v>
      </c>
      <c r="S232" s="92">
        <v>7</v>
      </c>
      <c r="T232" s="92">
        <v>8</v>
      </c>
      <c r="U232" s="92">
        <v>8</v>
      </c>
      <c r="V232" s="92">
        <v>8</v>
      </c>
      <c r="W232" s="92">
        <v>9</v>
      </c>
      <c r="X232" s="92">
        <v>9</v>
      </c>
      <c r="Y232" s="92">
        <v>9</v>
      </c>
      <c r="Z232" s="92">
        <v>10</v>
      </c>
      <c r="AA232" s="92">
        <v>10</v>
      </c>
      <c r="AB232" s="92">
        <v>10</v>
      </c>
      <c r="AC232" s="92">
        <v>10</v>
      </c>
      <c r="AD232" s="92">
        <v>10</v>
      </c>
      <c r="AE232" s="92" t="s">
        <v>301</v>
      </c>
      <c r="AF232" s="92" t="s">
        <v>301</v>
      </c>
      <c r="AG232" s="92" t="s">
        <v>301</v>
      </c>
      <c r="AH232" s="92" t="s">
        <v>301</v>
      </c>
      <c r="AI232" s="92" t="s">
        <v>301</v>
      </c>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2"/>
      <c r="BL232" s="92"/>
      <c r="BM232" s="92"/>
      <c r="BN232" s="92"/>
      <c r="BO232" s="92"/>
      <c r="BP232" s="92"/>
      <c r="BQ232" s="92"/>
      <c r="BR232" s="92"/>
      <c r="BS232" s="92"/>
      <c r="BT232" s="92"/>
      <c r="BU232" s="92"/>
      <c r="BV232" s="92"/>
      <c r="BW232" s="92"/>
      <c r="BX232" s="92"/>
      <c r="BY232" s="92"/>
      <c r="BZ232" s="92"/>
      <c r="CA232" s="92"/>
      <c r="CB232" s="92"/>
    </row>
    <row r="233" spans="1:80" ht="12.75" customHeight="1">
      <c r="A233" s="92"/>
      <c r="B233" s="92"/>
      <c r="C233" s="92"/>
      <c r="D233" s="92"/>
      <c r="E233" s="92"/>
      <c r="F233" s="92"/>
      <c r="G233" s="93"/>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2"/>
      <c r="BL233" s="92"/>
      <c r="BM233" s="92"/>
      <c r="BN233" s="92"/>
      <c r="BO233" s="92"/>
      <c r="BP233" s="92"/>
      <c r="BQ233" s="92"/>
      <c r="BR233" s="92"/>
      <c r="BS233" s="92"/>
      <c r="BT233" s="92"/>
      <c r="BU233" s="92"/>
      <c r="BV233" s="92"/>
      <c r="BW233" s="92"/>
      <c r="BX233" s="92"/>
      <c r="BY233" s="92"/>
      <c r="BZ233" s="92"/>
      <c r="CA233" s="92"/>
      <c r="CB233" s="92"/>
    </row>
    <row r="234" spans="1:80" ht="12.75" customHeight="1">
      <c r="A234" s="92"/>
      <c r="B234" s="92"/>
      <c r="C234" s="92"/>
      <c r="D234" s="92"/>
      <c r="E234" s="92"/>
      <c r="F234" s="92"/>
      <c r="G234" s="93"/>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2"/>
      <c r="BL234" s="92"/>
      <c r="BM234" s="92"/>
      <c r="BN234" s="92"/>
      <c r="BO234" s="92"/>
      <c r="BP234" s="92"/>
      <c r="BQ234" s="92"/>
      <c r="BR234" s="92"/>
      <c r="BS234" s="92"/>
      <c r="BT234" s="92"/>
      <c r="BU234" s="92"/>
      <c r="BV234" s="92"/>
      <c r="BW234" s="92"/>
      <c r="BX234" s="92"/>
      <c r="BY234" s="92"/>
      <c r="BZ234" s="92"/>
      <c r="CA234" s="92"/>
      <c r="CB234" s="92"/>
    </row>
    <row r="235" spans="1:80" ht="12.75" customHeight="1">
      <c r="A235" s="92"/>
      <c r="B235" s="92"/>
      <c r="C235" s="92"/>
      <c r="D235" s="92"/>
      <c r="E235" s="92"/>
      <c r="F235" s="92"/>
      <c r="G235" s="93"/>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2"/>
      <c r="BL235" s="92"/>
      <c r="BM235" s="92"/>
      <c r="BN235" s="92"/>
      <c r="BO235" s="92"/>
      <c r="BP235" s="92"/>
      <c r="BQ235" s="92"/>
      <c r="BR235" s="92"/>
      <c r="BS235" s="92"/>
      <c r="BT235" s="92"/>
      <c r="BU235" s="92"/>
      <c r="BV235" s="92"/>
      <c r="BW235" s="92"/>
      <c r="BX235" s="92"/>
      <c r="BY235" s="92"/>
      <c r="BZ235" s="92"/>
      <c r="CA235" s="92"/>
      <c r="CB235" s="92"/>
    </row>
    <row r="236" spans="1:80" ht="12.75" customHeight="1">
      <c r="A236" s="92"/>
      <c r="B236" s="92"/>
      <c r="C236" s="92"/>
      <c r="D236" s="92"/>
      <c r="E236" s="92"/>
      <c r="F236" s="92"/>
      <c r="G236" s="93"/>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2"/>
      <c r="BL236" s="92"/>
      <c r="BM236" s="92"/>
      <c r="BN236" s="92"/>
      <c r="BO236" s="92"/>
      <c r="BP236" s="92"/>
      <c r="BQ236" s="92"/>
      <c r="BR236" s="92"/>
      <c r="BS236" s="92"/>
      <c r="BT236" s="92"/>
      <c r="BU236" s="92"/>
      <c r="BV236" s="92"/>
      <c r="BW236" s="92"/>
      <c r="BX236" s="92"/>
      <c r="BY236" s="92"/>
      <c r="BZ236" s="92"/>
      <c r="CA236" s="92"/>
      <c r="CB236" s="92"/>
    </row>
    <row r="237" spans="1:80" ht="12.75" customHeight="1">
      <c r="A237" s="92"/>
      <c r="B237" s="92"/>
      <c r="C237" s="92"/>
      <c r="D237" s="92"/>
      <c r="E237" s="92"/>
      <c r="F237" s="92"/>
      <c r="G237" s="93" t="s">
        <v>412</v>
      </c>
      <c r="H237" s="92">
        <v>0</v>
      </c>
      <c r="I237" s="92">
        <v>1</v>
      </c>
      <c r="J237" s="92">
        <v>2</v>
      </c>
      <c r="K237" s="92">
        <v>3</v>
      </c>
      <c r="L237" s="92">
        <v>4</v>
      </c>
      <c r="M237" s="92">
        <v>5</v>
      </c>
      <c r="N237" s="92">
        <v>6</v>
      </c>
      <c r="O237" s="92">
        <v>7</v>
      </c>
      <c r="P237" s="92">
        <v>8</v>
      </c>
      <c r="Q237" s="92">
        <v>9</v>
      </c>
      <c r="R237" s="92">
        <v>10</v>
      </c>
      <c r="S237" s="92">
        <v>11</v>
      </c>
      <c r="T237" s="92">
        <v>12</v>
      </c>
      <c r="U237" s="92">
        <v>13</v>
      </c>
      <c r="V237" s="92">
        <v>14</v>
      </c>
      <c r="W237" s="92">
        <v>15</v>
      </c>
      <c r="X237" s="92">
        <v>16</v>
      </c>
      <c r="Y237" s="92">
        <v>17</v>
      </c>
      <c r="Z237" s="92">
        <v>18</v>
      </c>
      <c r="AA237" s="92">
        <v>19</v>
      </c>
      <c r="AB237" s="92">
        <v>20</v>
      </c>
      <c r="AC237" s="92">
        <v>21</v>
      </c>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2"/>
      <c r="BL237" s="92"/>
      <c r="BM237" s="92"/>
      <c r="BN237" s="92"/>
      <c r="BO237" s="92"/>
      <c r="BP237" s="92"/>
      <c r="BQ237" s="92"/>
      <c r="BR237" s="92"/>
      <c r="BS237" s="92"/>
      <c r="BT237" s="92"/>
      <c r="BU237" s="92"/>
      <c r="BV237" s="92"/>
      <c r="BW237" s="92"/>
      <c r="BX237" s="92"/>
      <c r="BY237" s="92"/>
      <c r="BZ237" s="92"/>
      <c r="CA237" s="92"/>
      <c r="CB237" s="92"/>
    </row>
    <row r="238" spans="1:80" ht="12.75" customHeight="1">
      <c r="A238" s="92"/>
      <c r="B238" s="92"/>
      <c r="C238" s="92"/>
      <c r="D238" s="92"/>
      <c r="E238" s="92"/>
      <c r="F238" s="92">
        <v>1</v>
      </c>
      <c r="G238" s="93" t="s">
        <v>300</v>
      </c>
      <c r="H238" s="99">
        <v>1</v>
      </c>
      <c r="I238" s="99">
        <v>1</v>
      </c>
      <c r="J238" s="99">
        <v>1</v>
      </c>
      <c r="K238" s="99">
        <v>1</v>
      </c>
      <c r="L238" s="99">
        <v>1</v>
      </c>
      <c r="M238" s="99">
        <v>2</v>
      </c>
      <c r="N238" s="99">
        <v>2</v>
      </c>
      <c r="O238" s="99">
        <v>3</v>
      </c>
      <c r="P238" s="99">
        <v>4</v>
      </c>
      <c r="Q238" s="99">
        <v>4</v>
      </c>
      <c r="R238" s="99">
        <v>5</v>
      </c>
      <c r="S238" s="99">
        <v>6</v>
      </c>
      <c r="T238" s="99">
        <v>7</v>
      </c>
      <c r="U238" s="99">
        <v>7</v>
      </c>
      <c r="V238" s="99">
        <v>8</v>
      </c>
      <c r="W238" s="99">
        <v>9</v>
      </c>
      <c r="X238" s="99">
        <v>9</v>
      </c>
      <c r="Y238" s="99">
        <v>10</v>
      </c>
      <c r="Z238" s="99">
        <v>10</v>
      </c>
      <c r="AA238" s="99">
        <v>10</v>
      </c>
      <c r="AB238" s="99">
        <v>10</v>
      </c>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2"/>
      <c r="BL238" s="92"/>
      <c r="BM238" s="92"/>
      <c r="BN238" s="92"/>
      <c r="BO238" s="92"/>
      <c r="BP238" s="92"/>
      <c r="BQ238" s="92"/>
      <c r="BR238" s="92"/>
      <c r="BS238" s="92"/>
      <c r="BT238" s="92"/>
      <c r="BU238" s="92"/>
      <c r="BV238" s="92"/>
      <c r="BW238" s="92"/>
      <c r="BX238" s="92"/>
      <c r="BY238" s="92"/>
      <c r="BZ238" s="92"/>
      <c r="CA238" s="92"/>
      <c r="CB238" s="92"/>
    </row>
    <row r="239" spans="1:80" ht="12.75" customHeight="1">
      <c r="A239" s="92"/>
      <c r="B239" s="92"/>
      <c r="C239" s="92"/>
      <c r="D239" s="92"/>
      <c r="E239" s="92"/>
      <c r="F239" s="92">
        <v>2</v>
      </c>
      <c r="G239" s="93" t="s">
        <v>303</v>
      </c>
      <c r="H239" s="99">
        <v>1</v>
      </c>
      <c r="I239" s="99">
        <v>1</v>
      </c>
      <c r="J239" s="99">
        <v>1</v>
      </c>
      <c r="K239" s="99">
        <v>1</v>
      </c>
      <c r="L239" s="99">
        <v>1</v>
      </c>
      <c r="M239" s="99">
        <v>1</v>
      </c>
      <c r="N239" s="99">
        <v>2</v>
      </c>
      <c r="O239" s="99">
        <v>2</v>
      </c>
      <c r="P239" s="99">
        <v>3</v>
      </c>
      <c r="Q239" s="99">
        <v>4</v>
      </c>
      <c r="R239" s="99">
        <v>5</v>
      </c>
      <c r="S239" s="99">
        <v>5</v>
      </c>
      <c r="T239" s="99">
        <v>6</v>
      </c>
      <c r="U239" s="99">
        <v>7</v>
      </c>
      <c r="V239" s="99">
        <v>8</v>
      </c>
      <c r="W239" s="99">
        <v>8</v>
      </c>
      <c r="X239" s="99">
        <v>9</v>
      </c>
      <c r="Y239" s="99">
        <v>10</v>
      </c>
      <c r="Z239" s="99">
        <v>10</v>
      </c>
      <c r="AA239" s="99">
        <v>10</v>
      </c>
      <c r="AB239" s="99">
        <v>10</v>
      </c>
      <c r="AC239" s="92"/>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2"/>
      <c r="BL239" s="92"/>
      <c r="BM239" s="92"/>
      <c r="BN239" s="92"/>
      <c r="BO239" s="92"/>
      <c r="BP239" s="92"/>
      <c r="BQ239" s="92"/>
      <c r="BR239" s="92"/>
      <c r="BS239" s="92"/>
      <c r="BT239" s="92"/>
      <c r="BU239" s="92"/>
      <c r="BV239" s="92"/>
      <c r="BW239" s="92"/>
      <c r="BX239" s="92"/>
      <c r="BY239" s="92"/>
      <c r="BZ239" s="92"/>
      <c r="CA239" s="92"/>
      <c r="CB239" s="92"/>
    </row>
    <row r="240" spans="1:80" ht="12.75" customHeight="1">
      <c r="A240" s="92"/>
      <c r="B240" s="92"/>
      <c r="C240" s="92"/>
      <c r="D240" s="92"/>
      <c r="E240" s="92"/>
      <c r="F240" s="92">
        <v>3</v>
      </c>
      <c r="G240" s="93" t="s">
        <v>305</v>
      </c>
      <c r="H240" s="99">
        <v>1</v>
      </c>
      <c r="I240" s="99">
        <v>1</v>
      </c>
      <c r="J240" s="99">
        <v>1</v>
      </c>
      <c r="K240" s="99">
        <v>1</v>
      </c>
      <c r="L240" s="99">
        <v>1</v>
      </c>
      <c r="M240" s="99">
        <v>1</v>
      </c>
      <c r="N240" s="99">
        <v>2</v>
      </c>
      <c r="O240" s="99">
        <v>3</v>
      </c>
      <c r="P240" s="99">
        <v>3</v>
      </c>
      <c r="Q240" s="99">
        <v>4</v>
      </c>
      <c r="R240" s="99">
        <v>5</v>
      </c>
      <c r="S240" s="99">
        <v>6</v>
      </c>
      <c r="T240" s="99">
        <v>6</v>
      </c>
      <c r="U240" s="99">
        <v>7</v>
      </c>
      <c r="V240" s="99">
        <v>8</v>
      </c>
      <c r="W240" s="99">
        <v>9</v>
      </c>
      <c r="X240" s="99">
        <v>9</v>
      </c>
      <c r="Y240" s="99">
        <v>10</v>
      </c>
      <c r="Z240" s="99">
        <v>10</v>
      </c>
      <c r="AA240" s="99">
        <v>10</v>
      </c>
      <c r="AB240" s="99">
        <v>10</v>
      </c>
      <c r="AC240" s="92"/>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2"/>
      <c r="BL240" s="92"/>
      <c r="BM240" s="92"/>
      <c r="BN240" s="92"/>
      <c r="BO240" s="92"/>
      <c r="BP240" s="92"/>
      <c r="BQ240" s="92"/>
      <c r="BR240" s="92"/>
      <c r="BS240" s="92"/>
      <c r="BT240" s="92"/>
      <c r="BU240" s="92"/>
      <c r="BV240" s="92"/>
      <c r="BW240" s="92"/>
      <c r="BX240" s="92"/>
      <c r="BY240" s="92"/>
      <c r="BZ240" s="92"/>
      <c r="CA240" s="92"/>
      <c r="CB240" s="92"/>
    </row>
    <row r="241" spans="1:80" ht="12.75" customHeight="1">
      <c r="A241" s="92"/>
      <c r="B241" s="92"/>
      <c r="C241" s="92"/>
      <c r="D241" s="92"/>
      <c r="E241" s="92"/>
      <c r="F241" s="92">
        <v>4</v>
      </c>
      <c r="G241" s="93" t="s">
        <v>307</v>
      </c>
      <c r="H241" s="92">
        <v>1</v>
      </c>
      <c r="I241" s="92">
        <v>1</v>
      </c>
      <c r="J241" s="92">
        <v>1</v>
      </c>
      <c r="K241" s="92">
        <v>1</v>
      </c>
      <c r="L241" s="92">
        <v>1</v>
      </c>
      <c r="M241" s="92">
        <v>1</v>
      </c>
      <c r="N241" s="92">
        <v>2</v>
      </c>
      <c r="O241" s="92">
        <v>3</v>
      </c>
      <c r="P241" s="92">
        <v>3</v>
      </c>
      <c r="Q241" s="92">
        <v>4</v>
      </c>
      <c r="R241" s="92">
        <v>5</v>
      </c>
      <c r="S241" s="92">
        <v>5</v>
      </c>
      <c r="T241" s="92">
        <v>6</v>
      </c>
      <c r="U241" s="92">
        <v>7</v>
      </c>
      <c r="V241" s="92">
        <v>8</v>
      </c>
      <c r="W241" s="92">
        <v>8</v>
      </c>
      <c r="X241" s="92">
        <v>9</v>
      </c>
      <c r="Y241" s="92">
        <v>10</v>
      </c>
      <c r="Z241" s="92">
        <v>10</v>
      </c>
      <c r="AA241" s="92">
        <v>10</v>
      </c>
      <c r="AB241" s="92">
        <v>10</v>
      </c>
      <c r="AC241" s="92"/>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2"/>
      <c r="BL241" s="92"/>
      <c r="BM241" s="92"/>
      <c r="BN241" s="92"/>
      <c r="BO241" s="92"/>
      <c r="BP241" s="92"/>
      <c r="BQ241" s="92"/>
      <c r="BR241" s="92"/>
      <c r="BS241" s="92"/>
      <c r="BT241" s="92"/>
      <c r="BU241" s="92"/>
      <c r="BV241" s="92"/>
      <c r="BW241" s="92"/>
      <c r="BX241" s="92"/>
      <c r="BY241" s="92"/>
      <c r="BZ241" s="92"/>
      <c r="CA241" s="92"/>
      <c r="CB241" s="92"/>
    </row>
    <row r="242" spans="1:80" ht="12.75" customHeight="1">
      <c r="A242" s="92"/>
      <c r="B242" s="92"/>
      <c r="C242" s="92"/>
      <c r="D242" s="92"/>
      <c r="E242" s="92"/>
      <c r="F242" s="92">
        <v>5</v>
      </c>
      <c r="G242" s="93" t="s">
        <v>309</v>
      </c>
      <c r="H242" s="92">
        <v>1</v>
      </c>
      <c r="I242" s="92">
        <v>1</v>
      </c>
      <c r="J242" s="92">
        <v>1</v>
      </c>
      <c r="K242" s="92">
        <v>1</v>
      </c>
      <c r="L242" s="92">
        <v>1</v>
      </c>
      <c r="M242" s="92">
        <v>1</v>
      </c>
      <c r="N242" s="92">
        <v>2</v>
      </c>
      <c r="O242" s="92">
        <v>3</v>
      </c>
      <c r="P242" s="92">
        <v>3</v>
      </c>
      <c r="Q242" s="92">
        <v>4</v>
      </c>
      <c r="R242" s="92">
        <v>5</v>
      </c>
      <c r="S242" s="92">
        <v>5</v>
      </c>
      <c r="T242" s="92">
        <v>6</v>
      </c>
      <c r="U242" s="92">
        <v>7</v>
      </c>
      <c r="V242" s="92">
        <v>7</v>
      </c>
      <c r="W242" s="92">
        <v>8</v>
      </c>
      <c r="X242" s="92">
        <v>9</v>
      </c>
      <c r="Y242" s="92">
        <v>9</v>
      </c>
      <c r="Z242" s="92">
        <v>10</v>
      </c>
      <c r="AA242" s="92">
        <v>10</v>
      </c>
      <c r="AB242" s="92">
        <v>10</v>
      </c>
      <c r="AC242" s="92"/>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2"/>
      <c r="BL242" s="92"/>
      <c r="BM242" s="92"/>
      <c r="BN242" s="92"/>
      <c r="BO242" s="92"/>
      <c r="BP242" s="92"/>
      <c r="BQ242" s="92"/>
      <c r="BR242" s="92"/>
      <c r="BS242" s="92"/>
      <c r="BT242" s="92"/>
      <c r="BU242" s="92"/>
      <c r="BV242" s="92"/>
      <c r="BW242" s="92"/>
      <c r="BX242" s="92"/>
      <c r="BY242" s="92"/>
      <c r="BZ242" s="92"/>
      <c r="CA242" s="92"/>
      <c r="CB242" s="92"/>
    </row>
    <row r="243" spans="1:80" ht="12.75" customHeight="1">
      <c r="A243" s="92"/>
      <c r="B243" s="92"/>
      <c r="C243" s="92"/>
      <c r="D243" s="92"/>
      <c r="E243" s="92"/>
      <c r="F243" s="92">
        <v>6</v>
      </c>
      <c r="G243" s="93" t="s">
        <v>311</v>
      </c>
      <c r="H243" s="92">
        <v>1</v>
      </c>
      <c r="I243" s="92">
        <v>1</v>
      </c>
      <c r="J243" s="92">
        <v>1</v>
      </c>
      <c r="K243" s="92">
        <v>1</v>
      </c>
      <c r="L243" s="92">
        <v>1</v>
      </c>
      <c r="M243" s="92">
        <v>2</v>
      </c>
      <c r="N243" s="92">
        <v>2</v>
      </c>
      <c r="O243" s="92">
        <v>3</v>
      </c>
      <c r="P243" s="92">
        <v>4</v>
      </c>
      <c r="Q243" s="92">
        <v>5</v>
      </c>
      <c r="R243" s="92">
        <v>5</v>
      </c>
      <c r="S243" s="92">
        <v>6</v>
      </c>
      <c r="T243" s="92">
        <v>7</v>
      </c>
      <c r="U243" s="92">
        <v>7</v>
      </c>
      <c r="V243" s="92">
        <v>8</v>
      </c>
      <c r="W243" s="92">
        <v>9</v>
      </c>
      <c r="X243" s="92">
        <v>10</v>
      </c>
      <c r="Y243" s="92">
        <v>10</v>
      </c>
      <c r="Z243" s="92">
        <v>10</v>
      </c>
      <c r="AA243" s="92">
        <v>10</v>
      </c>
      <c r="AB243" s="92">
        <v>10</v>
      </c>
      <c r="AC243" s="92"/>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2"/>
      <c r="BL243" s="92"/>
      <c r="BM243" s="92"/>
      <c r="BN243" s="92"/>
      <c r="BO243" s="92"/>
      <c r="BP243" s="92"/>
      <c r="BQ243" s="92"/>
      <c r="BR243" s="92"/>
      <c r="BS243" s="92"/>
      <c r="BT243" s="92"/>
      <c r="BU243" s="92"/>
      <c r="BV243" s="92"/>
      <c r="BW243" s="92"/>
      <c r="BX243" s="92"/>
      <c r="BY243" s="92"/>
      <c r="BZ243" s="92"/>
      <c r="CA243" s="92"/>
      <c r="CB243" s="92"/>
    </row>
    <row r="244" spans="1:80" ht="12.75" customHeight="1">
      <c r="A244" s="92"/>
      <c r="B244" s="92"/>
      <c r="C244" s="92"/>
      <c r="D244" s="92"/>
      <c r="E244" s="92"/>
      <c r="F244" s="92">
        <v>7</v>
      </c>
      <c r="G244" s="93" t="s">
        <v>313</v>
      </c>
      <c r="H244" s="92">
        <v>1</v>
      </c>
      <c r="I244" s="92">
        <v>1</v>
      </c>
      <c r="J244" s="92">
        <v>1</v>
      </c>
      <c r="K244" s="92">
        <v>1</v>
      </c>
      <c r="L244" s="92">
        <v>1</v>
      </c>
      <c r="M244" s="92">
        <v>1</v>
      </c>
      <c r="N244" s="92">
        <v>2</v>
      </c>
      <c r="O244" s="92">
        <v>3</v>
      </c>
      <c r="P244" s="92">
        <v>3</v>
      </c>
      <c r="Q244" s="92">
        <v>4</v>
      </c>
      <c r="R244" s="92">
        <v>5</v>
      </c>
      <c r="S244" s="92">
        <v>5</v>
      </c>
      <c r="T244" s="92">
        <v>6</v>
      </c>
      <c r="U244" s="92">
        <v>7</v>
      </c>
      <c r="V244" s="92">
        <v>7</v>
      </c>
      <c r="W244" s="92">
        <v>8</v>
      </c>
      <c r="X244" s="92">
        <v>9</v>
      </c>
      <c r="Y244" s="92">
        <v>10</v>
      </c>
      <c r="Z244" s="92">
        <v>10</v>
      </c>
      <c r="AA244" s="92">
        <v>10</v>
      </c>
      <c r="AB244" s="92">
        <v>10</v>
      </c>
      <c r="AC244" s="92"/>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2"/>
      <c r="BL244" s="92"/>
      <c r="BM244" s="92"/>
      <c r="BN244" s="92"/>
      <c r="BO244" s="92"/>
      <c r="BP244" s="92"/>
      <c r="BQ244" s="92"/>
      <c r="BR244" s="92"/>
      <c r="BS244" s="92"/>
      <c r="BT244" s="92"/>
      <c r="BU244" s="92"/>
      <c r="BV244" s="92"/>
      <c r="BW244" s="92"/>
      <c r="BX244" s="92"/>
      <c r="BY244" s="92"/>
      <c r="BZ244" s="92"/>
      <c r="CA244" s="92"/>
      <c r="CB244" s="92"/>
    </row>
    <row r="245" spans="1:80" ht="12.75" customHeight="1">
      <c r="A245" s="92"/>
      <c r="B245" s="92"/>
      <c r="C245" s="92"/>
      <c r="D245" s="92"/>
      <c r="E245" s="92"/>
      <c r="F245" s="92">
        <v>8</v>
      </c>
      <c r="G245" s="93" t="s">
        <v>315</v>
      </c>
      <c r="H245" s="92">
        <v>1</v>
      </c>
      <c r="I245" s="92">
        <v>1</v>
      </c>
      <c r="J245" s="92">
        <v>1</v>
      </c>
      <c r="K245" s="92">
        <v>1</v>
      </c>
      <c r="L245" s="92">
        <v>1</v>
      </c>
      <c r="M245" s="92">
        <v>1</v>
      </c>
      <c r="N245" s="92">
        <v>2</v>
      </c>
      <c r="O245" s="92">
        <v>2</v>
      </c>
      <c r="P245" s="92">
        <v>3</v>
      </c>
      <c r="Q245" s="92">
        <v>4</v>
      </c>
      <c r="R245" s="92">
        <v>4</v>
      </c>
      <c r="S245" s="92">
        <v>5</v>
      </c>
      <c r="T245" s="92">
        <v>6</v>
      </c>
      <c r="U245" s="92">
        <v>6</v>
      </c>
      <c r="V245" s="92">
        <v>7</v>
      </c>
      <c r="W245" s="92">
        <v>7</v>
      </c>
      <c r="X245" s="92">
        <v>8</v>
      </c>
      <c r="Y245" s="92">
        <v>9</v>
      </c>
      <c r="Z245" s="92">
        <v>9</v>
      </c>
      <c r="AA245" s="92">
        <v>10</v>
      </c>
      <c r="AB245" s="92">
        <v>10</v>
      </c>
      <c r="AC245" s="92"/>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2"/>
      <c r="BL245" s="92"/>
      <c r="BM245" s="92"/>
      <c r="BN245" s="92"/>
      <c r="BO245" s="92"/>
      <c r="BP245" s="92"/>
      <c r="BQ245" s="92"/>
      <c r="BR245" s="92"/>
      <c r="BS245" s="92"/>
      <c r="BT245" s="92"/>
      <c r="BU245" s="92"/>
      <c r="BV245" s="92"/>
      <c r="BW245" s="92"/>
      <c r="BX245" s="92"/>
      <c r="BY245" s="92"/>
      <c r="BZ245" s="92"/>
      <c r="CA245" s="92"/>
      <c r="CB245" s="92"/>
    </row>
    <row r="246" spans="1:80" ht="12.75" customHeight="1">
      <c r="A246" s="92"/>
      <c r="B246" s="92"/>
      <c r="C246" s="92"/>
      <c r="D246" s="92"/>
      <c r="E246" s="92"/>
      <c r="F246" s="92">
        <v>9</v>
      </c>
      <c r="G246" s="93" t="s">
        <v>318</v>
      </c>
      <c r="H246" s="92">
        <v>1</v>
      </c>
      <c r="I246" s="92">
        <v>1</v>
      </c>
      <c r="J246" s="92">
        <v>1</v>
      </c>
      <c r="K246" s="92">
        <v>1</v>
      </c>
      <c r="L246" s="92">
        <v>1</v>
      </c>
      <c r="M246" s="92">
        <v>1</v>
      </c>
      <c r="N246" s="92">
        <v>1</v>
      </c>
      <c r="O246" s="92">
        <v>1</v>
      </c>
      <c r="P246" s="92">
        <v>2</v>
      </c>
      <c r="Q246" s="92">
        <v>2</v>
      </c>
      <c r="R246" s="92">
        <v>3</v>
      </c>
      <c r="S246" s="92">
        <v>4</v>
      </c>
      <c r="T246" s="92">
        <v>5</v>
      </c>
      <c r="U246" s="92">
        <v>6</v>
      </c>
      <c r="V246" s="92">
        <v>7</v>
      </c>
      <c r="W246" s="92">
        <v>7</v>
      </c>
      <c r="X246" s="92">
        <v>8</v>
      </c>
      <c r="Y246" s="92">
        <v>9</v>
      </c>
      <c r="Z246" s="92">
        <v>10</v>
      </c>
      <c r="AA246" s="92">
        <v>10</v>
      </c>
      <c r="AB246" s="92">
        <v>10</v>
      </c>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2"/>
      <c r="BL246" s="92"/>
      <c r="BM246" s="92"/>
      <c r="BN246" s="92"/>
      <c r="BO246" s="92"/>
      <c r="BP246" s="92"/>
      <c r="BQ246" s="92"/>
      <c r="BR246" s="92"/>
      <c r="BS246" s="92"/>
      <c r="BT246" s="92"/>
      <c r="BU246" s="92"/>
      <c r="BV246" s="92"/>
      <c r="BW246" s="92"/>
      <c r="BX246" s="92"/>
      <c r="BY246" s="92"/>
      <c r="BZ246" s="92"/>
      <c r="CA246" s="92"/>
      <c r="CB246" s="92"/>
    </row>
    <row r="247" spans="1:80" ht="12.75" customHeight="1">
      <c r="A247" s="92"/>
      <c r="B247" s="92"/>
      <c r="C247" s="92"/>
      <c r="D247" s="92"/>
      <c r="E247" s="92"/>
      <c r="F247" s="92">
        <v>10</v>
      </c>
      <c r="G247" s="93" t="s">
        <v>320</v>
      </c>
      <c r="H247" s="92">
        <v>1</v>
      </c>
      <c r="I247" s="92">
        <v>1</v>
      </c>
      <c r="J247" s="92">
        <v>1</v>
      </c>
      <c r="K247" s="92">
        <v>1</v>
      </c>
      <c r="L247" s="92">
        <v>1</v>
      </c>
      <c r="M247" s="92">
        <v>1</v>
      </c>
      <c r="N247" s="92">
        <v>1</v>
      </c>
      <c r="O247" s="92">
        <v>2</v>
      </c>
      <c r="P247" s="92">
        <v>2</v>
      </c>
      <c r="Q247" s="92">
        <v>3</v>
      </c>
      <c r="R247" s="92">
        <v>4</v>
      </c>
      <c r="S247" s="92">
        <v>4</v>
      </c>
      <c r="T247" s="92">
        <v>5</v>
      </c>
      <c r="U247" s="92">
        <v>6</v>
      </c>
      <c r="V247" s="92">
        <v>6</v>
      </c>
      <c r="W247" s="92">
        <v>7</v>
      </c>
      <c r="X247" s="92">
        <v>8</v>
      </c>
      <c r="Y247" s="92">
        <v>8</v>
      </c>
      <c r="Z247" s="92">
        <v>9</v>
      </c>
      <c r="AA247" s="92">
        <v>10</v>
      </c>
      <c r="AB247" s="92">
        <v>10</v>
      </c>
      <c r="AC247" s="92"/>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2"/>
      <c r="BL247" s="92"/>
      <c r="BM247" s="92"/>
      <c r="BN247" s="92"/>
      <c r="BO247" s="92"/>
      <c r="BP247" s="92"/>
      <c r="BQ247" s="92"/>
      <c r="BR247" s="92"/>
      <c r="BS247" s="92"/>
      <c r="BT247" s="92"/>
      <c r="BU247" s="92"/>
      <c r="BV247" s="92"/>
      <c r="BW247" s="92"/>
      <c r="BX247" s="92"/>
      <c r="BY247" s="92"/>
      <c r="BZ247" s="92"/>
      <c r="CA247" s="92"/>
      <c r="CB247" s="92"/>
    </row>
    <row r="248" spans="1:80" ht="12.75" customHeight="1">
      <c r="A248" s="92"/>
      <c r="B248" s="92"/>
      <c r="C248" s="92"/>
      <c r="D248" s="92"/>
      <c r="E248" s="92"/>
      <c r="F248" s="92">
        <v>11</v>
      </c>
      <c r="G248" s="93" t="s">
        <v>322</v>
      </c>
      <c r="H248" s="92">
        <v>1</v>
      </c>
      <c r="I248" s="92">
        <v>1</v>
      </c>
      <c r="J248" s="92">
        <v>1</v>
      </c>
      <c r="K248" s="92">
        <v>1</v>
      </c>
      <c r="L248" s="92">
        <v>1</v>
      </c>
      <c r="M248" s="92">
        <v>1</v>
      </c>
      <c r="N248" s="92">
        <v>1</v>
      </c>
      <c r="O248" s="92">
        <v>1</v>
      </c>
      <c r="P248" s="92">
        <v>2</v>
      </c>
      <c r="Q248" s="92">
        <v>2</v>
      </c>
      <c r="R248" s="92">
        <v>3</v>
      </c>
      <c r="S248" s="92">
        <v>4</v>
      </c>
      <c r="T248" s="92">
        <v>5</v>
      </c>
      <c r="U248" s="92">
        <v>6</v>
      </c>
      <c r="V248" s="92">
        <v>7</v>
      </c>
      <c r="W248" s="92">
        <v>7</v>
      </c>
      <c r="X248" s="92">
        <v>8</v>
      </c>
      <c r="Y248" s="92">
        <v>9</v>
      </c>
      <c r="Z248" s="92">
        <v>10</v>
      </c>
      <c r="AA248" s="92">
        <v>10</v>
      </c>
      <c r="AB248" s="92">
        <v>10</v>
      </c>
      <c r="AC248" s="92"/>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2"/>
      <c r="BL248" s="92"/>
      <c r="BM248" s="92"/>
      <c r="BN248" s="92"/>
      <c r="BO248" s="92"/>
      <c r="BP248" s="92"/>
      <c r="BQ248" s="92"/>
      <c r="BR248" s="92"/>
      <c r="BS248" s="92"/>
      <c r="BT248" s="92"/>
      <c r="BU248" s="92"/>
      <c r="BV248" s="92"/>
      <c r="BW248" s="92"/>
      <c r="BX248" s="92"/>
      <c r="BY248" s="92"/>
      <c r="BZ248" s="92"/>
      <c r="CA248" s="92"/>
      <c r="CB248" s="92"/>
    </row>
    <row r="249" spans="1:80" ht="12.75" customHeight="1">
      <c r="A249" s="92"/>
      <c r="B249" s="92"/>
      <c r="C249" s="92"/>
      <c r="D249" s="92"/>
      <c r="E249" s="92"/>
      <c r="F249" s="92">
        <v>12</v>
      </c>
      <c r="G249" s="93" t="s">
        <v>324</v>
      </c>
      <c r="H249" s="92">
        <v>1</v>
      </c>
      <c r="I249" s="92">
        <v>1</v>
      </c>
      <c r="J249" s="92">
        <v>1</v>
      </c>
      <c r="K249" s="92">
        <v>1</v>
      </c>
      <c r="L249" s="92">
        <v>1</v>
      </c>
      <c r="M249" s="92">
        <v>1</v>
      </c>
      <c r="N249" s="92">
        <v>2</v>
      </c>
      <c r="O249" s="92">
        <v>2</v>
      </c>
      <c r="P249" s="92">
        <v>3</v>
      </c>
      <c r="Q249" s="92">
        <v>4</v>
      </c>
      <c r="R249" s="92">
        <v>4</v>
      </c>
      <c r="S249" s="92">
        <v>5</v>
      </c>
      <c r="T249" s="92">
        <v>6</v>
      </c>
      <c r="U249" s="92">
        <v>6</v>
      </c>
      <c r="V249" s="92">
        <v>7</v>
      </c>
      <c r="W249" s="92">
        <v>8</v>
      </c>
      <c r="X249" s="92">
        <v>9</v>
      </c>
      <c r="Y249" s="92">
        <v>10</v>
      </c>
      <c r="Z249" s="92">
        <v>10</v>
      </c>
      <c r="AA249" s="92">
        <v>10</v>
      </c>
      <c r="AB249" s="92">
        <v>10</v>
      </c>
      <c r="AC249" s="92"/>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2"/>
      <c r="BL249" s="92"/>
      <c r="BM249" s="92"/>
      <c r="BN249" s="92"/>
      <c r="BO249" s="92"/>
      <c r="BP249" s="92"/>
      <c r="BQ249" s="92"/>
      <c r="BR249" s="92"/>
      <c r="BS249" s="92"/>
      <c r="BT249" s="92"/>
      <c r="BU249" s="92"/>
      <c r="BV249" s="92"/>
      <c r="BW249" s="92"/>
      <c r="BX249" s="92"/>
      <c r="BY249" s="92"/>
      <c r="BZ249" s="92"/>
      <c r="CA249" s="92"/>
      <c r="CB249" s="92"/>
    </row>
    <row r="250" spans="1:80" ht="12.75" customHeight="1">
      <c r="A250" s="92"/>
      <c r="B250" s="92"/>
      <c r="C250" s="92"/>
      <c r="D250" s="92"/>
      <c r="E250" s="92"/>
      <c r="F250" s="92">
        <v>13</v>
      </c>
      <c r="G250" s="93" t="s">
        <v>326</v>
      </c>
      <c r="H250" s="92">
        <v>1</v>
      </c>
      <c r="I250" s="92">
        <v>1</v>
      </c>
      <c r="J250" s="92">
        <v>1</v>
      </c>
      <c r="K250" s="92">
        <v>1</v>
      </c>
      <c r="L250" s="92">
        <v>1</v>
      </c>
      <c r="M250" s="92">
        <v>2</v>
      </c>
      <c r="N250" s="92">
        <v>3</v>
      </c>
      <c r="O250" s="92">
        <v>3</v>
      </c>
      <c r="P250" s="92">
        <v>4</v>
      </c>
      <c r="Q250" s="92">
        <v>5</v>
      </c>
      <c r="R250" s="92">
        <v>5</v>
      </c>
      <c r="S250" s="92">
        <v>6</v>
      </c>
      <c r="T250" s="92">
        <v>7</v>
      </c>
      <c r="U250" s="92">
        <v>7</v>
      </c>
      <c r="V250" s="92">
        <v>8</v>
      </c>
      <c r="W250" s="92">
        <v>9</v>
      </c>
      <c r="X250" s="92">
        <v>9</v>
      </c>
      <c r="Y250" s="92">
        <v>10</v>
      </c>
      <c r="Z250" s="92">
        <v>10</v>
      </c>
      <c r="AA250" s="92">
        <v>10</v>
      </c>
      <c r="AB250" s="92">
        <v>10</v>
      </c>
      <c r="AC250" s="92"/>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2"/>
      <c r="BL250" s="92"/>
      <c r="BM250" s="92"/>
      <c r="BN250" s="92"/>
      <c r="BO250" s="92"/>
      <c r="BP250" s="92"/>
      <c r="BQ250" s="92"/>
      <c r="BR250" s="92"/>
      <c r="BS250" s="92"/>
      <c r="BT250" s="92"/>
      <c r="BU250" s="92"/>
      <c r="BV250" s="92"/>
      <c r="BW250" s="92"/>
      <c r="BX250" s="92"/>
      <c r="BY250" s="92"/>
      <c r="BZ250" s="92"/>
      <c r="CA250" s="92"/>
      <c r="CB250" s="92"/>
    </row>
    <row r="251" spans="1:80" ht="12.75" customHeight="1">
      <c r="A251" s="92"/>
      <c r="B251" s="92"/>
      <c r="C251" s="92"/>
      <c r="D251" s="92"/>
      <c r="E251" s="92"/>
      <c r="F251" s="92">
        <v>14</v>
      </c>
      <c r="G251" s="93" t="s">
        <v>328</v>
      </c>
      <c r="H251" s="92">
        <v>1</v>
      </c>
      <c r="I251" s="92">
        <v>1</v>
      </c>
      <c r="J251" s="92">
        <v>1</v>
      </c>
      <c r="K251" s="92">
        <v>1</v>
      </c>
      <c r="L251" s="92">
        <v>1</v>
      </c>
      <c r="M251" s="92">
        <v>1</v>
      </c>
      <c r="N251" s="92">
        <v>2</v>
      </c>
      <c r="O251" s="92">
        <v>3</v>
      </c>
      <c r="P251" s="92">
        <v>4</v>
      </c>
      <c r="Q251" s="92">
        <v>4</v>
      </c>
      <c r="R251" s="92">
        <v>5</v>
      </c>
      <c r="S251" s="92">
        <v>6</v>
      </c>
      <c r="T251" s="92">
        <v>7</v>
      </c>
      <c r="U251" s="92">
        <v>7</v>
      </c>
      <c r="V251" s="92">
        <v>8</v>
      </c>
      <c r="W251" s="92">
        <v>9</v>
      </c>
      <c r="X251" s="92">
        <v>10</v>
      </c>
      <c r="Y251" s="92">
        <v>10</v>
      </c>
      <c r="Z251" s="92">
        <v>10</v>
      </c>
      <c r="AA251" s="92">
        <v>10</v>
      </c>
      <c r="AB251" s="92">
        <v>10</v>
      </c>
      <c r="AC251" s="92"/>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2"/>
      <c r="BL251" s="92"/>
      <c r="BM251" s="92"/>
      <c r="BN251" s="92"/>
      <c r="BO251" s="92"/>
      <c r="BP251" s="92"/>
      <c r="BQ251" s="92"/>
      <c r="BR251" s="92"/>
      <c r="BS251" s="92"/>
      <c r="BT251" s="92"/>
      <c r="BU251" s="92"/>
      <c r="BV251" s="92"/>
      <c r="BW251" s="92"/>
      <c r="BX251" s="92"/>
      <c r="BY251" s="92"/>
      <c r="BZ251" s="92"/>
      <c r="CA251" s="92"/>
      <c r="CB251" s="92"/>
    </row>
    <row r="252" spans="1:80" ht="12.75" customHeight="1">
      <c r="A252" s="92"/>
      <c r="B252" s="92"/>
      <c r="C252" s="92"/>
      <c r="D252" s="92"/>
      <c r="E252" s="92"/>
      <c r="F252" s="92">
        <v>15</v>
      </c>
      <c r="G252" s="93" t="s">
        <v>330</v>
      </c>
      <c r="H252" s="92">
        <v>1</v>
      </c>
      <c r="I252" s="92">
        <v>1</v>
      </c>
      <c r="J252" s="92">
        <v>1</v>
      </c>
      <c r="K252" s="92">
        <v>1</v>
      </c>
      <c r="L252" s="92">
        <v>1</v>
      </c>
      <c r="M252" s="92">
        <v>2</v>
      </c>
      <c r="N252" s="92">
        <v>3</v>
      </c>
      <c r="O252" s="92">
        <v>3</v>
      </c>
      <c r="P252" s="92">
        <v>4</v>
      </c>
      <c r="Q252" s="92">
        <v>5</v>
      </c>
      <c r="R252" s="92">
        <v>6</v>
      </c>
      <c r="S252" s="92">
        <v>7</v>
      </c>
      <c r="T252" s="92">
        <v>7</v>
      </c>
      <c r="U252" s="92">
        <v>8</v>
      </c>
      <c r="V252" s="92">
        <v>9</v>
      </c>
      <c r="W252" s="92">
        <v>9</v>
      </c>
      <c r="X252" s="92">
        <v>10</v>
      </c>
      <c r="Y252" s="92">
        <v>10</v>
      </c>
      <c r="Z252" s="92">
        <v>10</v>
      </c>
      <c r="AA252" s="92">
        <v>10</v>
      </c>
      <c r="AB252" s="92">
        <v>10</v>
      </c>
      <c r="AC252" s="92"/>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2"/>
      <c r="BL252" s="92"/>
      <c r="BM252" s="92"/>
      <c r="BN252" s="92"/>
      <c r="BO252" s="92"/>
      <c r="BP252" s="92"/>
      <c r="BQ252" s="92"/>
      <c r="BR252" s="92"/>
      <c r="BS252" s="92"/>
      <c r="BT252" s="92"/>
      <c r="BU252" s="92"/>
      <c r="BV252" s="92"/>
      <c r="BW252" s="92"/>
      <c r="BX252" s="92"/>
      <c r="BY252" s="92"/>
      <c r="BZ252" s="92"/>
      <c r="CA252" s="92"/>
      <c r="CB252" s="92"/>
    </row>
    <row r="253" spans="1:80" ht="12.75" customHeight="1">
      <c r="A253" s="92"/>
      <c r="B253" s="92"/>
      <c r="C253" s="92"/>
      <c r="D253" s="92"/>
      <c r="E253" s="92"/>
      <c r="F253" s="92">
        <v>16</v>
      </c>
      <c r="G253" s="93" t="s">
        <v>341</v>
      </c>
      <c r="H253" s="92">
        <v>1</v>
      </c>
      <c r="I253" s="92">
        <v>2</v>
      </c>
      <c r="J253" s="92">
        <v>3</v>
      </c>
      <c r="K253" s="92">
        <v>3</v>
      </c>
      <c r="L253" s="92">
        <v>4</v>
      </c>
      <c r="M253" s="92">
        <v>4</v>
      </c>
      <c r="N253" s="92">
        <v>4</v>
      </c>
      <c r="O253" s="92">
        <v>4</v>
      </c>
      <c r="P253" s="92">
        <v>5</v>
      </c>
      <c r="Q253" s="92">
        <v>5</v>
      </c>
      <c r="R253" s="92">
        <v>6</v>
      </c>
      <c r="S253" s="92">
        <v>6</v>
      </c>
      <c r="T253" s="92">
        <v>6</v>
      </c>
      <c r="U253" s="92">
        <v>7</v>
      </c>
      <c r="V253" s="92">
        <v>7</v>
      </c>
      <c r="W253" s="92">
        <v>7</v>
      </c>
      <c r="X253" s="92">
        <v>8</v>
      </c>
      <c r="Y253" s="92">
        <v>8</v>
      </c>
      <c r="Z253" s="92">
        <v>9</v>
      </c>
      <c r="AA253" s="92">
        <v>9</v>
      </c>
      <c r="AB253" s="92">
        <v>10</v>
      </c>
      <c r="AC253" s="92"/>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2"/>
      <c r="BL253" s="92"/>
      <c r="BM253" s="92"/>
      <c r="BN253" s="92"/>
      <c r="BO253" s="92"/>
      <c r="BP253" s="92"/>
      <c r="BQ253" s="92"/>
      <c r="BR253" s="92"/>
      <c r="BS253" s="92"/>
      <c r="BT253" s="92"/>
      <c r="BU253" s="92"/>
      <c r="BV253" s="92"/>
      <c r="BW253" s="92"/>
      <c r="BX253" s="92"/>
      <c r="BY253" s="92"/>
      <c r="BZ253" s="92"/>
      <c r="CA253" s="92"/>
      <c r="CB253" s="92"/>
    </row>
    <row r="254" spans="1:80" ht="12.75" customHeight="1">
      <c r="A254" s="92"/>
      <c r="B254" s="92"/>
      <c r="C254" s="92"/>
      <c r="D254" s="92"/>
      <c r="E254" s="92"/>
      <c r="F254" s="92">
        <v>17</v>
      </c>
      <c r="G254" s="93" t="s">
        <v>343</v>
      </c>
      <c r="H254" s="92">
        <v>1</v>
      </c>
      <c r="I254" s="92">
        <v>2</v>
      </c>
      <c r="J254" s="92">
        <v>2</v>
      </c>
      <c r="K254" s="92">
        <v>3</v>
      </c>
      <c r="L254" s="92">
        <v>3</v>
      </c>
      <c r="M254" s="92">
        <v>4</v>
      </c>
      <c r="N254" s="92">
        <v>4</v>
      </c>
      <c r="O254" s="92">
        <v>4</v>
      </c>
      <c r="P254" s="92">
        <v>4</v>
      </c>
      <c r="Q254" s="92">
        <v>5</v>
      </c>
      <c r="R254" s="92">
        <v>6</v>
      </c>
      <c r="S254" s="92">
        <v>6</v>
      </c>
      <c r="T254" s="92">
        <v>6</v>
      </c>
      <c r="U254" s="92">
        <v>6</v>
      </c>
      <c r="V254" s="92">
        <v>7</v>
      </c>
      <c r="W254" s="92">
        <v>7</v>
      </c>
      <c r="X254" s="92">
        <v>7</v>
      </c>
      <c r="Y254" s="92">
        <v>8</v>
      </c>
      <c r="Z254" s="92">
        <v>8</v>
      </c>
      <c r="AA254" s="92">
        <v>9</v>
      </c>
      <c r="AB254" s="92">
        <v>10</v>
      </c>
      <c r="AC254" s="92"/>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2"/>
      <c r="BL254" s="92"/>
      <c r="BM254" s="92"/>
      <c r="BN254" s="92"/>
      <c r="BO254" s="92"/>
      <c r="BP254" s="92"/>
      <c r="BQ254" s="92"/>
      <c r="BR254" s="92"/>
      <c r="BS254" s="92"/>
      <c r="BT254" s="92"/>
      <c r="BU254" s="92"/>
      <c r="BV254" s="92"/>
      <c r="BW254" s="92"/>
      <c r="BX254" s="92"/>
      <c r="BY254" s="92"/>
      <c r="BZ254" s="92"/>
      <c r="CA254" s="92"/>
      <c r="CB254" s="92"/>
    </row>
    <row r="255" spans="1:80" ht="12.75" customHeight="1">
      <c r="A255" s="92"/>
      <c r="B255" s="92"/>
      <c r="C255" s="92"/>
      <c r="D255" s="92"/>
      <c r="E255" s="92"/>
      <c r="F255" s="92">
        <v>18</v>
      </c>
      <c r="G255" s="93" t="s">
        <v>348</v>
      </c>
      <c r="H255" s="92">
        <v>1</v>
      </c>
      <c r="I255" s="92">
        <v>2</v>
      </c>
      <c r="J255" s="92">
        <v>3</v>
      </c>
      <c r="K255" s="92">
        <v>3</v>
      </c>
      <c r="L255" s="92">
        <v>3</v>
      </c>
      <c r="M255" s="92">
        <v>4</v>
      </c>
      <c r="N255" s="92">
        <v>4</v>
      </c>
      <c r="O255" s="92">
        <v>4</v>
      </c>
      <c r="P255" s="92">
        <v>5</v>
      </c>
      <c r="Q255" s="92">
        <v>5</v>
      </c>
      <c r="R255" s="92">
        <v>6</v>
      </c>
      <c r="S255" s="92">
        <v>6</v>
      </c>
      <c r="T255" s="92">
        <v>6</v>
      </c>
      <c r="U255" s="92">
        <v>7</v>
      </c>
      <c r="V255" s="92">
        <v>7</v>
      </c>
      <c r="W255" s="92">
        <v>7</v>
      </c>
      <c r="X255" s="92">
        <v>8</v>
      </c>
      <c r="Y255" s="92">
        <v>8</v>
      </c>
      <c r="Z255" s="92">
        <v>9</v>
      </c>
      <c r="AA255" s="92">
        <v>9</v>
      </c>
      <c r="AB255" s="92">
        <v>10</v>
      </c>
      <c r="AC255" s="92"/>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2"/>
      <c r="BL255" s="92"/>
      <c r="BM255" s="92"/>
      <c r="BN255" s="92"/>
      <c r="BO255" s="92"/>
      <c r="BP255" s="92"/>
      <c r="BQ255" s="92"/>
      <c r="BR255" s="92"/>
      <c r="BS255" s="92"/>
      <c r="BT255" s="92"/>
      <c r="BU255" s="92"/>
      <c r="BV255" s="92"/>
      <c r="BW255" s="92"/>
      <c r="BX255" s="92"/>
      <c r="BY255" s="92"/>
      <c r="BZ255" s="92"/>
      <c r="CA255" s="92"/>
      <c r="CB255" s="92"/>
    </row>
    <row r="256" spans="1:80" ht="12.75" customHeight="1">
      <c r="A256" s="92"/>
      <c r="B256" s="92"/>
      <c r="C256" s="92"/>
      <c r="D256" s="92"/>
      <c r="E256" s="92"/>
      <c r="F256" s="92"/>
      <c r="G256" s="93"/>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2"/>
      <c r="BL256" s="92"/>
      <c r="BM256" s="92"/>
      <c r="BN256" s="92"/>
      <c r="BO256" s="92"/>
      <c r="BP256" s="92"/>
      <c r="BQ256" s="92"/>
      <c r="BR256" s="92"/>
      <c r="BS256" s="92"/>
      <c r="BT256" s="92"/>
      <c r="BU256" s="92"/>
      <c r="BV256" s="92"/>
      <c r="BW256" s="92"/>
      <c r="BX256" s="92"/>
      <c r="BY256" s="92"/>
      <c r="BZ256" s="92"/>
      <c r="CA256" s="92"/>
      <c r="CB256" s="92"/>
    </row>
    <row r="257" spans="1:80" ht="12.75" customHeight="1">
      <c r="A257" s="92"/>
      <c r="B257" s="92"/>
      <c r="C257" s="92"/>
      <c r="D257" s="92"/>
      <c r="E257" s="92"/>
      <c r="F257" s="92"/>
      <c r="G257" s="93"/>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2"/>
      <c r="BL257" s="92"/>
      <c r="BM257" s="92"/>
      <c r="BN257" s="92"/>
      <c r="BO257" s="92"/>
      <c r="BP257" s="92"/>
      <c r="BQ257" s="92"/>
      <c r="BR257" s="92"/>
      <c r="BS257" s="92"/>
      <c r="BT257" s="92"/>
      <c r="BU257" s="92"/>
      <c r="BV257" s="92"/>
      <c r="BW257" s="92"/>
      <c r="BX257" s="92"/>
      <c r="BY257" s="92"/>
      <c r="BZ257" s="92"/>
      <c r="CA257" s="92"/>
      <c r="CB257" s="92"/>
    </row>
    <row r="258" spans="1:80" ht="12.75" customHeight="1">
      <c r="A258" s="92"/>
      <c r="B258" s="92"/>
      <c r="C258" s="92"/>
      <c r="D258" s="92"/>
      <c r="E258" s="92"/>
      <c r="F258" s="92"/>
      <c r="G258" s="93"/>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2"/>
      <c r="BL258" s="92"/>
      <c r="BM258" s="92"/>
      <c r="BN258" s="92"/>
      <c r="BO258" s="92"/>
      <c r="BP258" s="92"/>
      <c r="BQ258" s="92"/>
      <c r="BR258" s="92"/>
      <c r="BS258" s="92"/>
      <c r="BT258" s="92"/>
      <c r="BU258" s="92"/>
      <c r="BV258" s="92"/>
      <c r="BW258" s="92"/>
      <c r="BX258" s="92"/>
      <c r="BY258" s="92"/>
      <c r="BZ258" s="92"/>
      <c r="CA258" s="92"/>
      <c r="CB258" s="92"/>
    </row>
    <row r="259" spans="1:80" ht="12.75" customHeight="1">
      <c r="A259" s="92"/>
      <c r="B259" s="92"/>
      <c r="C259" s="92"/>
      <c r="D259" s="92"/>
      <c r="E259" s="92"/>
      <c r="F259" s="92"/>
      <c r="G259" s="93"/>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2"/>
      <c r="BL259" s="92"/>
      <c r="BM259" s="92"/>
      <c r="BN259" s="92"/>
      <c r="BO259" s="92"/>
      <c r="BP259" s="92"/>
      <c r="BQ259" s="92"/>
      <c r="BR259" s="92"/>
      <c r="BS259" s="92"/>
      <c r="BT259" s="92"/>
      <c r="BU259" s="92"/>
      <c r="BV259" s="92"/>
      <c r="BW259" s="92"/>
      <c r="BX259" s="92"/>
      <c r="BY259" s="92"/>
      <c r="BZ259" s="92"/>
      <c r="CA259" s="92"/>
      <c r="CB259" s="92"/>
    </row>
    <row r="260" spans="1:80" ht="12.75" customHeight="1">
      <c r="A260" s="92"/>
      <c r="B260" s="92"/>
      <c r="C260" s="92"/>
      <c r="D260" s="92"/>
      <c r="E260" s="92"/>
      <c r="F260" s="92"/>
      <c r="G260" s="93" t="s">
        <v>413</v>
      </c>
      <c r="H260" s="92">
        <v>0</v>
      </c>
      <c r="I260" s="92">
        <v>1</v>
      </c>
      <c r="J260" s="92">
        <v>2</v>
      </c>
      <c r="K260" s="92">
        <v>3</v>
      </c>
      <c r="L260" s="92">
        <v>4</v>
      </c>
      <c r="M260" s="92">
        <v>5</v>
      </c>
      <c r="N260" s="92">
        <v>6</v>
      </c>
      <c r="O260" s="92">
        <v>7</v>
      </c>
      <c r="P260" s="92">
        <v>8</v>
      </c>
      <c r="Q260" s="92">
        <v>9</v>
      </c>
      <c r="R260" s="92">
        <v>10</v>
      </c>
      <c r="S260" s="92">
        <v>11</v>
      </c>
      <c r="T260" s="92">
        <v>12</v>
      </c>
      <c r="U260" s="92">
        <v>13</v>
      </c>
      <c r="V260" s="92">
        <v>14</v>
      </c>
      <c r="W260" s="92">
        <v>15</v>
      </c>
      <c r="X260" s="92">
        <v>16</v>
      </c>
      <c r="Y260" s="92">
        <v>17</v>
      </c>
      <c r="Z260" s="92">
        <v>18</v>
      </c>
      <c r="AA260" s="92">
        <v>19</v>
      </c>
      <c r="AB260" s="92">
        <v>20</v>
      </c>
      <c r="AC260" s="92">
        <v>21</v>
      </c>
      <c r="AD260" s="92">
        <v>22</v>
      </c>
      <c r="AE260" s="92">
        <v>23</v>
      </c>
      <c r="AF260" s="92">
        <v>24</v>
      </c>
      <c r="AG260" s="92">
        <v>25</v>
      </c>
      <c r="AH260" s="92">
        <v>26</v>
      </c>
      <c r="AI260" s="92">
        <v>99</v>
      </c>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2"/>
      <c r="BL260" s="92"/>
      <c r="BM260" s="92"/>
      <c r="BN260" s="92"/>
      <c r="BO260" s="92"/>
      <c r="BP260" s="92"/>
      <c r="BQ260" s="92"/>
      <c r="BR260" s="92"/>
      <c r="BS260" s="92"/>
      <c r="BT260" s="92"/>
      <c r="BU260" s="92"/>
      <c r="BV260" s="92"/>
      <c r="BW260" s="92"/>
      <c r="BX260" s="92"/>
      <c r="BY260" s="92"/>
      <c r="BZ260" s="92"/>
      <c r="CA260" s="92"/>
      <c r="CB260" s="92"/>
    </row>
    <row r="261" spans="1:80" ht="12.75" customHeight="1">
      <c r="A261" s="92"/>
      <c r="B261" s="92"/>
      <c r="C261" s="92"/>
      <c r="D261" s="92"/>
      <c r="E261" s="92"/>
      <c r="F261" s="92">
        <v>1</v>
      </c>
      <c r="G261" s="93" t="s">
        <v>300</v>
      </c>
      <c r="H261" s="99">
        <v>1</v>
      </c>
      <c r="I261" s="99">
        <v>2</v>
      </c>
      <c r="J261" s="99">
        <v>2</v>
      </c>
      <c r="K261" s="99">
        <v>3</v>
      </c>
      <c r="L261" s="99">
        <v>3</v>
      </c>
      <c r="M261" s="99">
        <v>4</v>
      </c>
      <c r="N261" s="99">
        <v>4</v>
      </c>
      <c r="O261" s="99">
        <v>5</v>
      </c>
      <c r="P261" s="99">
        <v>5</v>
      </c>
      <c r="Q261" s="99">
        <v>6</v>
      </c>
      <c r="R261" s="99">
        <v>6</v>
      </c>
      <c r="S261" s="99">
        <v>7</v>
      </c>
      <c r="T261" s="99">
        <v>7</v>
      </c>
      <c r="U261" s="99">
        <v>8</v>
      </c>
      <c r="V261" s="99">
        <v>8</v>
      </c>
      <c r="W261" s="99">
        <v>9</v>
      </c>
      <c r="X261" s="99">
        <v>9</v>
      </c>
      <c r="Y261" s="99">
        <v>10</v>
      </c>
      <c r="Z261" s="99">
        <v>10</v>
      </c>
      <c r="AA261" s="99">
        <v>10</v>
      </c>
      <c r="AB261" s="99">
        <v>10</v>
      </c>
      <c r="AC261" s="99">
        <v>10</v>
      </c>
      <c r="AD261" s="99">
        <v>10</v>
      </c>
      <c r="AE261" s="99">
        <v>10</v>
      </c>
      <c r="AF261" s="92" t="s">
        <v>301</v>
      </c>
      <c r="AG261" s="92" t="s">
        <v>301</v>
      </c>
      <c r="AH261" s="92" t="s">
        <v>301</v>
      </c>
      <c r="AI261" s="92" t="s">
        <v>301</v>
      </c>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2"/>
      <c r="BL261" s="92"/>
      <c r="BM261" s="92"/>
      <c r="BN261" s="92"/>
      <c r="BO261" s="92"/>
      <c r="BP261" s="92"/>
      <c r="BQ261" s="92"/>
      <c r="BR261" s="92"/>
      <c r="BS261" s="92"/>
      <c r="BT261" s="92"/>
      <c r="BU261" s="92"/>
      <c r="BV261" s="92"/>
      <c r="BW261" s="92"/>
      <c r="BX261" s="92"/>
      <c r="BY261" s="92"/>
      <c r="BZ261" s="92"/>
      <c r="CA261" s="92"/>
      <c r="CB261" s="92"/>
    </row>
    <row r="262" spans="1:80" ht="12.75" customHeight="1">
      <c r="A262" s="92"/>
      <c r="B262" s="92"/>
      <c r="C262" s="92"/>
      <c r="D262" s="92"/>
      <c r="E262" s="92"/>
      <c r="F262" s="92">
        <v>2</v>
      </c>
      <c r="G262" s="93" t="s">
        <v>303</v>
      </c>
      <c r="H262" s="99">
        <v>1</v>
      </c>
      <c r="I262" s="99">
        <v>1</v>
      </c>
      <c r="J262" s="99">
        <v>2</v>
      </c>
      <c r="K262" s="99">
        <v>2</v>
      </c>
      <c r="L262" s="99">
        <v>3</v>
      </c>
      <c r="M262" s="99">
        <v>3</v>
      </c>
      <c r="N262" s="99">
        <v>4</v>
      </c>
      <c r="O262" s="99">
        <v>5</v>
      </c>
      <c r="P262" s="99">
        <v>5</v>
      </c>
      <c r="Q262" s="99">
        <v>6</v>
      </c>
      <c r="R262" s="99">
        <v>6</v>
      </c>
      <c r="S262" s="99">
        <v>7</v>
      </c>
      <c r="T262" s="99">
        <v>7</v>
      </c>
      <c r="U262" s="99">
        <v>8</v>
      </c>
      <c r="V262" s="99">
        <v>8</v>
      </c>
      <c r="W262" s="99">
        <v>9</v>
      </c>
      <c r="X262" s="99">
        <v>9</v>
      </c>
      <c r="Y262" s="99">
        <v>10</v>
      </c>
      <c r="Z262" s="99">
        <v>10</v>
      </c>
      <c r="AA262" s="99">
        <v>10</v>
      </c>
      <c r="AB262" s="99">
        <v>10</v>
      </c>
      <c r="AC262" s="99">
        <v>10</v>
      </c>
      <c r="AD262" s="99">
        <v>10</v>
      </c>
      <c r="AE262" s="99">
        <v>10</v>
      </c>
      <c r="AF262" s="92" t="s">
        <v>301</v>
      </c>
      <c r="AG262" s="92" t="s">
        <v>301</v>
      </c>
      <c r="AH262" s="92" t="s">
        <v>301</v>
      </c>
      <c r="AI262" s="92" t="s">
        <v>301</v>
      </c>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2"/>
      <c r="BL262" s="92"/>
      <c r="BM262" s="92"/>
      <c r="BN262" s="92"/>
      <c r="BO262" s="92"/>
      <c r="BP262" s="92"/>
      <c r="BQ262" s="92"/>
      <c r="BR262" s="92"/>
      <c r="BS262" s="92"/>
      <c r="BT262" s="92"/>
      <c r="BU262" s="92"/>
      <c r="BV262" s="92"/>
      <c r="BW262" s="92"/>
      <c r="BX262" s="92"/>
      <c r="BY262" s="92"/>
      <c r="BZ262" s="92"/>
      <c r="CA262" s="92"/>
      <c r="CB262" s="92"/>
    </row>
    <row r="263" spans="1:80" ht="12.75" customHeight="1">
      <c r="A263" s="92"/>
      <c r="B263" s="92"/>
      <c r="C263" s="92"/>
      <c r="D263" s="92"/>
      <c r="E263" s="92"/>
      <c r="F263" s="92">
        <v>3</v>
      </c>
      <c r="G263" s="93" t="s">
        <v>305</v>
      </c>
      <c r="H263" s="99">
        <v>1</v>
      </c>
      <c r="I263" s="99">
        <v>2</v>
      </c>
      <c r="J263" s="99">
        <v>2</v>
      </c>
      <c r="K263" s="99">
        <v>3</v>
      </c>
      <c r="L263" s="99">
        <v>3</v>
      </c>
      <c r="M263" s="99">
        <v>4</v>
      </c>
      <c r="N263" s="99">
        <v>4</v>
      </c>
      <c r="O263" s="99">
        <v>5</v>
      </c>
      <c r="P263" s="99">
        <v>5</v>
      </c>
      <c r="Q263" s="99">
        <v>6</v>
      </c>
      <c r="R263" s="99">
        <v>6</v>
      </c>
      <c r="S263" s="99">
        <v>7</v>
      </c>
      <c r="T263" s="99">
        <v>7</v>
      </c>
      <c r="U263" s="99">
        <v>8</v>
      </c>
      <c r="V263" s="99">
        <v>8</v>
      </c>
      <c r="W263" s="99">
        <v>9</v>
      </c>
      <c r="X263" s="99">
        <v>9</v>
      </c>
      <c r="Y263" s="99">
        <v>10</v>
      </c>
      <c r="Z263" s="99">
        <v>10</v>
      </c>
      <c r="AA263" s="99">
        <v>10</v>
      </c>
      <c r="AB263" s="99">
        <v>10</v>
      </c>
      <c r="AC263" s="99">
        <v>10</v>
      </c>
      <c r="AD263" s="99">
        <v>10</v>
      </c>
      <c r="AE263" s="99">
        <v>10</v>
      </c>
      <c r="AF263" s="92" t="s">
        <v>301</v>
      </c>
      <c r="AG263" s="92" t="s">
        <v>301</v>
      </c>
      <c r="AH263" s="92" t="s">
        <v>301</v>
      </c>
      <c r="AI263" s="92" t="s">
        <v>301</v>
      </c>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2"/>
      <c r="BL263" s="92"/>
      <c r="BM263" s="92"/>
      <c r="BN263" s="92"/>
      <c r="BO263" s="92"/>
      <c r="BP263" s="92"/>
      <c r="BQ263" s="92"/>
      <c r="BR263" s="92"/>
      <c r="BS263" s="92"/>
      <c r="BT263" s="92"/>
      <c r="BU263" s="92"/>
      <c r="BV263" s="92"/>
      <c r="BW263" s="92"/>
      <c r="BX263" s="92"/>
      <c r="BY263" s="92"/>
      <c r="BZ263" s="92"/>
      <c r="CA263" s="92"/>
      <c r="CB263" s="92"/>
    </row>
    <row r="264" spans="1:80" ht="12.75" customHeight="1">
      <c r="A264" s="92"/>
      <c r="B264" s="92"/>
      <c r="C264" s="92"/>
      <c r="D264" s="92"/>
      <c r="E264" s="92"/>
      <c r="F264" s="92">
        <v>4</v>
      </c>
      <c r="G264" s="93" t="s">
        <v>307</v>
      </c>
      <c r="H264" s="92">
        <v>1</v>
      </c>
      <c r="I264" s="92">
        <v>1</v>
      </c>
      <c r="J264" s="92">
        <v>2</v>
      </c>
      <c r="K264" s="92">
        <v>2</v>
      </c>
      <c r="L264" s="92">
        <v>3</v>
      </c>
      <c r="M264" s="92">
        <v>3</v>
      </c>
      <c r="N264" s="92">
        <v>4</v>
      </c>
      <c r="O264" s="92">
        <v>4</v>
      </c>
      <c r="P264" s="92">
        <v>5</v>
      </c>
      <c r="Q264" s="92">
        <v>5</v>
      </c>
      <c r="R264" s="92">
        <v>6</v>
      </c>
      <c r="S264" s="92">
        <v>6</v>
      </c>
      <c r="T264" s="92">
        <v>7</v>
      </c>
      <c r="U264" s="92">
        <v>7</v>
      </c>
      <c r="V264" s="92">
        <v>8</v>
      </c>
      <c r="W264" s="92">
        <v>8</v>
      </c>
      <c r="X264" s="92">
        <v>8</v>
      </c>
      <c r="Y264" s="92">
        <v>9</v>
      </c>
      <c r="Z264" s="92">
        <v>9</v>
      </c>
      <c r="AA264" s="92">
        <v>10</v>
      </c>
      <c r="AB264" s="92">
        <v>10</v>
      </c>
      <c r="AC264" s="92">
        <v>10</v>
      </c>
      <c r="AD264" s="92">
        <v>10</v>
      </c>
      <c r="AE264" s="92">
        <v>10</v>
      </c>
      <c r="AF264" s="92">
        <v>10</v>
      </c>
      <c r="AG264" s="92">
        <v>10</v>
      </c>
      <c r="AH264" s="92">
        <v>10</v>
      </c>
      <c r="AI264" s="92" t="s">
        <v>301</v>
      </c>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2"/>
      <c r="BL264" s="92"/>
      <c r="BM264" s="92"/>
      <c r="BN264" s="92"/>
      <c r="BO264" s="92"/>
      <c r="BP264" s="92"/>
      <c r="BQ264" s="92"/>
      <c r="BR264" s="92"/>
      <c r="BS264" s="92"/>
      <c r="BT264" s="92"/>
      <c r="BU264" s="92"/>
      <c r="BV264" s="92"/>
      <c r="BW264" s="92"/>
      <c r="BX264" s="92"/>
      <c r="BY264" s="92"/>
      <c r="BZ264" s="92"/>
      <c r="CA264" s="92"/>
      <c r="CB264" s="92"/>
    </row>
    <row r="265" spans="1:80" ht="12.75" customHeight="1">
      <c r="A265" s="92"/>
      <c r="B265" s="92"/>
      <c r="C265" s="92"/>
      <c r="D265" s="92"/>
      <c r="E265" s="92"/>
      <c r="F265" s="92">
        <v>5</v>
      </c>
      <c r="G265" s="93" t="s">
        <v>309</v>
      </c>
      <c r="H265" s="92">
        <v>1</v>
      </c>
      <c r="I265" s="92">
        <v>1</v>
      </c>
      <c r="J265" s="92">
        <v>1</v>
      </c>
      <c r="K265" s="92">
        <v>1</v>
      </c>
      <c r="L265" s="92">
        <v>2</v>
      </c>
      <c r="M265" s="92">
        <v>2</v>
      </c>
      <c r="N265" s="92">
        <v>3</v>
      </c>
      <c r="O265" s="92">
        <v>4</v>
      </c>
      <c r="P265" s="92">
        <v>4</v>
      </c>
      <c r="Q265" s="92">
        <v>5</v>
      </c>
      <c r="R265" s="92">
        <v>5</v>
      </c>
      <c r="S265" s="92">
        <v>5</v>
      </c>
      <c r="T265" s="92">
        <v>6</v>
      </c>
      <c r="U265" s="92">
        <v>6</v>
      </c>
      <c r="V265" s="92">
        <v>7</v>
      </c>
      <c r="W265" s="92">
        <v>7</v>
      </c>
      <c r="X265" s="92">
        <v>8</v>
      </c>
      <c r="Y265" s="92">
        <v>8</v>
      </c>
      <c r="Z265" s="92">
        <v>9</v>
      </c>
      <c r="AA265" s="92">
        <v>10</v>
      </c>
      <c r="AB265" s="92">
        <v>10</v>
      </c>
      <c r="AC265" s="92">
        <v>10</v>
      </c>
      <c r="AD265" s="92">
        <v>10</v>
      </c>
      <c r="AE265" s="92">
        <v>10</v>
      </c>
      <c r="AF265" s="92">
        <v>10</v>
      </c>
      <c r="AG265" s="92">
        <v>10</v>
      </c>
      <c r="AH265" s="92">
        <v>10</v>
      </c>
      <c r="AI265" s="92" t="s">
        <v>301</v>
      </c>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2"/>
      <c r="BL265" s="92"/>
      <c r="BM265" s="92"/>
      <c r="BN265" s="92"/>
      <c r="BO265" s="92"/>
      <c r="BP265" s="92"/>
      <c r="BQ265" s="92"/>
      <c r="BR265" s="92"/>
      <c r="BS265" s="92"/>
      <c r="BT265" s="92"/>
      <c r="BU265" s="92"/>
      <c r="BV265" s="92"/>
      <c r="BW265" s="92"/>
      <c r="BX265" s="92"/>
      <c r="BY265" s="92"/>
      <c r="BZ265" s="92"/>
      <c r="CA265" s="92"/>
      <c r="CB265" s="92"/>
    </row>
    <row r="266" spans="1:80" ht="12.75" customHeight="1">
      <c r="A266" s="92"/>
      <c r="B266" s="92"/>
      <c r="C266" s="92"/>
      <c r="D266" s="92"/>
      <c r="E266" s="92"/>
      <c r="F266" s="92">
        <v>6</v>
      </c>
      <c r="G266" s="93" t="s">
        <v>311</v>
      </c>
      <c r="H266" s="92">
        <v>1</v>
      </c>
      <c r="I266" s="92">
        <v>1</v>
      </c>
      <c r="J266" s="92">
        <v>1</v>
      </c>
      <c r="K266" s="92">
        <v>1</v>
      </c>
      <c r="L266" s="92">
        <v>1</v>
      </c>
      <c r="M266" s="92">
        <v>2</v>
      </c>
      <c r="N266" s="92">
        <v>2</v>
      </c>
      <c r="O266" s="92">
        <v>3</v>
      </c>
      <c r="P266" s="92">
        <v>4</v>
      </c>
      <c r="Q266" s="92">
        <v>4</v>
      </c>
      <c r="R266" s="92">
        <v>5</v>
      </c>
      <c r="S266" s="92">
        <v>5</v>
      </c>
      <c r="T266" s="92">
        <v>6</v>
      </c>
      <c r="U266" s="92">
        <v>6</v>
      </c>
      <c r="V266" s="92">
        <v>7</v>
      </c>
      <c r="W266" s="92">
        <v>7</v>
      </c>
      <c r="X266" s="92">
        <v>8</v>
      </c>
      <c r="Y266" s="92">
        <v>8</v>
      </c>
      <c r="Z266" s="92">
        <v>9</v>
      </c>
      <c r="AA266" s="92">
        <v>9</v>
      </c>
      <c r="AB266" s="92">
        <v>10</v>
      </c>
      <c r="AC266" s="92">
        <v>10</v>
      </c>
      <c r="AD266" s="92">
        <v>10</v>
      </c>
      <c r="AE266" s="92">
        <v>10</v>
      </c>
      <c r="AF266" s="92">
        <v>10</v>
      </c>
      <c r="AG266" s="92">
        <v>10</v>
      </c>
      <c r="AH266" s="92">
        <v>10</v>
      </c>
      <c r="AI266" s="92" t="s">
        <v>301</v>
      </c>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2"/>
      <c r="BL266" s="92"/>
      <c r="BM266" s="92"/>
      <c r="BN266" s="92"/>
      <c r="BO266" s="92"/>
      <c r="BP266" s="92"/>
      <c r="BQ266" s="92"/>
      <c r="BR266" s="92"/>
      <c r="BS266" s="92"/>
      <c r="BT266" s="92"/>
      <c r="BU266" s="92"/>
      <c r="BV266" s="92"/>
      <c r="BW266" s="92"/>
      <c r="BX266" s="92"/>
      <c r="BY266" s="92"/>
      <c r="BZ266" s="92"/>
      <c r="CA266" s="92"/>
      <c r="CB266" s="92"/>
    </row>
    <row r="267" spans="1:80" ht="12.75" customHeight="1">
      <c r="A267" s="92"/>
      <c r="B267" s="92"/>
      <c r="C267" s="92"/>
      <c r="D267" s="92"/>
      <c r="E267" s="92"/>
      <c r="F267" s="92">
        <v>7</v>
      </c>
      <c r="G267" s="93" t="s">
        <v>313</v>
      </c>
      <c r="H267" s="92">
        <v>1</v>
      </c>
      <c r="I267" s="92">
        <v>1</v>
      </c>
      <c r="J267" s="92">
        <v>1</v>
      </c>
      <c r="K267" s="92">
        <v>1</v>
      </c>
      <c r="L267" s="92">
        <v>1</v>
      </c>
      <c r="M267" s="92">
        <v>1</v>
      </c>
      <c r="N267" s="92">
        <v>2</v>
      </c>
      <c r="O267" s="92">
        <v>3</v>
      </c>
      <c r="P267" s="92">
        <v>3</v>
      </c>
      <c r="Q267" s="92">
        <v>3</v>
      </c>
      <c r="R267" s="92">
        <v>4</v>
      </c>
      <c r="S267" s="92">
        <v>5</v>
      </c>
      <c r="T267" s="92">
        <v>5</v>
      </c>
      <c r="U267" s="92">
        <v>5</v>
      </c>
      <c r="V267" s="92">
        <v>6</v>
      </c>
      <c r="W267" s="92">
        <v>6</v>
      </c>
      <c r="X267" s="92">
        <v>7</v>
      </c>
      <c r="Y267" s="92">
        <v>7</v>
      </c>
      <c r="Z267" s="92">
        <v>8</v>
      </c>
      <c r="AA267" s="92">
        <v>9</v>
      </c>
      <c r="AB267" s="92">
        <v>9</v>
      </c>
      <c r="AC267" s="92">
        <v>10</v>
      </c>
      <c r="AD267" s="92">
        <v>10</v>
      </c>
      <c r="AE267" s="92">
        <v>10</v>
      </c>
      <c r="AF267" s="92">
        <v>10</v>
      </c>
      <c r="AG267" s="92">
        <v>10</v>
      </c>
      <c r="AH267" s="92">
        <v>10</v>
      </c>
      <c r="AI267" s="92" t="s">
        <v>301</v>
      </c>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2"/>
      <c r="BL267" s="92"/>
      <c r="BM267" s="92"/>
      <c r="BN267" s="92"/>
      <c r="BO267" s="92"/>
      <c r="BP267" s="92"/>
      <c r="BQ267" s="92"/>
      <c r="BR267" s="92"/>
      <c r="BS267" s="92"/>
      <c r="BT267" s="92"/>
      <c r="BU267" s="92"/>
      <c r="BV267" s="92"/>
      <c r="BW267" s="92"/>
      <c r="BX267" s="92"/>
      <c r="BY267" s="92"/>
      <c r="BZ267" s="92"/>
      <c r="CA267" s="92"/>
      <c r="CB267" s="92"/>
    </row>
    <row r="268" spans="1:80" ht="12.75" customHeight="1">
      <c r="A268" s="92"/>
      <c r="B268" s="92"/>
      <c r="C268" s="92"/>
      <c r="D268" s="92"/>
      <c r="E268" s="92"/>
      <c r="F268" s="92">
        <v>8</v>
      </c>
      <c r="G268" s="93" t="s">
        <v>315</v>
      </c>
      <c r="H268" s="92">
        <v>1</v>
      </c>
      <c r="I268" s="92">
        <v>2</v>
      </c>
      <c r="J268" s="92">
        <v>2</v>
      </c>
      <c r="K268" s="92">
        <v>3</v>
      </c>
      <c r="L268" s="92">
        <v>3</v>
      </c>
      <c r="M268" s="92">
        <v>4</v>
      </c>
      <c r="N268" s="92">
        <v>4</v>
      </c>
      <c r="O268" s="92">
        <v>5</v>
      </c>
      <c r="P268" s="92">
        <v>5</v>
      </c>
      <c r="Q268" s="92">
        <v>6</v>
      </c>
      <c r="R268" s="92">
        <v>6</v>
      </c>
      <c r="S268" s="92">
        <v>7</v>
      </c>
      <c r="T268" s="92">
        <v>7</v>
      </c>
      <c r="U268" s="92">
        <v>8</v>
      </c>
      <c r="V268" s="92">
        <v>8</v>
      </c>
      <c r="W268" s="92">
        <v>9</v>
      </c>
      <c r="X268" s="92">
        <v>9</v>
      </c>
      <c r="Y268" s="92">
        <v>10</v>
      </c>
      <c r="Z268" s="92">
        <v>10</v>
      </c>
      <c r="AA268" s="92">
        <v>10</v>
      </c>
      <c r="AB268" s="92">
        <v>10</v>
      </c>
      <c r="AC268" s="92">
        <v>10</v>
      </c>
      <c r="AD268" s="92">
        <v>10</v>
      </c>
      <c r="AE268" s="92">
        <v>10</v>
      </c>
      <c r="AF268" s="92">
        <v>10</v>
      </c>
      <c r="AG268" s="92">
        <v>10</v>
      </c>
      <c r="AH268" s="92">
        <v>10</v>
      </c>
      <c r="AI268" s="92" t="s">
        <v>301</v>
      </c>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2"/>
      <c r="BL268" s="92"/>
      <c r="BM268" s="92"/>
      <c r="BN268" s="92"/>
      <c r="BO268" s="92"/>
      <c r="BP268" s="92"/>
      <c r="BQ268" s="92"/>
      <c r="BR268" s="92"/>
      <c r="BS268" s="92"/>
      <c r="BT268" s="92"/>
      <c r="BU268" s="92"/>
      <c r="BV268" s="92"/>
      <c r="BW268" s="92"/>
      <c r="BX268" s="92"/>
      <c r="BY268" s="92"/>
      <c r="BZ268" s="92"/>
      <c r="CA268" s="92"/>
      <c r="CB268" s="92"/>
    </row>
    <row r="269" spans="1:80" ht="12.75" customHeight="1">
      <c r="A269" s="92"/>
      <c r="B269" s="92"/>
      <c r="C269" s="92"/>
      <c r="D269" s="92"/>
      <c r="E269" s="92"/>
      <c r="F269" s="92">
        <v>9</v>
      </c>
      <c r="G269" s="93" t="s">
        <v>318</v>
      </c>
      <c r="H269" s="92">
        <v>1</v>
      </c>
      <c r="I269" s="92">
        <v>2</v>
      </c>
      <c r="J269" s="92">
        <v>3</v>
      </c>
      <c r="K269" s="92">
        <v>3</v>
      </c>
      <c r="L269" s="92">
        <v>4</v>
      </c>
      <c r="M269" s="92">
        <v>4</v>
      </c>
      <c r="N269" s="92">
        <v>5</v>
      </c>
      <c r="O269" s="92">
        <v>5</v>
      </c>
      <c r="P269" s="92">
        <v>6</v>
      </c>
      <c r="Q269" s="92">
        <v>6</v>
      </c>
      <c r="R269" s="92">
        <v>7</v>
      </c>
      <c r="S269" s="92">
        <v>8</v>
      </c>
      <c r="T269" s="92">
        <v>8</v>
      </c>
      <c r="U269" s="92">
        <v>9</v>
      </c>
      <c r="V269" s="92">
        <v>9</v>
      </c>
      <c r="W269" s="92">
        <v>10</v>
      </c>
      <c r="X269" s="92">
        <v>10</v>
      </c>
      <c r="Y269" s="92">
        <v>10</v>
      </c>
      <c r="Z269" s="92">
        <v>10</v>
      </c>
      <c r="AA269" s="92">
        <v>10</v>
      </c>
      <c r="AB269" s="92">
        <v>10</v>
      </c>
      <c r="AC269" s="92">
        <v>10</v>
      </c>
      <c r="AD269" s="92">
        <v>10</v>
      </c>
      <c r="AE269" s="92">
        <v>10</v>
      </c>
      <c r="AF269" s="92">
        <v>10</v>
      </c>
      <c r="AG269" s="92">
        <v>10</v>
      </c>
      <c r="AH269" s="92">
        <v>10</v>
      </c>
      <c r="AI269" s="92" t="s">
        <v>301</v>
      </c>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2"/>
      <c r="BL269" s="92"/>
      <c r="BM269" s="92"/>
      <c r="BN269" s="92"/>
      <c r="BO269" s="92"/>
      <c r="BP269" s="92"/>
      <c r="BQ269" s="92"/>
      <c r="BR269" s="92"/>
      <c r="BS269" s="92"/>
      <c r="BT269" s="92"/>
      <c r="BU269" s="92"/>
      <c r="BV269" s="92"/>
      <c r="BW269" s="92"/>
      <c r="BX269" s="92"/>
      <c r="BY269" s="92"/>
      <c r="BZ269" s="92"/>
      <c r="CA269" s="92"/>
      <c r="CB269" s="92"/>
    </row>
    <row r="270" spans="1:80" ht="12.75" customHeight="1">
      <c r="A270" s="92"/>
      <c r="B270" s="92"/>
      <c r="C270" s="92"/>
      <c r="D270" s="92"/>
      <c r="E270" s="92"/>
      <c r="F270" s="92">
        <v>10</v>
      </c>
      <c r="G270" s="93" t="s">
        <v>320</v>
      </c>
      <c r="H270" s="92">
        <v>1</v>
      </c>
      <c r="I270" s="92">
        <v>2</v>
      </c>
      <c r="J270" s="92">
        <v>2</v>
      </c>
      <c r="K270" s="92">
        <v>3</v>
      </c>
      <c r="L270" s="92">
        <v>3</v>
      </c>
      <c r="M270" s="92">
        <v>4</v>
      </c>
      <c r="N270" s="92">
        <v>4</v>
      </c>
      <c r="O270" s="92">
        <v>5</v>
      </c>
      <c r="P270" s="92">
        <v>5</v>
      </c>
      <c r="Q270" s="92">
        <v>6</v>
      </c>
      <c r="R270" s="92">
        <v>6</v>
      </c>
      <c r="S270" s="92">
        <v>7</v>
      </c>
      <c r="T270" s="92">
        <v>7</v>
      </c>
      <c r="U270" s="92">
        <v>8</v>
      </c>
      <c r="V270" s="92">
        <v>8</v>
      </c>
      <c r="W270" s="92">
        <v>9</v>
      </c>
      <c r="X270" s="92">
        <v>9</v>
      </c>
      <c r="Y270" s="92">
        <v>10</v>
      </c>
      <c r="Z270" s="92">
        <v>10</v>
      </c>
      <c r="AA270" s="92">
        <v>10</v>
      </c>
      <c r="AB270" s="92">
        <v>10</v>
      </c>
      <c r="AC270" s="92">
        <v>10</v>
      </c>
      <c r="AD270" s="92">
        <v>10</v>
      </c>
      <c r="AE270" s="92">
        <v>10</v>
      </c>
      <c r="AF270" s="92">
        <v>10</v>
      </c>
      <c r="AG270" s="92">
        <v>10</v>
      </c>
      <c r="AH270" s="92">
        <v>10</v>
      </c>
      <c r="AI270" s="92" t="s">
        <v>301</v>
      </c>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2"/>
      <c r="BL270" s="92"/>
      <c r="BM270" s="92"/>
      <c r="BN270" s="92"/>
      <c r="BO270" s="92"/>
      <c r="BP270" s="92"/>
      <c r="BQ270" s="92"/>
      <c r="BR270" s="92"/>
      <c r="BS270" s="92"/>
      <c r="BT270" s="92"/>
      <c r="BU270" s="92"/>
      <c r="BV270" s="92"/>
      <c r="BW270" s="92"/>
      <c r="BX270" s="92"/>
      <c r="BY270" s="92"/>
      <c r="BZ270" s="92"/>
      <c r="CA270" s="92"/>
      <c r="CB270" s="92"/>
    </row>
    <row r="271" spans="1:80" ht="12.75" customHeight="1">
      <c r="A271" s="92"/>
      <c r="B271" s="92"/>
      <c r="C271" s="92"/>
      <c r="D271" s="92"/>
      <c r="E271" s="92"/>
      <c r="F271" s="92">
        <v>11</v>
      </c>
      <c r="G271" s="93" t="s">
        <v>322</v>
      </c>
      <c r="H271" s="92">
        <v>1</v>
      </c>
      <c r="I271" s="92">
        <v>2</v>
      </c>
      <c r="J271" s="92">
        <v>2</v>
      </c>
      <c r="K271" s="92">
        <v>2</v>
      </c>
      <c r="L271" s="92">
        <v>3</v>
      </c>
      <c r="M271" s="92">
        <v>3</v>
      </c>
      <c r="N271" s="92">
        <v>4</v>
      </c>
      <c r="O271" s="92">
        <v>4</v>
      </c>
      <c r="P271" s="92">
        <v>5</v>
      </c>
      <c r="Q271" s="92">
        <v>5</v>
      </c>
      <c r="R271" s="92">
        <v>6</v>
      </c>
      <c r="S271" s="92">
        <v>6</v>
      </c>
      <c r="T271" s="92">
        <v>6</v>
      </c>
      <c r="U271" s="92">
        <v>7</v>
      </c>
      <c r="V271" s="92">
        <v>7</v>
      </c>
      <c r="W271" s="92">
        <v>8</v>
      </c>
      <c r="X271" s="92">
        <v>8</v>
      </c>
      <c r="Y271" s="92">
        <v>9</v>
      </c>
      <c r="Z271" s="92">
        <v>9</v>
      </c>
      <c r="AA271" s="92">
        <v>10</v>
      </c>
      <c r="AB271" s="92">
        <v>10</v>
      </c>
      <c r="AC271" s="92">
        <v>10</v>
      </c>
      <c r="AD271" s="92">
        <v>10</v>
      </c>
      <c r="AE271" s="92">
        <v>10</v>
      </c>
      <c r="AF271" s="92">
        <v>10</v>
      </c>
      <c r="AG271" s="92">
        <v>10</v>
      </c>
      <c r="AH271" s="92">
        <v>10</v>
      </c>
      <c r="AI271" s="92" t="s">
        <v>301</v>
      </c>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2"/>
      <c r="BL271" s="92"/>
      <c r="BM271" s="92"/>
      <c r="BN271" s="92"/>
      <c r="BO271" s="92"/>
      <c r="BP271" s="92"/>
      <c r="BQ271" s="92"/>
      <c r="BR271" s="92"/>
      <c r="BS271" s="92"/>
      <c r="BT271" s="92"/>
      <c r="BU271" s="92"/>
      <c r="BV271" s="92"/>
      <c r="BW271" s="92"/>
      <c r="BX271" s="92"/>
      <c r="BY271" s="92"/>
      <c r="BZ271" s="92"/>
      <c r="CA271" s="92"/>
      <c r="CB271" s="92"/>
    </row>
    <row r="272" spans="1:80" ht="12.75" customHeight="1">
      <c r="A272" s="92"/>
      <c r="B272" s="92"/>
      <c r="C272" s="92"/>
      <c r="D272" s="92"/>
      <c r="E272" s="92"/>
      <c r="F272" s="92">
        <v>12</v>
      </c>
      <c r="G272" s="93" t="s">
        <v>324</v>
      </c>
      <c r="H272" s="92">
        <v>1</v>
      </c>
      <c r="I272" s="92">
        <v>2</v>
      </c>
      <c r="J272" s="92">
        <v>3</v>
      </c>
      <c r="K272" s="92">
        <v>4</v>
      </c>
      <c r="L272" s="92">
        <v>4</v>
      </c>
      <c r="M272" s="92">
        <v>5</v>
      </c>
      <c r="N272" s="92">
        <v>5</v>
      </c>
      <c r="O272" s="92">
        <v>6</v>
      </c>
      <c r="P272" s="92">
        <v>6</v>
      </c>
      <c r="Q272" s="92">
        <v>6</v>
      </c>
      <c r="R272" s="92">
        <v>7</v>
      </c>
      <c r="S272" s="92">
        <v>7</v>
      </c>
      <c r="T272" s="92">
        <v>7</v>
      </c>
      <c r="U272" s="92">
        <v>8</v>
      </c>
      <c r="V272" s="92">
        <v>8</v>
      </c>
      <c r="W272" s="92">
        <v>8</v>
      </c>
      <c r="X272" s="92">
        <v>9</v>
      </c>
      <c r="Y272" s="92">
        <v>9</v>
      </c>
      <c r="Z272" s="92">
        <v>9</v>
      </c>
      <c r="AA272" s="92">
        <v>10</v>
      </c>
      <c r="AB272" s="92">
        <v>10</v>
      </c>
      <c r="AC272" s="92">
        <v>10</v>
      </c>
      <c r="AD272" s="92">
        <v>10</v>
      </c>
      <c r="AE272" s="92">
        <v>10</v>
      </c>
      <c r="AF272" s="92">
        <v>10</v>
      </c>
      <c r="AG272" s="92">
        <v>10</v>
      </c>
      <c r="AH272" s="92">
        <v>10</v>
      </c>
      <c r="AI272" s="92" t="s">
        <v>301</v>
      </c>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2"/>
      <c r="BL272" s="92"/>
      <c r="BM272" s="92"/>
      <c r="BN272" s="92"/>
      <c r="BO272" s="92"/>
      <c r="BP272" s="92"/>
      <c r="BQ272" s="92"/>
      <c r="BR272" s="92"/>
      <c r="BS272" s="92"/>
      <c r="BT272" s="92"/>
      <c r="BU272" s="92"/>
      <c r="BV272" s="92"/>
      <c r="BW272" s="92"/>
      <c r="BX272" s="92"/>
      <c r="BY272" s="92"/>
      <c r="BZ272" s="92"/>
      <c r="CA272" s="92"/>
      <c r="CB272" s="92"/>
    </row>
    <row r="273" spans="1:80" ht="12.75" customHeight="1">
      <c r="A273" s="92"/>
      <c r="B273" s="92"/>
      <c r="C273" s="92"/>
      <c r="D273" s="92"/>
      <c r="E273" s="92"/>
      <c r="F273" s="92">
        <v>13</v>
      </c>
      <c r="G273" s="93" t="s">
        <v>326</v>
      </c>
      <c r="H273" s="92">
        <v>1</v>
      </c>
      <c r="I273" s="92">
        <v>1</v>
      </c>
      <c r="J273" s="92">
        <v>1</v>
      </c>
      <c r="K273" s="92">
        <v>2</v>
      </c>
      <c r="L273" s="92">
        <v>3</v>
      </c>
      <c r="M273" s="92">
        <v>3</v>
      </c>
      <c r="N273" s="92">
        <v>3</v>
      </c>
      <c r="O273" s="92">
        <v>3</v>
      </c>
      <c r="P273" s="92">
        <v>4</v>
      </c>
      <c r="Q273" s="92">
        <v>4</v>
      </c>
      <c r="R273" s="92">
        <v>5</v>
      </c>
      <c r="S273" s="92">
        <v>5</v>
      </c>
      <c r="T273" s="92">
        <v>5</v>
      </c>
      <c r="U273" s="92">
        <v>6</v>
      </c>
      <c r="V273" s="92">
        <v>6</v>
      </c>
      <c r="W273" s="92">
        <v>6</v>
      </c>
      <c r="X273" s="92">
        <v>7</v>
      </c>
      <c r="Y273" s="92">
        <v>7</v>
      </c>
      <c r="Z273" s="92">
        <v>8</v>
      </c>
      <c r="AA273" s="92">
        <v>8</v>
      </c>
      <c r="AB273" s="92">
        <v>9</v>
      </c>
      <c r="AC273" s="92">
        <v>9</v>
      </c>
      <c r="AD273" s="92">
        <v>10</v>
      </c>
      <c r="AE273" s="92">
        <v>10</v>
      </c>
      <c r="AF273" s="92">
        <v>10</v>
      </c>
      <c r="AG273" s="92">
        <v>10</v>
      </c>
      <c r="AH273" s="92">
        <v>10</v>
      </c>
      <c r="AI273" s="92" t="s">
        <v>301</v>
      </c>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2"/>
      <c r="BL273" s="92"/>
      <c r="BM273" s="92"/>
      <c r="BN273" s="92"/>
      <c r="BO273" s="92"/>
      <c r="BP273" s="92"/>
      <c r="BQ273" s="92"/>
      <c r="BR273" s="92"/>
      <c r="BS273" s="92"/>
      <c r="BT273" s="92"/>
      <c r="BU273" s="92"/>
      <c r="BV273" s="92"/>
      <c r="BW273" s="92"/>
      <c r="BX273" s="92"/>
      <c r="BY273" s="92"/>
      <c r="BZ273" s="92"/>
      <c r="CA273" s="92"/>
      <c r="CB273" s="92"/>
    </row>
    <row r="274" spans="1:80" ht="12.75" customHeight="1">
      <c r="A274" s="92"/>
      <c r="B274" s="92"/>
      <c r="C274" s="92"/>
      <c r="D274" s="92"/>
      <c r="E274" s="92"/>
      <c r="F274" s="92">
        <v>14</v>
      </c>
      <c r="G274" s="93" t="s">
        <v>328</v>
      </c>
      <c r="H274" s="92">
        <v>1</v>
      </c>
      <c r="I274" s="92">
        <v>1</v>
      </c>
      <c r="J274" s="92">
        <v>1</v>
      </c>
      <c r="K274" s="92">
        <v>1</v>
      </c>
      <c r="L274" s="92">
        <v>2</v>
      </c>
      <c r="M274" s="92">
        <v>2</v>
      </c>
      <c r="N274" s="92">
        <v>3</v>
      </c>
      <c r="O274" s="92">
        <v>3</v>
      </c>
      <c r="P274" s="92">
        <v>4</v>
      </c>
      <c r="Q274" s="92">
        <v>4</v>
      </c>
      <c r="R274" s="92">
        <v>4</v>
      </c>
      <c r="S274" s="92">
        <v>5</v>
      </c>
      <c r="T274" s="92">
        <v>5</v>
      </c>
      <c r="U274" s="92">
        <v>5</v>
      </c>
      <c r="V274" s="92">
        <v>6</v>
      </c>
      <c r="W274" s="92">
        <v>6</v>
      </c>
      <c r="X274" s="92">
        <v>7</v>
      </c>
      <c r="Y274" s="92">
        <v>7</v>
      </c>
      <c r="Z274" s="92">
        <v>7</v>
      </c>
      <c r="AA274" s="92">
        <v>8</v>
      </c>
      <c r="AB274" s="92">
        <v>9</v>
      </c>
      <c r="AC274" s="92">
        <v>9</v>
      </c>
      <c r="AD274" s="92">
        <v>10</v>
      </c>
      <c r="AE274" s="92">
        <v>10</v>
      </c>
      <c r="AF274" s="92">
        <v>10</v>
      </c>
      <c r="AG274" s="92">
        <v>10</v>
      </c>
      <c r="AH274" s="92">
        <v>10</v>
      </c>
      <c r="AI274" s="92" t="s">
        <v>301</v>
      </c>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2"/>
      <c r="BL274" s="92"/>
      <c r="BM274" s="92"/>
      <c r="BN274" s="92"/>
      <c r="BO274" s="92"/>
      <c r="BP274" s="92"/>
      <c r="BQ274" s="92"/>
      <c r="BR274" s="92"/>
      <c r="BS274" s="92"/>
      <c r="BT274" s="92"/>
      <c r="BU274" s="92"/>
      <c r="BV274" s="92"/>
      <c r="BW274" s="92"/>
      <c r="BX274" s="92"/>
      <c r="BY274" s="92"/>
      <c r="BZ274" s="92"/>
      <c r="CA274" s="92"/>
      <c r="CB274" s="92"/>
    </row>
    <row r="275" spans="1:80" ht="12.75" customHeight="1">
      <c r="A275" s="92"/>
      <c r="B275" s="92"/>
      <c r="C275" s="92"/>
      <c r="D275" s="92"/>
      <c r="E275" s="92"/>
      <c r="F275" s="92">
        <v>15</v>
      </c>
      <c r="G275" s="93" t="s">
        <v>330</v>
      </c>
      <c r="H275" s="92">
        <v>1</v>
      </c>
      <c r="I275" s="92">
        <v>1</v>
      </c>
      <c r="J275" s="92">
        <v>1</v>
      </c>
      <c r="K275" s="92">
        <v>1</v>
      </c>
      <c r="L275" s="92">
        <v>2</v>
      </c>
      <c r="M275" s="92">
        <v>2</v>
      </c>
      <c r="N275" s="92">
        <v>3</v>
      </c>
      <c r="O275" s="92">
        <v>3</v>
      </c>
      <c r="P275" s="92">
        <v>3</v>
      </c>
      <c r="Q275" s="92">
        <v>4</v>
      </c>
      <c r="R275" s="92">
        <v>4</v>
      </c>
      <c r="S275" s="92">
        <v>4</v>
      </c>
      <c r="T275" s="92">
        <v>5</v>
      </c>
      <c r="U275" s="92">
        <v>5</v>
      </c>
      <c r="V275" s="92">
        <v>5</v>
      </c>
      <c r="W275" s="92">
        <v>6</v>
      </c>
      <c r="X275" s="92">
        <v>6</v>
      </c>
      <c r="Y275" s="92">
        <v>7</v>
      </c>
      <c r="Z275" s="92">
        <v>7</v>
      </c>
      <c r="AA275" s="92">
        <v>7</v>
      </c>
      <c r="AB275" s="92">
        <v>8</v>
      </c>
      <c r="AC275" s="92">
        <v>9</v>
      </c>
      <c r="AD275" s="92">
        <v>9</v>
      </c>
      <c r="AE275" s="92">
        <v>10</v>
      </c>
      <c r="AF275" s="92">
        <v>10</v>
      </c>
      <c r="AG275" s="92">
        <v>10</v>
      </c>
      <c r="AH275" s="92">
        <v>10</v>
      </c>
      <c r="AI275" s="92" t="s">
        <v>301</v>
      </c>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2"/>
      <c r="BL275" s="92"/>
      <c r="BM275" s="92"/>
      <c r="BN275" s="92"/>
      <c r="BO275" s="92"/>
      <c r="BP275" s="92"/>
      <c r="BQ275" s="92"/>
      <c r="BR275" s="92"/>
      <c r="BS275" s="92"/>
      <c r="BT275" s="92"/>
      <c r="BU275" s="92"/>
      <c r="BV275" s="92"/>
      <c r="BW275" s="92"/>
      <c r="BX275" s="92"/>
      <c r="BY275" s="92"/>
      <c r="BZ275" s="92"/>
      <c r="CA275" s="92"/>
      <c r="CB275" s="92"/>
    </row>
    <row r="276" spans="1:80" ht="12.75" customHeight="1">
      <c r="A276" s="92"/>
      <c r="B276" s="92"/>
      <c r="C276" s="92"/>
      <c r="D276" s="92"/>
      <c r="E276" s="92"/>
      <c r="F276" s="92">
        <v>16</v>
      </c>
      <c r="G276" s="93" t="s">
        <v>341</v>
      </c>
      <c r="H276" s="92">
        <v>1</v>
      </c>
      <c r="I276" s="92">
        <v>2</v>
      </c>
      <c r="J276" s="92">
        <v>3</v>
      </c>
      <c r="K276" s="92">
        <v>3</v>
      </c>
      <c r="L276" s="92">
        <v>4</v>
      </c>
      <c r="M276" s="92">
        <v>4</v>
      </c>
      <c r="N276" s="92">
        <v>4</v>
      </c>
      <c r="O276" s="92">
        <v>4</v>
      </c>
      <c r="P276" s="92">
        <v>5</v>
      </c>
      <c r="Q276" s="92">
        <v>5</v>
      </c>
      <c r="R276" s="92">
        <v>6</v>
      </c>
      <c r="S276" s="92">
        <v>6</v>
      </c>
      <c r="T276" s="92">
        <v>6</v>
      </c>
      <c r="U276" s="92">
        <v>7</v>
      </c>
      <c r="V276" s="92">
        <v>7</v>
      </c>
      <c r="W276" s="92">
        <v>7</v>
      </c>
      <c r="X276" s="92">
        <v>8</v>
      </c>
      <c r="Y276" s="92">
        <v>8</v>
      </c>
      <c r="Z276" s="92">
        <v>9</v>
      </c>
      <c r="AA276" s="92">
        <v>9</v>
      </c>
      <c r="AB276" s="92">
        <v>10</v>
      </c>
      <c r="AC276" s="92" t="s">
        <v>301</v>
      </c>
      <c r="AD276" s="92" t="s">
        <v>301</v>
      </c>
      <c r="AE276" s="92" t="s">
        <v>301</v>
      </c>
      <c r="AF276" s="92" t="s">
        <v>301</v>
      </c>
      <c r="AG276" s="92" t="s">
        <v>301</v>
      </c>
      <c r="AH276" s="92" t="s">
        <v>301</v>
      </c>
      <c r="AI276" s="92" t="s">
        <v>301</v>
      </c>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2"/>
      <c r="BL276" s="92"/>
      <c r="BM276" s="92"/>
      <c r="BN276" s="92"/>
      <c r="BO276" s="92"/>
      <c r="BP276" s="92"/>
      <c r="BQ276" s="92"/>
      <c r="BR276" s="92"/>
      <c r="BS276" s="92"/>
      <c r="BT276" s="92"/>
      <c r="BU276" s="92"/>
      <c r="BV276" s="92"/>
      <c r="BW276" s="92"/>
      <c r="BX276" s="92"/>
      <c r="BY276" s="92"/>
      <c r="BZ276" s="92"/>
      <c r="CA276" s="92"/>
      <c r="CB276" s="92"/>
    </row>
    <row r="277" spans="1:80" ht="12.75" customHeight="1">
      <c r="A277" s="92"/>
      <c r="B277" s="92"/>
      <c r="C277" s="92"/>
      <c r="D277" s="92"/>
      <c r="E277" s="92"/>
      <c r="F277" s="92">
        <v>17</v>
      </c>
      <c r="G277" s="93" t="s">
        <v>343</v>
      </c>
      <c r="H277" s="92">
        <v>2</v>
      </c>
      <c r="I277" s="92">
        <v>3</v>
      </c>
      <c r="J277" s="92">
        <v>3</v>
      </c>
      <c r="K277" s="92">
        <v>3</v>
      </c>
      <c r="L277" s="92">
        <v>4</v>
      </c>
      <c r="M277" s="92">
        <v>4</v>
      </c>
      <c r="N277" s="92">
        <v>4</v>
      </c>
      <c r="O277" s="92">
        <v>4</v>
      </c>
      <c r="P277" s="92">
        <v>4</v>
      </c>
      <c r="Q277" s="92">
        <v>4</v>
      </c>
      <c r="R277" s="92">
        <v>4</v>
      </c>
      <c r="S277" s="92">
        <v>5</v>
      </c>
      <c r="T277" s="92">
        <v>5</v>
      </c>
      <c r="U277" s="92">
        <v>5</v>
      </c>
      <c r="V277" s="92">
        <v>6</v>
      </c>
      <c r="W277" s="92">
        <v>6</v>
      </c>
      <c r="X277" s="92">
        <v>6</v>
      </c>
      <c r="Y277" s="92">
        <v>7</v>
      </c>
      <c r="Z277" s="92">
        <v>7</v>
      </c>
      <c r="AA277" s="92">
        <v>8</v>
      </c>
      <c r="AB277" s="92">
        <v>9</v>
      </c>
      <c r="AC277" s="92" t="s">
        <v>301</v>
      </c>
      <c r="AD277" s="92" t="s">
        <v>301</v>
      </c>
      <c r="AE277" s="92" t="s">
        <v>301</v>
      </c>
      <c r="AF277" s="92" t="s">
        <v>301</v>
      </c>
      <c r="AG277" s="92" t="s">
        <v>301</v>
      </c>
      <c r="AH277" s="92" t="s">
        <v>301</v>
      </c>
      <c r="AI277" s="92" t="s">
        <v>301</v>
      </c>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2"/>
      <c r="BL277" s="92"/>
      <c r="BM277" s="92"/>
      <c r="BN277" s="92"/>
      <c r="BO277" s="92"/>
      <c r="BP277" s="92"/>
      <c r="BQ277" s="92"/>
      <c r="BR277" s="92"/>
      <c r="BS277" s="92"/>
      <c r="BT277" s="92"/>
      <c r="BU277" s="92"/>
      <c r="BV277" s="92"/>
      <c r="BW277" s="92"/>
      <c r="BX277" s="92"/>
      <c r="BY277" s="92"/>
      <c r="BZ277" s="92"/>
      <c r="CA277" s="92"/>
      <c r="CB277" s="92"/>
    </row>
    <row r="278" spans="1:80" ht="12.75" customHeight="1">
      <c r="A278" s="92"/>
      <c r="B278" s="92"/>
      <c r="C278" s="92"/>
      <c r="D278" s="92"/>
      <c r="E278" s="92"/>
      <c r="F278" s="92">
        <v>18</v>
      </c>
      <c r="G278" s="93" t="s">
        <v>348</v>
      </c>
      <c r="H278" s="92">
        <v>1</v>
      </c>
      <c r="I278" s="92">
        <v>2</v>
      </c>
      <c r="J278" s="92">
        <v>3</v>
      </c>
      <c r="K278" s="92">
        <v>3</v>
      </c>
      <c r="L278" s="92">
        <v>3</v>
      </c>
      <c r="M278" s="92">
        <v>4</v>
      </c>
      <c r="N278" s="92">
        <v>4</v>
      </c>
      <c r="O278" s="92">
        <v>4</v>
      </c>
      <c r="P278" s="92">
        <v>5</v>
      </c>
      <c r="Q278" s="92">
        <v>5</v>
      </c>
      <c r="R278" s="92">
        <v>6</v>
      </c>
      <c r="S278" s="92">
        <v>6</v>
      </c>
      <c r="T278" s="92">
        <v>6</v>
      </c>
      <c r="U278" s="92">
        <v>7</v>
      </c>
      <c r="V278" s="92">
        <v>7</v>
      </c>
      <c r="W278" s="92">
        <v>7</v>
      </c>
      <c r="X278" s="92">
        <v>8</v>
      </c>
      <c r="Y278" s="92">
        <v>8</v>
      </c>
      <c r="Z278" s="92">
        <v>9</v>
      </c>
      <c r="AA278" s="92">
        <v>9</v>
      </c>
      <c r="AB278" s="92">
        <v>10</v>
      </c>
      <c r="AC278" s="92" t="s">
        <v>301</v>
      </c>
      <c r="AD278" s="92" t="s">
        <v>301</v>
      </c>
      <c r="AE278" s="92" t="s">
        <v>301</v>
      </c>
      <c r="AF278" s="92" t="s">
        <v>301</v>
      </c>
      <c r="AG278" s="92" t="s">
        <v>301</v>
      </c>
      <c r="AH278" s="92" t="s">
        <v>301</v>
      </c>
      <c r="AI278" s="92" t="s">
        <v>301</v>
      </c>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2"/>
      <c r="BL278" s="92"/>
      <c r="BM278" s="92"/>
      <c r="BN278" s="92"/>
      <c r="BO278" s="92"/>
      <c r="BP278" s="92"/>
      <c r="BQ278" s="92"/>
      <c r="BR278" s="92"/>
      <c r="BS278" s="92"/>
      <c r="BT278" s="92"/>
      <c r="BU278" s="92"/>
      <c r="BV278" s="92"/>
      <c r="BW278" s="92"/>
      <c r="BX278" s="92"/>
      <c r="BY278" s="92"/>
      <c r="BZ278" s="92"/>
      <c r="CA278" s="92"/>
      <c r="CB278" s="92"/>
    </row>
    <row r="279" spans="1:80" ht="12.75" customHeight="1">
      <c r="A279" s="92"/>
      <c r="B279" s="92"/>
      <c r="C279" s="92"/>
      <c r="D279" s="92"/>
      <c r="E279" s="92"/>
      <c r="F279" s="92"/>
      <c r="G279" s="93"/>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2"/>
      <c r="BL279" s="92"/>
      <c r="BM279" s="92"/>
      <c r="BN279" s="92"/>
      <c r="BO279" s="92"/>
      <c r="BP279" s="92"/>
      <c r="BQ279" s="92"/>
      <c r="BR279" s="92"/>
      <c r="BS279" s="92"/>
      <c r="BT279" s="92"/>
      <c r="BU279" s="92"/>
      <c r="BV279" s="92"/>
      <c r="BW279" s="92"/>
      <c r="BX279" s="92"/>
      <c r="BY279" s="92"/>
      <c r="BZ279" s="92"/>
      <c r="CA279" s="92"/>
      <c r="CB279" s="92"/>
    </row>
    <row r="280" spans="1:80" ht="12.75" customHeight="1">
      <c r="A280" s="92"/>
      <c r="B280" s="92"/>
      <c r="C280" s="92"/>
      <c r="D280" s="92"/>
      <c r="E280" s="92"/>
      <c r="F280" s="92"/>
      <c r="G280" s="93"/>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2"/>
      <c r="BL280" s="92"/>
      <c r="BM280" s="92"/>
      <c r="BN280" s="92"/>
      <c r="BO280" s="92"/>
      <c r="BP280" s="92"/>
      <c r="BQ280" s="92"/>
      <c r="BR280" s="92"/>
      <c r="BS280" s="92"/>
      <c r="BT280" s="92"/>
      <c r="BU280" s="92"/>
      <c r="BV280" s="92"/>
      <c r="BW280" s="92"/>
      <c r="BX280" s="92"/>
      <c r="BY280" s="92"/>
      <c r="BZ280" s="92"/>
      <c r="CA280" s="92"/>
      <c r="CB280" s="92"/>
    </row>
    <row r="281" spans="1:80" ht="12.75" customHeight="1">
      <c r="A281" s="92"/>
      <c r="B281" s="92"/>
      <c r="C281" s="92"/>
      <c r="D281" s="92"/>
      <c r="E281" s="92"/>
      <c r="F281" s="92"/>
      <c r="G281" s="93"/>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2"/>
      <c r="BL281" s="92"/>
      <c r="BM281" s="92"/>
      <c r="BN281" s="92"/>
      <c r="BO281" s="92"/>
      <c r="BP281" s="92"/>
      <c r="BQ281" s="92"/>
      <c r="BR281" s="92"/>
      <c r="BS281" s="92"/>
      <c r="BT281" s="92"/>
      <c r="BU281" s="92"/>
      <c r="BV281" s="92"/>
      <c r="BW281" s="92"/>
      <c r="BX281" s="92"/>
      <c r="BY281" s="92"/>
      <c r="BZ281" s="92"/>
      <c r="CA281" s="92"/>
      <c r="CB281" s="92"/>
    </row>
    <row r="282" spans="1:80" ht="12.75" customHeight="1">
      <c r="A282" s="92"/>
      <c r="B282" s="92"/>
      <c r="C282" s="92"/>
      <c r="D282" s="92"/>
      <c r="E282" s="92"/>
      <c r="F282" s="92"/>
      <c r="G282" s="93"/>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2"/>
      <c r="BL282" s="92"/>
      <c r="BM282" s="92"/>
      <c r="BN282" s="92"/>
      <c r="BO282" s="92"/>
      <c r="BP282" s="92"/>
      <c r="BQ282" s="92"/>
      <c r="BR282" s="92"/>
      <c r="BS282" s="92"/>
      <c r="BT282" s="92"/>
      <c r="BU282" s="92"/>
      <c r="BV282" s="92"/>
      <c r="BW282" s="92"/>
      <c r="BX282" s="92"/>
      <c r="BY282" s="92"/>
      <c r="BZ282" s="92"/>
      <c r="CA282" s="92"/>
      <c r="CB282" s="92"/>
    </row>
    <row r="283" spans="1:80" ht="12.75" customHeight="1">
      <c r="A283" s="92"/>
      <c r="B283" s="92"/>
      <c r="C283" s="92"/>
      <c r="D283" s="92"/>
      <c r="E283" s="92"/>
      <c r="F283" s="92"/>
      <c r="G283" s="93" t="s">
        <v>414</v>
      </c>
      <c r="H283" s="92">
        <v>0</v>
      </c>
      <c r="I283" s="92">
        <v>1</v>
      </c>
      <c r="J283" s="92">
        <v>2</v>
      </c>
      <c r="K283" s="92">
        <v>3</v>
      </c>
      <c r="L283" s="92">
        <v>4</v>
      </c>
      <c r="M283" s="92">
        <v>5</v>
      </c>
      <c r="N283" s="92">
        <v>6</v>
      </c>
      <c r="O283" s="92">
        <v>7</v>
      </c>
      <c r="P283" s="92">
        <v>8</v>
      </c>
      <c r="Q283" s="92">
        <v>9</v>
      </c>
      <c r="R283" s="92">
        <v>10</v>
      </c>
      <c r="S283" s="92">
        <v>11</v>
      </c>
      <c r="T283" s="92">
        <v>12</v>
      </c>
      <c r="U283" s="92">
        <v>13</v>
      </c>
      <c r="V283" s="92">
        <v>14</v>
      </c>
      <c r="W283" s="92">
        <v>15</v>
      </c>
      <c r="X283" s="92">
        <v>16</v>
      </c>
      <c r="Y283" s="92">
        <v>17</v>
      </c>
      <c r="Z283" s="92">
        <v>18</v>
      </c>
      <c r="AA283" s="92">
        <v>19</v>
      </c>
      <c r="AB283" s="92">
        <v>20</v>
      </c>
      <c r="AC283" s="92">
        <v>21</v>
      </c>
      <c r="AD283" s="92">
        <v>22</v>
      </c>
      <c r="AE283" s="92">
        <v>23</v>
      </c>
      <c r="AF283" s="92">
        <v>24</v>
      </c>
      <c r="AG283" s="92">
        <v>25</v>
      </c>
      <c r="AH283" s="92">
        <v>26</v>
      </c>
      <c r="AI283" s="92">
        <v>27</v>
      </c>
      <c r="AJ283" s="92">
        <v>28</v>
      </c>
      <c r="AK283" s="92">
        <v>99</v>
      </c>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2"/>
      <c r="BL283" s="92"/>
      <c r="BM283" s="92"/>
      <c r="BN283" s="92"/>
      <c r="BO283" s="92"/>
      <c r="BP283" s="92"/>
      <c r="BQ283" s="92"/>
      <c r="BR283" s="92"/>
      <c r="BS283" s="92"/>
      <c r="BT283" s="92"/>
      <c r="BU283" s="92"/>
      <c r="BV283" s="92"/>
      <c r="BW283" s="92"/>
      <c r="BX283" s="92"/>
      <c r="BY283" s="92"/>
      <c r="BZ283" s="92"/>
      <c r="CA283" s="92"/>
      <c r="CB283" s="92"/>
    </row>
    <row r="284" spans="1:80" ht="12.75" customHeight="1">
      <c r="A284" s="92"/>
      <c r="B284" s="92"/>
      <c r="C284" s="92"/>
      <c r="D284" s="92"/>
      <c r="E284" s="92"/>
      <c r="F284" s="92">
        <v>1</v>
      </c>
      <c r="G284" s="93" t="s">
        <v>300</v>
      </c>
      <c r="H284" s="99">
        <v>1</v>
      </c>
      <c r="I284" s="99">
        <v>1</v>
      </c>
      <c r="J284" s="99">
        <v>1</v>
      </c>
      <c r="K284" s="99">
        <v>1</v>
      </c>
      <c r="L284" s="99">
        <v>1</v>
      </c>
      <c r="M284" s="99">
        <v>2</v>
      </c>
      <c r="N284" s="99">
        <v>3</v>
      </c>
      <c r="O284" s="99">
        <v>3</v>
      </c>
      <c r="P284" s="99">
        <v>4</v>
      </c>
      <c r="Q284" s="99">
        <v>5</v>
      </c>
      <c r="R284" s="99">
        <v>5</v>
      </c>
      <c r="S284" s="99">
        <v>6</v>
      </c>
      <c r="T284" s="99">
        <v>7</v>
      </c>
      <c r="U284" s="99">
        <v>7</v>
      </c>
      <c r="V284" s="99">
        <v>8</v>
      </c>
      <c r="W284" s="99">
        <v>9</v>
      </c>
      <c r="X284" s="99">
        <v>9</v>
      </c>
      <c r="Y284" s="99">
        <v>10</v>
      </c>
      <c r="Z284" s="99">
        <v>10</v>
      </c>
      <c r="AA284" s="99">
        <v>10</v>
      </c>
      <c r="AB284" s="99">
        <v>10</v>
      </c>
      <c r="AC284" s="92" t="s">
        <v>301</v>
      </c>
      <c r="AD284" s="92" t="s">
        <v>301</v>
      </c>
      <c r="AE284" s="92" t="s">
        <v>301</v>
      </c>
      <c r="AF284" s="92" t="s">
        <v>301</v>
      </c>
      <c r="AG284" s="92" t="s">
        <v>301</v>
      </c>
      <c r="AH284" s="92" t="s">
        <v>301</v>
      </c>
      <c r="AI284" s="92" t="s">
        <v>301</v>
      </c>
      <c r="AJ284" s="92" t="s">
        <v>301</v>
      </c>
      <c r="AK284" s="92" t="s">
        <v>301</v>
      </c>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2"/>
      <c r="BL284" s="92"/>
      <c r="BM284" s="92"/>
      <c r="BN284" s="92"/>
      <c r="BO284" s="92"/>
      <c r="BP284" s="92"/>
      <c r="BQ284" s="92"/>
      <c r="BR284" s="92"/>
      <c r="BS284" s="92"/>
      <c r="BT284" s="92"/>
      <c r="BU284" s="92"/>
      <c r="BV284" s="92"/>
      <c r="BW284" s="92"/>
      <c r="BX284" s="92"/>
      <c r="BY284" s="92"/>
      <c r="BZ284" s="92"/>
      <c r="CA284" s="92"/>
      <c r="CB284" s="92"/>
    </row>
    <row r="285" spans="1:80" ht="12.75" customHeight="1">
      <c r="A285" s="92"/>
      <c r="B285" s="92"/>
      <c r="C285" s="92"/>
      <c r="D285" s="92"/>
      <c r="E285" s="92"/>
      <c r="F285" s="92">
        <v>2</v>
      </c>
      <c r="G285" s="93" t="s">
        <v>303</v>
      </c>
      <c r="H285" s="99">
        <v>1</v>
      </c>
      <c r="I285" s="99">
        <v>1</v>
      </c>
      <c r="J285" s="99">
        <v>1</v>
      </c>
      <c r="K285" s="99">
        <v>1</v>
      </c>
      <c r="L285" s="99">
        <v>2</v>
      </c>
      <c r="M285" s="99">
        <v>2</v>
      </c>
      <c r="N285" s="99">
        <v>3</v>
      </c>
      <c r="O285" s="99">
        <v>4</v>
      </c>
      <c r="P285" s="99">
        <v>4</v>
      </c>
      <c r="Q285" s="99">
        <v>5</v>
      </c>
      <c r="R285" s="99">
        <v>6</v>
      </c>
      <c r="S285" s="99">
        <v>7</v>
      </c>
      <c r="T285" s="99">
        <v>7</v>
      </c>
      <c r="U285" s="99">
        <v>8</v>
      </c>
      <c r="V285" s="99">
        <v>9</v>
      </c>
      <c r="W285" s="99">
        <v>9</v>
      </c>
      <c r="X285" s="99">
        <v>10</v>
      </c>
      <c r="Y285" s="99">
        <v>10</v>
      </c>
      <c r="Z285" s="99">
        <v>10</v>
      </c>
      <c r="AA285" s="99">
        <v>10</v>
      </c>
      <c r="AB285" s="99">
        <v>10</v>
      </c>
      <c r="AC285" s="92" t="s">
        <v>301</v>
      </c>
      <c r="AD285" s="92" t="s">
        <v>301</v>
      </c>
      <c r="AE285" s="92" t="s">
        <v>301</v>
      </c>
      <c r="AF285" s="92" t="s">
        <v>301</v>
      </c>
      <c r="AG285" s="92" t="s">
        <v>301</v>
      </c>
      <c r="AH285" s="92" t="s">
        <v>301</v>
      </c>
      <c r="AI285" s="92" t="s">
        <v>301</v>
      </c>
      <c r="AJ285" s="92" t="s">
        <v>301</v>
      </c>
      <c r="AK285" s="92" t="s">
        <v>301</v>
      </c>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2"/>
      <c r="BL285" s="92"/>
      <c r="BM285" s="92"/>
      <c r="BN285" s="92"/>
      <c r="BO285" s="92"/>
      <c r="BP285" s="92"/>
      <c r="BQ285" s="92"/>
      <c r="BR285" s="92"/>
      <c r="BS285" s="92"/>
      <c r="BT285" s="92"/>
      <c r="BU285" s="92"/>
      <c r="BV285" s="92"/>
      <c r="BW285" s="92"/>
      <c r="BX285" s="92"/>
      <c r="BY285" s="92"/>
      <c r="BZ285" s="92"/>
      <c r="CA285" s="92"/>
      <c r="CB285" s="92"/>
    </row>
    <row r="286" spans="1:80" ht="12.75" customHeight="1">
      <c r="A286" s="92"/>
      <c r="B286" s="92"/>
      <c r="C286" s="92"/>
      <c r="D286" s="92"/>
      <c r="E286" s="92"/>
      <c r="F286" s="92">
        <v>3</v>
      </c>
      <c r="G286" s="93" t="s">
        <v>305</v>
      </c>
      <c r="H286" s="99">
        <v>1</v>
      </c>
      <c r="I286" s="99">
        <v>1</v>
      </c>
      <c r="J286" s="99">
        <v>1</v>
      </c>
      <c r="K286" s="99">
        <v>1</v>
      </c>
      <c r="L286" s="99">
        <v>2</v>
      </c>
      <c r="M286" s="99">
        <v>2</v>
      </c>
      <c r="N286" s="99">
        <v>3</v>
      </c>
      <c r="O286" s="99">
        <v>4</v>
      </c>
      <c r="P286" s="99">
        <v>4</v>
      </c>
      <c r="Q286" s="99">
        <v>5</v>
      </c>
      <c r="R286" s="99">
        <v>6</v>
      </c>
      <c r="S286" s="99">
        <v>6</v>
      </c>
      <c r="T286" s="99">
        <v>7</v>
      </c>
      <c r="U286" s="99">
        <v>8</v>
      </c>
      <c r="V286" s="99">
        <v>8</v>
      </c>
      <c r="W286" s="99">
        <v>9</v>
      </c>
      <c r="X286" s="99">
        <v>10</v>
      </c>
      <c r="Y286" s="99">
        <v>10</v>
      </c>
      <c r="Z286" s="99">
        <v>10</v>
      </c>
      <c r="AA286" s="99">
        <v>10</v>
      </c>
      <c r="AB286" s="99">
        <v>10</v>
      </c>
      <c r="AC286" s="92" t="s">
        <v>301</v>
      </c>
      <c r="AD286" s="92" t="s">
        <v>301</v>
      </c>
      <c r="AE286" s="92" t="s">
        <v>301</v>
      </c>
      <c r="AF286" s="92" t="s">
        <v>301</v>
      </c>
      <c r="AG286" s="92" t="s">
        <v>301</v>
      </c>
      <c r="AH286" s="92" t="s">
        <v>301</v>
      </c>
      <c r="AI286" s="92" t="s">
        <v>301</v>
      </c>
      <c r="AJ286" s="92" t="s">
        <v>301</v>
      </c>
      <c r="AK286" s="92" t="s">
        <v>301</v>
      </c>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2"/>
      <c r="BL286" s="92"/>
      <c r="BM286" s="92"/>
      <c r="BN286" s="92"/>
      <c r="BO286" s="92"/>
      <c r="BP286" s="92"/>
      <c r="BQ286" s="92"/>
      <c r="BR286" s="92"/>
      <c r="BS286" s="92"/>
      <c r="BT286" s="92"/>
      <c r="BU286" s="92"/>
      <c r="BV286" s="92"/>
      <c r="BW286" s="92"/>
      <c r="BX286" s="92"/>
      <c r="BY286" s="92"/>
      <c r="BZ286" s="92"/>
      <c r="CA286" s="92"/>
      <c r="CB286" s="92"/>
    </row>
    <row r="287" spans="1:80" ht="12.75" customHeight="1">
      <c r="A287" s="92"/>
      <c r="B287" s="92"/>
      <c r="C287" s="92"/>
      <c r="D287" s="92"/>
      <c r="E287" s="92"/>
      <c r="F287" s="92">
        <v>4</v>
      </c>
      <c r="G287" s="93" t="s">
        <v>307</v>
      </c>
      <c r="H287" s="92">
        <v>1</v>
      </c>
      <c r="I287" s="92">
        <v>1</v>
      </c>
      <c r="J287" s="92">
        <v>1</v>
      </c>
      <c r="K287" s="92">
        <v>1</v>
      </c>
      <c r="L287" s="92">
        <v>1</v>
      </c>
      <c r="M287" s="92">
        <v>2</v>
      </c>
      <c r="N287" s="92">
        <v>2</v>
      </c>
      <c r="O287" s="92">
        <v>3</v>
      </c>
      <c r="P287" s="92">
        <v>4</v>
      </c>
      <c r="Q287" s="92">
        <v>5</v>
      </c>
      <c r="R287" s="92">
        <v>5</v>
      </c>
      <c r="S287" s="92">
        <v>6</v>
      </c>
      <c r="T287" s="92">
        <v>6</v>
      </c>
      <c r="U287" s="92">
        <v>7</v>
      </c>
      <c r="V287" s="92">
        <v>8</v>
      </c>
      <c r="W287" s="92">
        <v>8</v>
      </c>
      <c r="X287" s="92">
        <v>9</v>
      </c>
      <c r="Y287" s="92">
        <v>10</v>
      </c>
      <c r="Z287" s="92">
        <v>10</v>
      </c>
      <c r="AA287" s="92">
        <v>10</v>
      </c>
      <c r="AB287" s="92">
        <v>10</v>
      </c>
      <c r="AC287" s="92" t="s">
        <v>301</v>
      </c>
      <c r="AD287" s="92" t="s">
        <v>301</v>
      </c>
      <c r="AE287" s="92" t="s">
        <v>301</v>
      </c>
      <c r="AF287" s="92" t="s">
        <v>301</v>
      </c>
      <c r="AG287" s="92" t="s">
        <v>301</v>
      </c>
      <c r="AH287" s="92" t="s">
        <v>301</v>
      </c>
      <c r="AI287" s="92" t="s">
        <v>301</v>
      </c>
      <c r="AJ287" s="92" t="s">
        <v>301</v>
      </c>
      <c r="AK287" s="92" t="s">
        <v>301</v>
      </c>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2"/>
      <c r="BL287" s="92"/>
      <c r="BM287" s="92"/>
      <c r="BN287" s="92"/>
      <c r="BO287" s="92"/>
      <c r="BP287" s="92"/>
      <c r="BQ287" s="92"/>
      <c r="BR287" s="92"/>
      <c r="BS287" s="92"/>
      <c r="BT287" s="92"/>
      <c r="BU287" s="92"/>
      <c r="BV287" s="92"/>
      <c r="BW287" s="92"/>
      <c r="BX287" s="92"/>
      <c r="BY287" s="92"/>
      <c r="BZ287" s="92"/>
      <c r="CA287" s="92"/>
      <c r="CB287" s="92"/>
    </row>
    <row r="288" spans="1:80" ht="12.75" customHeight="1">
      <c r="A288" s="92"/>
      <c r="B288" s="92"/>
      <c r="C288" s="92"/>
      <c r="D288" s="92"/>
      <c r="E288" s="92"/>
      <c r="F288" s="92">
        <v>5</v>
      </c>
      <c r="G288" s="93" t="s">
        <v>309</v>
      </c>
      <c r="H288" s="92">
        <v>1</v>
      </c>
      <c r="I288" s="92">
        <v>1</v>
      </c>
      <c r="J288" s="92">
        <v>1</v>
      </c>
      <c r="K288" s="92">
        <v>1</v>
      </c>
      <c r="L288" s="92">
        <v>1</v>
      </c>
      <c r="M288" s="92">
        <v>2</v>
      </c>
      <c r="N288" s="92">
        <v>2</v>
      </c>
      <c r="O288" s="92">
        <v>3</v>
      </c>
      <c r="P288" s="92">
        <v>4</v>
      </c>
      <c r="Q288" s="92">
        <v>4</v>
      </c>
      <c r="R288" s="92">
        <v>5</v>
      </c>
      <c r="S288" s="92">
        <v>6</v>
      </c>
      <c r="T288" s="92">
        <v>7</v>
      </c>
      <c r="U288" s="92">
        <v>7</v>
      </c>
      <c r="V288" s="92">
        <v>8</v>
      </c>
      <c r="W288" s="92">
        <v>8</v>
      </c>
      <c r="X288" s="92">
        <v>9</v>
      </c>
      <c r="Y288" s="92">
        <v>10</v>
      </c>
      <c r="Z288" s="92">
        <v>10</v>
      </c>
      <c r="AA288" s="92">
        <v>10</v>
      </c>
      <c r="AB288" s="92">
        <v>10</v>
      </c>
      <c r="AC288" s="92" t="s">
        <v>301</v>
      </c>
      <c r="AD288" s="92" t="s">
        <v>301</v>
      </c>
      <c r="AE288" s="92" t="s">
        <v>301</v>
      </c>
      <c r="AF288" s="92" t="s">
        <v>301</v>
      </c>
      <c r="AG288" s="92" t="s">
        <v>301</v>
      </c>
      <c r="AH288" s="92" t="s">
        <v>301</v>
      </c>
      <c r="AI288" s="92" t="s">
        <v>301</v>
      </c>
      <c r="AJ288" s="92" t="s">
        <v>301</v>
      </c>
      <c r="AK288" s="92" t="s">
        <v>301</v>
      </c>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2"/>
      <c r="BL288" s="92"/>
      <c r="BM288" s="92"/>
      <c r="BN288" s="92"/>
      <c r="BO288" s="92"/>
      <c r="BP288" s="92"/>
      <c r="BQ288" s="92"/>
      <c r="BR288" s="92"/>
      <c r="BS288" s="92"/>
      <c r="BT288" s="92"/>
      <c r="BU288" s="92"/>
      <c r="BV288" s="92"/>
      <c r="BW288" s="92"/>
      <c r="BX288" s="92"/>
      <c r="BY288" s="92"/>
      <c r="BZ288" s="92"/>
      <c r="CA288" s="92"/>
      <c r="CB288" s="92"/>
    </row>
    <row r="289" spans="1:80" ht="12.75" customHeight="1">
      <c r="A289" s="92"/>
      <c r="B289" s="92"/>
      <c r="C289" s="92"/>
      <c r="D289" s="92"/>
      <c r="E289" s="92"/>
      <c r="F289" s="92">
        <v>6</v>
      </c>
      <c r="G289" s="93" t="s">
        <v>311</v>
      </c>
      <c r="H289" s="92">
        <v>1</v>
      </c>
      <c r="I289" s="92">
        <v>1</v>
      </c>
      <c r="J289" s="92">
        <v>1</v>
      </c>
      <c r="K289" s="92">
        <v>1</v>
      </c>
      <c r="L289" s="92">
        <v>1</v>
      </c>
      <c r="M289" s="92">
        <v>1</v>
      </c>
      <c r="N289" s="92">
        <v>2</v>
      </c>
      <c r="O289" s="92">
        <v>3</v>
      </c>
      <c r="P289" s="92">
        <v>4</v>
      </c>
      <c r="Q289" s="92">
        <v>4</v>
      </c>
      <c r="R289" s="92">
        <v>5</v>
      </c>
      <c r="S289" s="92">
        <v>6</v>
      </c>
      <c r="T289" s="92">
        <v>6</v>
      </c>
      <c r="U289" s="92">
        <v>7</v>
      </c>
      <c r="V289" s="92">
        <v>8</v>
      </c>
      <c r="W289" s="92">
        <v>8</v>
      </c>
      <c r="X289" s="92">
        <v>9</v>
      </c>
      <c r="Y289" s="92">
        <v>10</v>
      </c>
      <c r="Z289" s="92">
        <v>10</v>
      </c>
      <c r="AA289" s="92">
        <v>10</v>
      </c>
      <c r="AB289" s="92">
        <v>10</v>
      </c>
      <c r="AC289" s="92" t="s">
        <v>301</v>
      </c>
      <c r="AD289" s="92" t="s">
        <v>301</v>
      </c>
      <c r="AE289" s="92" t="s">
        <v>301</v>
      </c>
      <c r="AF289" s="92" t="s">
        <v>301</v>
      </c>
      <c r="AG289" s="92" t="s">
        <v>301</v>
      </c>
      <c r="AH289" s="92" t="s">
        <v>301</v>
      </c>
      <c r="AI289" s="92" t="s">
        <v>301</v>
      </c>
      <c r="AJ289" s="92" t="s">
        <v>301</v>
      </c>
      <c r="AK289" s="92" t="s">
        <v>301</v>
      </c>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2"/>
      <c r="BL289" s="92"/>
      <c r="BM289" s="92"/>
      <c r="BN289" s="92"/>
      <c r="BO289" s="92"/>
      <c r="BP289" s="92"/>
      <c r="BQ289" s="92"/>
      <c r="BR289" s="92"/>
      <c r="BS289" s="92"/>
      <c r="BT289" s="92"/>
      <c r="BU289" s="92"/>
      <c r="BV289" s="92"/>
      <c r="BW289" s="92"/>
      <c r="BX289" s="92"/>
      <c r="BY289" s="92"/>
      <c r="BZ289" s="92"/>
      <c r="CA289" s="92"/>
      <c r="CB289" s="92"/>
    </row>
    <row r="290" spans="1:80" ht="12.75" customHeight="1">
      <c r="A290" s="92"/>
      <c r="B290" s="92"/>
      <c r="C290" s="92"/>
      <c r="D290" s="92"/>
      <c r="E290" s="92"/>
      <c r="F290" s="92">
        <v>7</v>
      </c>
      <c r="G290" s="93" t="s">
        <v>313</v>
      </c>
      <c r="H290" s="92">
        <v>1</v>
      </c>
      <c r="I290" s="92">
        <v>1</v>
      </c>
      <c r="J290" s="92">
        <v>1</v>
      </c>
      <c r="K290" s="92">
        <v>1</v>
      </c>
      <c r="L290" s="92">
        <v>2</v>
      </c>
      <c r="M290" s="92">
        <v>2</v>
      </c>
      <c r="N290" s="92">
        <v>3</v>
      </c>
      <c r="O290" s="92">
        <v>4</v>
      </c>
      <c r="P290" s="92">
        <v>4</v>
      </c>
      <c r="Q290" s="92">
        <v>5</v>
      </c>
      <c r="R290" s="92">
        <v>6</v>
      </c>
      <c r="S290" s="92">
        <v>6</v>
      </c>
      <c r="T290" s="92">
        <v>7</v>
      </c>
      <c r="U290" s="92">
        <v>8</v>
      </c>
      <c r="V290" s="92">
        <v>9</v>
      </c>
      <c r="W290" s="92">
        <v>9</v>
      </c>
      <c r="X290" s="92">
        <v>10</v>
      </c>
      <c r="Y290" s="92">
        <v>10</v>
      </c>
      <c r="Z290" s="92">
        <v>10</v>
      </c>
      <c r="AA290" s="92">
        <v>10</v>
      </c>
      <c r="AB290" s="92">
        <v>10</v>
      </c>
      <c r="AC290" s="92" t="s">
        <v>301</v>
      </c>
      <c r="AD290" s="92" t="s">
        <v>301</v>
      </c>
      <c r="AE290" s="92" t="s">
        <v>301</v>
      </c>
      <c r="AF290" s="92" t="s">
        <v>301</v>
      </c>
      <c r="AG290" s="92" t="s">
        <v>301</v>
      </c>
      <c r="AH290" s="92" t="s">
        <v>301</v>
      </c>
      <c r="AI290" s="92" t="s">
        <v>301</v>
      </c>
      <c r="AJ290" s="92" t="s">
        <v>301</v>
      </c>
      <c r="AK290" s="92" t="s">
        <v>301</v>
      </c>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2"/>
      <c r="BL290" s="92"/>
      <c r="BM290" s="92"/>
      <c r="BN290" s="92"/>
      <c r="BO290" s="92"/>
      <c r="BP290" s="92"/>
      <c r="BQ290" s="92"/>
      <c r="BR290" s="92"/>
      <c r="BS290" s="92"/>
      <c r="BT290" s="92"/>
      <c r="BU290" s="92"/>
      <c r="BV290" s="92"/>
      <c r="BW290" s="92"/>
      <c r="BX290" s="92"/>
      <c r="BY290" s="92"/>
      <c r="BZ290" s="92"/>
      <c r="CA290" s="92"/>
      <c r="CB290" s="92"/>
    </row>
    <row r="291" spans="1:80" ht="12.75" customHeight="1">
      <c r="A291" s="92"/>
      <c r="B291" s="92"/>
      <c r="C291" s="92"/>
      <c r="D291" s="92"/>
      <c r="E291" s="92"/>
      <c r="F291" s="92">
        <v>8</v>
      </c>
      <c r="G291" s="93" t="s">
        <v>315</v>
      </c>
      <c r="H291" s="92">
        <v>1</v>
      </c>
      <c r="I291" s="92">
        <v>1</v>
      </c>
      <c r="J291" s="92">
        <v>1</v>
      </c>
      <c r="K291" s="92">
        <v>1</v>
      </c>
      <c r="L291" s="92">
        <v>1</v>
      </c>
      <c r="M291" s="92">
        <v>2</v>
      </c>
      <c r="N291" s="92">
        <v>2</v>
      </c>
      <c r="O291" s="92">
        <v>3</v>
      </c>
      <c r="P291" s="92">
        <v>4</v>
      </c>
      <c r="Q291" s="92">
        <v>4</v>
      </c>
      <c r="R291" s="92">
        <v>5</v>
      </c>
      <c r="S291" s="92">
        <v>6</v>
      </c>
      <c r="T291" s="92">
        <v>6</v>
      </c>
      <c r="U291" s="92">
        <v>7</v>
      </c>
      <c r="V291" s="92">
        <v>7</v>
      </c>
      <c r="W291" s="92">
        <v>8</v>
      </c>
      <c r="X291" s="92">
        <v>9</v>
      </c>
      <c r="Y291" s="92">
        <v>9</v>
      </c>
      <c r="Z291" s="92">
        <v>10</v>
      </c>
      <c r="AA291" s="92">
        <v>10</v>
      </c>
      <c r="AB291" s="92">
        <v>10</v>
      </c>
      <c r="AC291" s="92" t="s">
        <v>301</v>
      </c>
      <c r="AD291" s="92" t="s">
        <v>301</v>
      </c>
      <c r="AE291" s="92" t="s">
        <v>301</v>
      </c>
      <c r="AF291" s="92" t="s">
        <v>301</v>
      </c>
      <c r="AG291" s="92" t="s">
        <v>301</v>
      </c>
      <c r="AH291" s="92" t="s">
        <v>301</v>
      </c>
      <c r="AI291" s="92" t="s">
        <v>301</v>
      </c>
      <c r="AJ291" s="92" t="s">
        <v>301</v>
      </c>
      <c r="AK291" s="92" t="s">
        <v>301</v>
      </c>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2"/>
      <c r="BL291" s="92"/>
      <c r="BM291" s="92"/>
      <c r="BN291" s="92"/>
      <c r="BO291" s="92"/>
      <c r="BP291" s="92"/>
      <c r="BQ291" s="92"/>
      <c r="BR291" s="92"/>
      <c r="BS291" s="92"/>
      <c r="BT291" s="92"/>
      <c r="BU291" s="92"/>
      <c r="BV291" s="92"/>
      <c r="BW291" s="92"/>
      <c r="BX291" s="92"/>
      <c r="BY291" s="92"/>
      <c r="BZ291" s="92"/>
      <c r="CA291" s="92"/>
      <c r="CB291" s="92"/>
    </row>
    <row r="292" spans="1:80" ht="12.75" customHeight="1">
      <c r="A292" s="92"/>
      <c r="B292" s="92"/>
      <c r="C292" s="92"/>
      <c r="D292" s="92"/>
      <c r="E292" s="92"/>
      <c r="F292" s="92">
        <v>9</v>
      </c>
      <c r="G292" s="93" t="s">
        <v>318</v>
      </c>
      <c r="H292" s="92">
        <v>1</v>
      </c>
      <c r="I292" s="92">
        <v>1</v>
      </c>
      <c r="J292" s="92">
        <v>1</v>
      </c>
      <c r="K292" s="92">
        <v>1</v>
      </c>
      <c r="L292" s="92">
        <v>1</v>
      </c>
      <c r="M292" s="92">
        <v>2</v>
      </c>
      <c r="N292" s="92">
        <v>3</v>
      </c>
      <c r="O292" s="92">
        <v>3</v>
      </c>
      <c r="P292" s="92">
        <v>4</v>
      </c>
      <c r="Q292" s="92">
        <v>5</v>
      </c>
      <c r="R292" s="92">
        <v>5</v>
      </c>
      <c r="S292" s="92">
        <v>6</v>
      </c>
      <c r="T292" s="92">
        <v>7</v>
      </c>
      <c r="U292" s="92">
        <v>8</v>
      </c>
      <c r="V292" s="92">
        <v>8</v>
      </c>
      <c r="W292" s="92">
        <v>9</v>
      </c>
      <c r="X292" s="92">
        <v>10</v>
      </c>
      <c r="Y292" s="92">
        <v>10</v>
      </c>
      <c r="Z292" s="92">
        <v>10</v>
      </c>
      <c r="AA292" s="92">
        <v>10</v>
      </c>
      <c r="AB292" s="92">
        <v>10</v>
      </c>
      <c r="AC292" s="92" t="s">
        <v>301</v>
      </c>
      <c r="AD292" s="92" t="s">
        <v>301</v>
      </c>
      <c r="AE292" s="92" t="s">
        <v>301</v>
      </c>
      <c r="AF292" s="92" t="s">
        <v>301</v>
      </c>
      <c r="AG292" s="92" t="s">
        <v>301</v>
      </c>
      <c r="AH292" s="92" t="s">
        <v>301</v>
      </c>
      <c r="AI292" s="92" t="s">
        <v>301</v>
      </c>
      <c r="AJ292" s="92" t="s">
        <v>301</v>
      </c>
      <c r="AK292" s="92" t="s">
        <v>301</v>
      </c>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2"/>
      <c r="BL292" s="92"/>
      <c r="BM292" s="92"/>
      <c r="BN292" s="92"/>
      <c r="BO292" s="92"/>
      <c r="BP292" s="92"/>
      <c r="BQ292" s="92"/>
      <c r="BR292" s="92"/>
      <c r="BS292" s="92"/>
      <c r="BT292" s="92"/>
      <c r="BU292" s="92"/>
      <c r="BV292" s="92"/>
      <c r="BW292" s="92"/>
      <c r="BX292" s="92"/>
      <c r="BY292" s="92"/>
      <c r="BZ292" s="92"/>
      <c r="CA292" s="92"/>
      <c r="CB292" s="92"/>
    </row>
    <row r="293" spans="1:80" ht="12.75" customHeight="1">
      <c r="A293" s="92"/>
      <c r="B293" s="92"/>
      <c r="C293" s="92"/>
      <c r="D293" s="92"/>
      <c r="E293" s="92"/>
      <c r="F293" s="92">
        <v>10</v>
      </c>
      <c r="G293" s="93" t="s">
        <v>320</v>
      </c>
      <c r="H293" s="92">
        <v>1</v>
      </c>
      <c r="I293" s="92">
        <v>1</v>
      </c>
      <c r="J293" s="92">
        <v>1</v>
      </c>
      <c r="K293" s="92">
        <v>1</v>
      </c>
      <c r="L293" s="92">
        <v>1</v>
      </c>
      <c r="M293" s="92">
        <v>2</v>
      </c>
      <c r="N293" s="92">
        <v>3</v>
      </c>
      <c r="O293" s="92">
        <v>4</v>
      </c>
      <c r="P293" s="92">
        <v>4</v>
      </c>
      <c r="Q293" s="92">
        <v>5</v>
      </c>
      <c r="R293" s="92">
        <v>6</v>
      </c>
      <c r="S293" s="92">
        <v>7</v>
      </c>
      <c r="T293" s="92">
        <v>7</v>
      </c>
      <c r="U293" s="92">
        <v>8</v>
      </c>
      <c r="V293" s="92">
        <v>9</v>
      </c>
      <c r="W293" s="92">
        <v>10</v>
      </c>
      <c r="X293" s="92">
        <v>10</v>
      </c>
      <c r="Y293" s="92">
        <v>10</v>
      </c>
      <c r="Z293" s="92">
        <v>10</v>
      </c>
      <c r="AA293" s="92">
        <v>10</v>
      </c>
      <c r="AB293" s="92">
        <v>10</v>
      </c>
      <c r="AC293" s="92" t="s">
        <v>301</v>
      </c>
      <c r="AD293" s="92" t="s">
        <v>301</v>
      </c>
      <c r="AE293" s="92" t="s">
        <v>301</v>
      </c>
      <c r="AF293" s="92" t="s">
        <v>301</v>
      </c>
      <c r="AG293" s="92" t="s">
        <v>301</v>
      </c>
      <c r="AH293" s="92" t="s">
        <v>301</v>
      </c>
      <c r="AI293" s="92" t="s">
        <v>301</v>
      </c>
      <c r="AJ293" s="92" t="s">
        <v>301</v>
      </c>
      <c r="AK293" s="92" t="s">
        <v>301</v>
      </c>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2"/>
      <c r="BL293" s="92"/>
      <c r="BM293" s="92"/>
      <c r="BN293" s="92"/>
      <c r="BO293" s="92"/>
      <c r="BP293" s="92"/>
      <c r="BQ293" s="92"/>
      <c r="BR293" s="92"/>
      <c r="BS293" s="92"/>
      <c r="BT293" s="92"/>
      <c r="BU293" s="92"/>
      <c r="BV293" s="92"/>
      <c r="BW293" s="92"/>
      <c r="BX293" s="92"/>
      <c r="BY293" s="92"/>
      <c r="BZ293" s="92"/>
      <c r="CA293" s="92"/>
      <c r="CB293" s="92"/>
    </row>
    <row r="294" spans="1:80" ht="12.75" customHeight="1">
      <c r="A294" s="92"/>
      <c r="B294" s="92"/>
      <c r="C294" s="92"/>
      <c r="D294" s="92"/>
      <c r="E294" s="92"/>
      <c r="F294" s="92">
        <v>11</v>
      </c>
      <c r="G294" s="93" t="s">
        <v>322</v>
      </c>
      <c r="H294" s="92">
        <v>1</v>
      </c>
      <c r="I294" s="92">
        <v>1</v>
      </c>
      <c r="J294" s="92">
        <v>1</v>
      </c>
      <c r="K294" s="92">
        <v>2</v>
      </c>
      <c r="L294" s="92">
        <v>2</v>
      </c>
      <c r="M294" s="92">
        <v>3</v>
      </c>
      <c r="N294" s="92">
        <v>4</v>
      </c>
      <c r="O294" s="92">
        <v>4</v>
      </c>
      <c r="P294" s="92">
        <v>5</v>
      </c>
      <c r="Q294" s="92">
        <v>5</v>
      </c>
      <c r="R294" s="92">
        <v>6</v>
      </c>
      <c r="S294" s="92">
        <v>7</v>
      </c>
      <c r="T294" s="92">
        <v>7</v>
      </c>
      <c r="U294" s="92">
        <v>8</v>
      </c>
      <c r="V294" s="92">
        <v>9</v>
      </c>
      <c r="W294" s="92">
        <v>9</v>
      </c>
      <c r="X294" s="92">
        <v>10</v>
      </c>
      <c r="Y294" s="92">
        <v>10</v>
      </c>
      <c r="Z294" s="92">
        <v>10</v>
      </c>
      <c r="AA294" s="92">
        <v>10</v>
      </c>
      <c r="AB294" s="92">
        <v>10</v>
      </c>
      <c r="AC294" s="92" t="s">
        <v>301</v>
      </c>
      <c r="AD294" s="92" t="s">
        <v>301</v>
      </c>
      <c r="AE294" s="92" t="s">
        <v>301</v>
      </c>
      <c r="AF294" s="92" t="s">
        <v>301</v>
      </c>
      <c r="AG294" s="92" t="s">
        <v>301</v>
      </c>
      <c r="AH294" s="92" t="s">
        <v>301</v>
      </c>
      <c r="AI294" s="92" t="s">
        <v>301</v>
      </c>
      <c r="AJ294" s="92" t="s">
        <v>301</v>
      </c>
      <c r="AK294" s="92" t="s">
        <v>301</v>
      </c>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2"/>
      <c r="BL294" s="92"/>
      <c r="BM294" s="92"/>
      <c r="BN294" s="92"/>
      <c r="BO294" s="92"/>
      <c r="BP294" s="92"/>
      <c r="BQ294" s="92"/>
      <c r="BR294" s="92"/>
      <c r="BS294" s="92"/>
      <c r="BT294" s="92"/>
      <c r="BU294" s="92"/>
      <c r="BV294" s="92"/>
      <c r="BW294" s="92"/>
      <c r="BX294" s="92"/>
      <c r="BY294" s="92"/>
      <c r="BZ294" s="92"/>
      <c r="CA294" s="92"/>
      <c r="CB294" s="92"/>
    </row>
    <row r="295" spans="1:80" ht="12.75" customHeight="1">
      <c r="A295" s="92"/>
      <c r="B295" s="92"/>
      <c r="C295" s="92"/>
      <c r="D295" s="92"/>
      <c r="E295" s="92"/>
      <c r="F295" s="92">
        <v>12</v>
      </c>
      <c r="G295" s="93" t="s">
        <v>324</v>
      </c>
      <c r="H295" s="92">
        <v>1</v>
      </c>
      <c r="I295" s="92">
        <v>1</v>
      </c>
      <c r="J295" s="92">
        <v>1</v>
      </c>
      <c r="K295" s="92">
        <v>1</v>
      </c>
      <c r="L295" s="92">
        <v>1</v>
      </c>
      <c r="M295" s="92">
        <v>2</v>
      </c>
      <c r="N295" s="92">
        <v>2</v>
      </c>
      <c r="O295" s="92">
        <v>3</v>
      </c>
      <c r="P295" s="92">
        <v>4</v>
      </c>
      <c r="Q295" s="92">
        <v>5</v>
      </c>
      <c r="R295" s="92">
        <v>5</v>
      </c>
      <c r="S295" s="92">
        <v>6</v>
      </c>
      <c r="T295" s="92">
        <v>7</v>
      </c>
      <c r="U295" s="92">
        <v>7</v>
      </c>
      <c r="V295" s="92">
        <v>8</v>
      </c>
      <c r="W295" s="92">
        <v>9</v>
      </c>
      <c r="X295" s="92">
        <v>10</v>
      </c>
      <c r="Y295" s="92">
        <v>10</v>
      </c>
      <c r="Z295" s="92">
        <v>10</v>
      </c>
      <c r="AA295" s="92">
        <v>10</v>
      </c>
      <c r="AB295" s="92">
        <v>10</v>
      </c>
      <c r="AC295" s="92" t="s">
        <v>301</v>
      </c>
      <c r="AD295" s="92" t="s">
        <v>301</v>
      </c>
      <c r="AE295" s="92" t="s">
        <v>301</v>
      </c>
      <c r="AF295" s="92" t="s">
        <v>301</v>
      </c>
      <c r="AG295" s="92" t="s">
        <v>301</v>
      </c>
      <c r="AH295" s="92" t="s">
        <v>301</v>
      </c>
      <c r="AI295" s="92" t="s">
        <v>301</v>
      </c>
      <c r="AJ295" s="92" t="s">
        <v>301</v>
      </c>
      <c r="AK295" s="92" t="s">
        <v>301</v>
      </c>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2"/>
      <c r="BL295" s="92"/>
      <c r="BM295" s="92"/>
      <c r="BN295" s="92"/>
      <c r="BO295" s="92"/>
      <c r="BP295" s="92"/>
      <c r="BQ295" s="92"/>
      <c r="BR295" s="92"/>
      <c r="BS295" s="92"/>
      <c r="BT295" s="92"/>
      <c r="BU295" s="92"/>
      <c r="BV295" s="92"/>
      <c r="BW295" s="92"/>
      <c r="BX295" s="92"/>
      <c r="BY295" s="92"/>
      <c r="BZ295" s="92"/>
      <c r="CA295" s="92"/>
      <c r="CB295" s="92"/>
    </row>
    <row r="296" spans="1:80" ht="12.75" customHeight="1">
      <c r="A296" s="92"/>
      <c r="B296" s="92"/>
      <c r="C296" s="92"/>
      <c r="D296" s="92"/>
      <c r="E296" s="92"/>
      <c r="F296" s="92">
        <v>13</v>
      </c>
      <c r="G296" s="93" t="s">
        <v>326</v>
      </c>
      <c r="H296" s="92">
        <v>1</v>
      </c>
      <c r="I296" s="92">
        <v>1</v>
      </c>
      <c r="J296" s="92">
        <v>1</v>
      </c>
      <c r="K296" s="92">
        <v>1</v>
      </c>
      <c r="L296" s="92">
        <v>1</v>
      </c>
      <c r="M296" s="92">
        <v>1</v>
      </c>
      <c r="N296" s="92">
        <v>2</v>
      </c>
      <c r="O296" s="92">
        <v>3</v>
      </c>
      <c r="P296" s="92">
        <v>3</v>
      </c>
      <c r="Q296" s="92">
        <v>4</v>
      </c>
      <c r="R296" s="92">
        <v>5</v>
      </c>
      <c r="S296" s="92">
        <v>6</v>
      </c>
      <c r="T296" s="92">
        <v>7</v>
      </c>
      <c r="U296" s="92">
        <v>7</v>
      </c>
      <c r="V296" s="92">
        <v>8</v>
      </c>
      <c r="W296" s="92">
        <v>8</v>
      </c>
      <c r="X296" s="92">
        <v>9</v>
      </c>
      <c r="Y296" s="92">
        <v>10</v>
      </c>
      <c r="Z296" s="92">
        <v>10</v>
      </c>
      <c r="AA296" s="92">
        <v>10</v>
      </c>
      <c r="AB296" s="92">
        <v>10</v>
      </c>
      <c r="AC296" s="92" t="s">
        <v>301</v>
      </c>
      <c r="AD296" s="92" t="s">
        <v>301</v>
      </c>
      <c r="AE296" s="92" t="s">
        <v>301</v>
      </c>
      <c r="AF296" s="92" t="s">
        <v>301</v>
      </c>
      <c r="AG296" s="92" t="s">
        <v>301</v>
      </c>
      <c r="AH296" s="92" t="s">
        <v>301</v>
      </c>
      <c r="AI296" s="92" t="s">
        <v>301</v>
      </c>
      <c r="AJ296" s="92" t="s">
        <v>301</v>
      </c>
      <c r="AK296" s="92" t="s">
        <v>301</v>
      </c>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2"/>
      <c r="BL296" s="92"/>
      <c r="BM296" s="92"/>
      <c r="BN296" s="92"/>
      <c r="BO296" s="92"/>
      <c r="BP296" s="92"/>
      <c r="BQ296" s="92"/>
      <c r="BR296" s="92"/>
      <c r="BS296" s="92"/>
      <c r="BT296" s="92"/>
      <c r="BU296" s="92"/>
      <c r="BV296" s="92"/>
      <c r="BW296" s="92"/>
      <c r="BX296" s="92"/>
      <c r="BY296" s="92"/>
      <c r="BZ296" s="92"/>
      <c r="CA296" s="92"/>
      <c r="CB296" s="92"/>
    </row>
    <row r="297" spans="1:80" ht="12.75" customHeight="1">
      <c r="A297" s="92"/>
      <c r="B297" s="92"/>
      <c r="C297" s="92"/>
      <c r="D297" s="92"/>
      <c r="E297" s="92"/>
      <c r="F297" s="92">
        <v>14</v>
      </c>
      <c r="G297" s="93" t="s">
        <v>328</v>
      </c>
      <c r="H297" s="92">
        <v>1</v>
      </c>
      <c r="I297" s="92">
        <v>1</v>
      </c>
      <c r="J297" s="92">
        <v>1</v>
      </c>
      <c r="K297" s="92">
        <v>1</v>
      </c>
      <c r="L297" s="92">
        <v>2</v>
      </c>
      <c r="M297" s="92">
        <v>2</v>
      </c>
      <c r="N297" s="92">
        <v>3</v>
      </c>
      <c r="O297" s="92">
        <v>4</v>
      </c>
      <c r="P297" s="92">
        <v>5</v>
      </c>
      <c r="Q297" s="92">
        <v>5</v>
      </c>
      <c r="R297" s="92">
        <v>6</v>
      </c>
      <c r="S297" s="92">
        <v>7</v>
      </c>
      <c r="T297" s="92">
        <v>8</v>
      </c>
      <c r="U297" s="92">
        <v>8</v>
      </c>
      <c r="V297" s="92">
        <v>9</v>
      </c>
      <c r="W297" s="92">
        <v>9</v>
      </c>
      <c r="X297" s="92">
        <v>10</v>
      </c>
      <c r="Y297" s="92">
        <v>10</v>
      </c>
      <c r="Z297" s="92">
        <v>10</v>
      </c>
      <c r="AA297" s="92">
        <v>10</v>
      </c>
      <c r="AB297" s="92">
        <v>10</v>
      </c>
      <c r="AC297" s="92" t="s">
        <v>301</v>
      </c>
      <c r="AD297" s="92" t="s">
        <v>301</v>
      </c>
      <c r="AE297" s="92" t="s">
        <v>301</v>
      </c>
      <c r="AF297" s="92" t="s">
        <v>301</v>
      </c>
      <c r="AG297" s="92" t="s">
        <v>301</v>
      </c>
      <c r="AH297" s="92" t="s">
        <v>301</v>
      </c>
      <c r="AI297" s="92" t="s">
        <v>301</v>
      </c>
      <c r="AJ297" s="92" t="s">
        <v>301</v>
      </c>
      <c r="AK297" s="92" t="s">
        <v>301</v>
      </c>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2"/>
      <c r="BL297" s="92"/>
      <c r="BM297" s="92"/>
      <c r="BN297" s="92"/>
      <c r="BO297" s="92"/>
      <c r="BP297" s="92"/>
      <c r="BQ297" s="92"/>
      <c r="BR297" s="92"/>
      <c r="BS297" s="92"/>
      <c r="BT297" s="92"/>
      <c r="BU297" s="92"/>
      <c r="BV297" s="92"/>
      <c r="BW297" s="92"/>
      <c r="BX297" s="92"/>
      <c r="BY297" s="92"/>
      <c r="BZ297" s="92"/>
      <c r="CA297" s="92"/>
      <c r="CB297" s="92"/>
    </row>
    <row r="298" spans="1:80" ht="12.75" customHeight="1">
      <c r="A298" s="92"/>
      <c r="B298" s="92"/>
      <c r="C298" s="92"/>
      <c r="D298" s="92"/>
      <c r="E298" s="92"/>
      <c r="F298" s="92">
        <v>15</v>
      </c>
      <c r="G298" s="93" t="s">
        <v>330</v>
      </c>
      <c r="H298" s="92">
        <v>1</v>
      </c>
      <c r="I298" s="92">
        <v>1</v>
      </c>
      <c r="J298" s="92">
        <v>1</v>
      </c>
      <c r="K298" s="92">
        <v>1</v>
      </c>
      <c r="L298" s="92">
        <v>1</v>
      </c>
      <c r="M298" s="92">
        <v>2</v>
      </c>
      <c r="N298" s="92">
        <v>3</v>
      </c>
      <c r="O298" s="92">
        <v>4</v>
      </c>
      <c r="P298" s="92">
        <v>4</v>
      </c>
      <c r="Q298" s="92">
        <v>5</v>
      </c>
      <c r="R298" s="92">
        <v>6</v>
      </c>
      <c r="S298" s="92">
        <v>7</v>
      </c>
      <c r="T298" s="92">
        <v>7</v>
      </c>
      <c r="U298" s="92">
        <v>8</v>
      </c>
      <c r="V298" s="92">
        <v>8</v>
      </c>
      <c r="W298" s="92">
        <v>9</v>
      </c>
      <c r="X298" s="92">
        <v>10</v>
      </c>
      <c r="Y298" s="92">
        <v>10</v>
      </c>
      <c r="Z298" s="92">
        <v>10</v>
      </c>
      <c r="AA298" s="92">
        <v>10</v>
      </c>
      <c r="AB298" s="92">
        <v>10</v>
      </c>
      <c r="AC298" s="92" t="s">
        <v>301</v>
      </c>
      <c r="AD298" s="92" t="s">
        <v>301</v>
      </c>
      <c r="AE298" s="92" t="s">
        <v>301</v>
      </c>
      <c r="AF298" s="92" t="s">
        <v>301</v>
      </c>
      <c r="AG298" s="92" t="s">
        <v>301</v>
      </c>
      <c r="AH298" s="92" t="s">
        <v>301</v>
      </c>
      <c r="AI298" s="92" t="s">
        <v>301</v>
      </c>
      <c r="AJ298" s="92" t="s">
        <v>301</v>
      </c>
      <c r="AK298" s="92" t="s">
        <v>301</v>
      </c>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2"/>
      <c r="BL298" s="92"/>
      <c r="BM298" s="92"/>
      <c r="BN298" s="92"/>
      <c r="BO298" s="92"/>
      <c r="BP298" s="92"/>
      <c r="BQ298" s="92"/>
      <c r="BR298" s="92"/>
      <c r="BS298" s="92"/>
      <c r="BT298" s="92"/>
      <c r="BU298" s="92"/>
      <c r="BV298" s="92"/>
      <c r="BW298" s="92"/>
      <c r="BX298" s="92"/>
      <c r="BY298" s="92"/>
      <c r="BZ298" s="92"/>
      <c r="CA298" s="92"/>
      <c r="CB298" s="92"/>
    </row>
    <row r="299" spans="1:80" ht="12.75" customHeight="1">
      <c r="A299" s="92"/>
      <c r="B299" s="92"/>
      <c r="C299" s="92"/>
      <c r="D299" s="92"/>
      <c r="E299" s="92"/>
      <c r="F299" s="92">
        <v>16</v>
      </c>
      <c r="G299" s="93" t="s">
        <v>341</v>
      </c>
      <c r="H299" s="92">
        <v>1</v>
      </c>
      <c r="I299" s="92">
        <v>1</v>
      </c>
      <c r="J299" s="92">
        <v>1</v>
      </c>
      <c r="K299" s="92">
        <v>1</v>
      </c>
      <c r="L299" s="92">
        <v>2</v>
      </c>
      <c r="M299" s="92">
        <v>2</v>
      </c>
      <c r="N299" s="92">
        <v>3</v>
      </c>
      <c r="O299" s="92">
        <v>3</v>
      </c>
      <c r="P299" s="92">
        <v>4</v>
      </c>
      <c r="Q299" s="92">
        <v>4</v>
      </c>
      <c r="R299" s="92">
        <v>4</v>
      </c>
      <c r="S299" s="92">
        <v>4</v>
      </c>
      <c r="T299" s="92">
        <v>5</v>
      </c>
      <c r="U299" s="92">
        <v>6</v>
      </c>
      <c r="V299" s="92">
        <v>6</v>
      </c>
      <c r="W299" s="92">
        <v>6</v>
      </c>
      <c r="X299" s="92">
        <v>7</v>
      </c>
      <c r="Y299" s="92">
        <v>7</v>
      </c>
      <c r="Z299" s="92">
        <v>7</v>
      </c>
      <c r="AA299" s="92">
        <v>8</v>
      </c>
      <c r="AB299" s="92">
        <v>8</v>
      </c>
      <c r="AC299" s="92">
        <v>9</v>
      </c>
      <c r="AD299" s="92">
        <v>9</v>
      </c>
      <c r="AE299" s="92">
        <v>9</v>
      </c>
      <c r="AF299" s="92">
        <v>10</v>
      </c>
      <c r="AG299" s="92">
        <v>10</v>
      </c>
      <c r="AH299" s="92">
        <v>10</v>
      </c>
      <c r="AI299" s="92">
        <v>10</v>
      </c>
      <c r="AJ299" s="92">
        <v>10</v>
      </c>
      <c r="AK299" s="92" t="s">
        <v>301</v>
      </c>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2"/>
      <c r="BL299" s="92"/>
      <c r="BM299" s="92"/>
      <c r="BN299" s="92"/>
      <c r="BO299" s="92"/>
      <c r="BP299" s="92"/>
      <c r="BQ299" s="92"/>
      <c r="BR299" s="92"/>
      <c r="BS299" s="92"/>
      <c r="BT299" s="92"/>
      <c r="BU299" s="92"/>
      <c r="BV299" s="92"/>
      <c r="BW299" s="92"/>
      <c r="BX299" s="92"/>
      <c r="BY299" s="92"/>
      <c r="BZ299" s="92"/>
      <c r="CA299" s="92"/>
      <c r="CB299" s="92"/>
    </row>
    <row r="300" spans="1:80" ht="12.75" customHeight="1">
      <c r="A300" s="92"/>
      <c r="B300" s="92"/>
      <c r="C300" s="92"/>
      <c r="D300" s="92"/>
      <c r="E300" s="92"/>
      <c r="F300" s="92">
        <v>17</v>
      </c>
      <c r="G300" s="93" t="s">
        <v>343</v>
      </c>
      <c r="H300" s="92">
        <v>1</v>
      </c>
      <c r="I300" s="92">
        <v>1</v>
      </c>
      <c r="J300" s="92">
        <v>1</v>
      </c>
      <c r="K300" s="92">
        <v>1</v>
      </c>
      <c r="L300" s="92">
        <v>1</v>
      </c>
      <c r="M300" s="92">
        <v>2</v>
      </c>
      <c r="N300" s="92">
        <v>2</v>
      </c>
      <c r="O300" s="92">
        <v>2</v>
      </c>
      <c r="P300" s="92">
        <v>3</v>
      </c>
      <c r="Q300" s="92">
        <v>3</v>
      </c>
      <c r="R300" s="92">
        <v>3</v>
      </c>
      <c r="S300" s="92">
        <v>4</v>
      </c>
      <c r="T300" s="92">
        <v>4</v>
      </c>
      <c r="U300" s="92">
        <v>4</v>
      </c>
      <c r="V300" s="92">
        <v>4</v>
      </c>
      <c r="W300" s="92">
        <v>5</v>
      </c>
      <c r="X300" s="92">
        <v>6</v>
      </c>
      <c r="Y300" s="92">
        <v>6</v>
      </c>
      <c r="Z300" s="92">
        <v>6</v>
      </c>
      <c r="AA300" s="92">
        <v>7</v>
      </c>
      <c r="AB300" s="92">
        <v>7</v>
      </c>
      <c r="AC300" s="92">
        <v>8</v>
      </c>
      <c r="AD300" s="92">
        <v>8</v>
      </c>
      <c r="AE300" s="92">
        <v>8</v>
      </c>
      <c r="AF300" s="92">
        <v>9</v>
      </c>
      <c r="AG300" s="92">
        <v>10</v>
      </c>
      <c r="AH300" s="92">
        <v>10</v>
      </c>
      <c r="AI300" s="92">
        <v>10</v>
      </c>
      <c r="AJ300" s="92">
        <v>10</v>
      </c>
      <c r="AK300" s="92" t="s">
        <v>301</v>
      </c>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2"/>
      <c r="BL300" s="92"/>
      <c r="BM300" s="92"/>
      <c r="BN300" s="92"/>
      <c r="BO300" s="92"/>
      <c r="BP300" s="92"/>
      <c r="BQ300" s="92"/>
      <c r="BR300" s="92"/>
      <c r="BS300" s="92"/>
      <c r="BT300" s="92"/>
      <c r="BU300" s="92"/>
      <c r="BV300" s="92"/>
      <c r="BW300" s="92"/>
      <c r="BX300" s="92"/>
      <c r="BY300" s="92"/>
      <c r="BZ300" s="92"/>
      <c r="CA300" s="92"/>
      <c r="CB300" s="92"/>
    </row>
    <row r="301" spans="1:80" ht="12.75" customHeight="1">
      <c r="A301" s="92"/>
      <c r="B301" s="92"/>
      <c r="C301" s="92"/>
      <c r="D301" s="92"/>
      <c r="E301" s="92"/>
      <c r="F301" s="92">
        <v>18</v>
      </c>
      <c r="G301" s="93" t="s">
        <v>348</v>
      </c>
      <c r="H301" s="92">
        <v>1</v>
      </c>
      <c r="I301" s="92">
        <v>1</v>
      </c>
      <c r="J301" s="92">
        <v>1</v>
      </c>
      <c r="K301" s="92">
        <v>1</v>
      </c>
      <c r="L301" s="92">
        <v>2</v>
      </c>
      <c r="M301" s="92">
        <v>2</v>
      </c>
      <c r="N301" s="92">
        <v>2</v>
      </c>
      <c r="O301" s="92">
        <v>3</v>
      </c>
      <c r="P301" s="92">
        <v>3</v>
      </c>
      <c r="Q301" s="92">
        <v>4</v>
      </c>
      <c r="R301" s="92">
        <v>4</v>
      </c>
      <c r="S301" s="92">
        <v>4</v>
      </c>
      <c r="T301" s="92">
        <v>4</v>
      </c>
      <c r="U301" s="92">
        <v>5</v>
      </c>
      <c r="V301" s="92">
        <v>6</v>
      </c>
      <c r="W301" s="92">
        <v>6</v>
      </c>
      <c r="X301" s="92">
        <v>6</v>
      </c>
      <c r="Y301" s="92">
        <v>7</v>
      </c>
      <c r="Z301" s="92">
        <v>7</v>
      </c>
      <c r="AA301" s="92">
        <v>8</v>
      </c>
      <c r="AB301" s="92">
        <v>8</v>
      </c>
      <c r="AC301" s="92">
        <v>8</v>
      </c>
      <c r="AD301" s="92">
        <v>9</v>
      </c>
      <c r="AE301" s="92">
        <v>9</v>
      </c>
      <c r="AF301" s="92">
        <v>10</v>
      </c>
      <c r="AG301" s="92">
        <v>10</v>
      </c>
      <c r="AH301" s="92">
        <v>10</v>
      </c>
      <c r="AI301" s="92">
        <v>10</v>
      </c>
      <c r="AJ301" s="92">
        <v>10</v>
      </c>
      <c r="AK301" s="92" t="s">
        <v>301</v>
      </c>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2"/>
      <c r="BL301" s="92"/>
      <c r="BM301" s="92"/>
      <c r="BN301" s="92"/>
      <c r="BO301" s="92"/>
      <c r="BP301" s="92"/>
      <c r="BQ301" s="92"/>
      <c r="BR301" s="92"/>
      <c r="BS301" s="92"/>
      <c r="BT301" s="92"/>
      <c r="BU301" s="92"/>
      <c r="BV301" s="92"/>
      <c r="BW301" s="92"/>
      <c r="BX301" s="92"/>
      <c r="BY301" s="92"/>
      <c r="BZ301" s="92"/>
      <c r="CA301" s="92"/>
      <c r="CB301" s="92"/>
    </row>
    <row r="302" spans="1:80" ht="12.75" customHeight="1">
      <c r="A302" s="92"/>
      <c r="B302" s="92"/>
      <c r="C302" s="92"/>
      <c r="D302" s="92"/>
      <c r="E302" s="92"/>
      <c r="F302" s="92"/>
      <c r="G302" s="93"/>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2"/>
      <c r="BL302" s="92"/>
      <c r="BM302" s="92"/>
      <c r="BN302" s="92"/>
      <c r="BO302" s="92"/>
      <c r="BP302" s="92"/>
      <c r="BQ302" s="92"/>
      <c r="BR302" s="92"/>
      <c r="BS302" s="92"/>
      <c r="BT302" s="92"/>
      <c r="BU302" s="92"/>
      <c r="BV302" s="92"/>
      <c r="BW302" s="92"/>
      <c r="BX302" s="92"/>
      <c r="BY302" s="92"/>
      <c r="BZ302" s="92"/>
      <c r="CA302" s="92"/>
      <c r="CB302" s="92"/>
    </row>
    <row r="303" spans="1:80" ht="12.75" customHeight="1">
      <c r="A303" s="92"/>
      <c r="B303" s="92"/>
      <c r="C303" s="92"/>
      <c r="D303" s="92"/>
      <c r="E303" s="92"/>
      <c r="F303" s="92"/>
      <c r="G303" s="93"/>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2"/>
      <c r="BL303" s="92"/>
      <c r="BM303" s="92"/>
      <c r="BN303" s="92"/>
      <c r="BO303" s="92"/>
      <c r="BP303" s="92"/>
      <c r="BQ303" s="92"/>
      <c r="BR303" s="92"/>
      <c r="BS303" s="92"/>
      <c r="BT303" s="92"/>
      <c r="BU303" s="92"/>
      <c r="BV303" s="92"/>
      <c r="BW303" s="92"/>
      <c r="BX303" s="92"/>
      <c r="BY303" s="92"/>
      <c r="BZ303" s="92"/>
      <c r="CA303" s="92"/>
      <c r="CB303" s="92"/>
    </row>
    <row r="304" spans="1:80" ht="12.75" customHeight="1">
      <c r="A304" s="92"/>
      <c r="B304" s="92"/>
      <c r="C304" s="92"/>
      <c r="D304" s="92"/>
      <c r="E304" s="92"/>
      <c r="F304" s="92"/>
      <c r="G304" s="93"/>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2"/>
      <c r="BL304" s="92"/>
      <c r="BM304" s="92"/>
      <c r="BN304" s="92"/>
      <c r="BO304" s="92"/>
      <c r="BP304" s="92"/>
      <c r="BQ304" s="92"/>
      <c r="BR304" s="92"/>
      <c r="BS304" s="92"/>
      <c r="BT304" s="92"/>
      <c r="BU304" s="92"/>
      <c r="BV304" s="92"/>
      <c r="BW304" s="92"/>
      <c r="BX304" s="92"/>
      <c r="BY304" s="92"/>
      <c r="BZ304" s="92"/>
      <c r="CA304" s="92"/>
      <c r="CB304" s="92"/>
    </row>
    <row r="305" spans="1:80" ht="12.75" customHeight="1">
      <c r="A305" s="92"/>
      <c r="B305" s="92"/>
      <c r="C305" s="92"/>
      <c r="D305" s="92"/>
      <c r="E305" s="92"/>
      <c r="F305" s="92"/>
      <c r="G305" s="93"/>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2"/>
      <c r="BL305" s="92"/>
      <c r="BM305" s="92"/>
      <c r="BN305" s="92"/>
      <c r="BO305" s="92"/>
      <c r="BP305" s="92"/>
      <c r="BQ305" s="92"/>
      <c r="BR305" s="92"/>
      <c r="BS305" s="92"/>
      <c r="BT305" s="92"/>
      <c r="BU305" s="92"/>
      <c r="BV305" s="92"/>
      <c r="BW305" s="92"/>
      <c r="BX305" s="92"/>
      <c r="BY305" s="92"/>
      <c r="BZ305" s="92"/>
      <c r="CA305" s="92"/>
      <c r="CB305" s="92"/>
    </row>
    <row r="306" spans="1:80" ht="12.75" customHeight="1">
      <c r="A306" s="92"/>
      <c r="B306" s="92"/>
      <c r="C306" s="92"/>
      <c r="D306" s="92"/>
      <c r="E306" s="92"/>
      <c r="F306" s="92"/>
      <c r="G306" s="93" t="s">
        <v>415</v>
      </c>
      <c r="H306" s="92">
        <v>0</v>
      </c>
      <c r="I306" s="92">
        <v>1</v>
      </c>
      <c r="J306" s="92">
        <v>2</v>
      </c>
      <c r="K306" s="92">
        <v>3</v>
      </c>
      <c r="L306" s="92">
        <v>4</v>
      </c>
      <c r="M306" s="92">
        <v>5</v>
      </c>
      <c r="N306" s="92">
        <v>6</v>
      </c>
      <c r="O306" s="92">
        <v>7</v>
      </c>
      <c r="P306" s="92">
        <v>8</v>
      </c>
      <c r="Q306" s="92">
        <v>9</v>
      </c>
      <c r="R306" s="92">
        <v>10</v>
      </c>
      <c r="S306" s="92">
        <v>11</v>
      </c>
      <c r="T306" s="92">
        <v>12</v>
      </c>
      <c r="U306" s="92">
        <v>13</v>
      </c>
      <c r="V306" s="92">
        <v>14</v>
      </c>
      <c r="W306" s="92">
        <v>15</v>
      </c>
      <c r="X306" s="92">
        <v>16</v>
      </c>
      <c r="Y306" s="92">
        <v>17</v>
      </c>
      <c r="Z306" s="92">
        <v>18</v>
      </c>
      <c r="AA306" s="92">
        <v>19</v>
      </c>
      <c r="AB306" s="92">
        <v>20</v>
      </c>
      <c r="AC306" s="92">
        <v>99</v>
      </c>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2"/>
      <c r="BL306" s="92"/>
      <c r="BM306" s="92"/>
      <c r="BN306" s="92"/>
      <c r="BO306" s="92"/>
      <c r="BP306" s="92"/>
      <c r="BQ306" s="92"/>
      <c r="BR306" s="92"/>
      <c r="BS306" s="92"/>
      <c r="BT306" s="92"/>
      <c r="BU306" s="92"/>
      <c r="BV306" s="92"/>
      <c r="BW306" s="92"/>
      <c r="BX306" s="92"/>
      <c r="BY306" s="92"/>
      <c r="BZ306" s="92"/>
      <c r="CA306" s="92"/>
      <c r="CB306" s="92"/>
    </row>
    <row r="307" spans="1:80" ht="12.75" customHeight="1">
      <c r="A307" s="92"/>
      <c r="B307" s="92"/>
      <c r="C307" s="92"/>
      <c r="D307" s="92"/>
      <c r="E307" s="92"/>
      <c r="F307" s="92">
        <v>1</v>
      </c>
      <c r="G307" s="93" t="s">
        <v>300</v>
      </c>
      <c r="H307" s="99">
        <v>1</v>
      </c>
      <c r="I307" s="99">
        <v>1</v>
      </c>
      <c r="J307" s="99">
        <v>1</v>
      </c>
      <c r="K307" s="99">
        <v>1</v>
      </c>
      <c r="L307" s="99">
        <v>2</v>
      </c>
      <c r="M307" s="99">
        <v>3</v>
      </c>
      <c r="N307" s="99">
        <v>3</v>
      </c>
      <c r="O307" s="99">
        <v>4</v>
      </c>
      <c r="P307" s="99">
        <v>4</v>
      </c>
      <c r="Q307" s="99">
        <v>5</v>
      </c>
      <c r="R307" s="99">
        <v>5</v>
      </c>
      <c r="S307" s="99">
        <v>6</v>
      </c>
      <c r="T307" s="99">
        <v>7</v>
      </c>
      <c r="U307" s="99">
        <v>7</v>
      </c>
      <c r="V307" s="99">
        <v>8</v>
      </c>
      <c r="W307" s="99">
        <v>8</v>
      </c>
      <c r="X307" s="99">
        <v>9</v>
      </c>
      <c r="Y307" s="99">
        <v>10</v>
      </c>
      <c r="Z307" s="99">
        <v>10</v>
      </c>
      <c r="AA307" s="99">
        <v>10</v>
      </c>
      <c r="AB307" s="99">
        <v>10</v>
      </c>
      <c r="AC307" s="92" t="s">
        <v>301</v>
      </c>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2"/>
      <c r="BL307" s="92"/>
      <c r="BM307" s="92"/>
      <c r="BN307" s="92"/>
      <c r="BO307" s="92"/>
      <c r="BP307" s="92"/>
      <c r="BQ307" s="92"/>
      <c r="BR307" s="92"/>
      <c r="BS307" s="92"/>
      <c r="BT307" s="92"/>
      <c r="BU307" s="92"/>
      <c r="BV307" s="92"/>
      <c r="BW307" s="92"/>
      <c r="BX307" s="92"/>
      <c r="BY307" s="92"/>
      <c r="BZ307" s="92"/>
      <c r="CA307" s="92"/>
      <c r="CB307" s="92"/>
    </row>
    <row r="308" spans="1:80" ht="12.75" customHeight="1">
      <c r="A308" s="92"/>
      <c r="B308" s="92"/>
      <c r="C308" s="92"/>
      <c r="D308" s="92"/>
      <c r="E308" s="92"/>
      <c r="F308" s="92">
        <v>2</v>
      </c>
      <c r="G308" s="93" t="s">
        <v>303</v>
      </c>
      <c r="H308" s="99">
        <v>1</v>
      </c>
      <c r="I308" s="99">
        <v>1</v>
      </c>
      <c r="J308" s="99">
        <v>1</v>
      </c>
      <c r="K308" s="99">
        <v>1</v>
      </c>
      <c r="L308" s="99">
        <v>2</v>
      </c>
      <c r="M308" s="99">
        <v>2</v>
      </c>
      <c r="N308" s="99">
        <v>3</v>
      </c>
      <c r="O308" s="99">
        <v>4</v>
      </c>
      <c r="P308" s="99">
        <v>4</v>
      </c>
      <c r="Q308" s="99">
        <v>5</v>
      </c>
      <c r="R308" s="99">
        <v>5</v>
      </c>
      <c r="S308" s="99">
        <v>6</v>
      </c>
      <c r="T308" s="99">
        <v>7</v>
      </c>
      <c r="U308" s="99">
        <v>7</v>
      </c>
      <c r="V308" s="99">
        <v>8</v>
      </c>
      <c r="W308" s="99">
        <v>9</v>
      </c>
      <c r="X308" s="99">
        <v>9</v>
      </c>
      <c r="Y308" s="99">
        <v>10</v>
      </c>
      <c r="Z308" s="99">
        <v>10</v>
      </c>
      <c r="AA308" s="99">
        <v>10</v>
      </c>
      <c r="AB308" s="99">
        <v>10</v>
      </c>
      <c r="AC308" s="92" t="s">
        <v>301</v>
      </c>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2"/>
      <c r="BL308" s="92"/>
      <c r="BM308" s="92"/>
      <c r="BN308" s="92"/>
      <c r="BO308" s="92"/>
      <c r="BP308" s="92"/>
      <c r="BQ308" s="92"/>
      <c r="BR308" s="92"/>
      <c r="BS308" s="92"/>
      <c r="BT308" s="92"/>
      <c r="BU308" s="92"/>
      <c r="BV308" s="92"/>
      <c r="BW308" s="92"/>
      <c r="BX308" s="92"/>
      <c r="BY308" s="92"/>
      <c r="BZ308" s="92"/>
      <c r="CA308" s="92"/>
      <c r="CB308" s="92"/>
    </row>
    <row r="309" spans="1:80" ht="12.75" customHeight="1">
      <c r="A309" s="92"/>
      <c r="B309" s="92"/>
      <c r="C309" s="92"/>
      <c r="D309" s="92"/>
      <c r="E309" s="92"/>
      <c r="F309" s="92">
        <v>3</v>
      </c>
      <c r="G309" s="93" t="s">
        <v>305</v>
      </c>
      <c r="H309" s="99">
        <v>1</v>
      </c>
      <c r="I309" s="99">
        <v>1</v>
      </c>
      <c r="J309" s="99">
        <v>1</v>
      </c>
      <c r="K309" s="99">
        <v>1</v>
      </c>
      <c r="L309" s="99">
        <v>2</v>
      </c>
      <c r="M309" s="99">
        <v>2</v>
      </c>
      <c r="N309" s="99">
        <v>3</v>
      </c>
      <c r="O309" s="99">
        <v>4</v>
      </c>
      <c r="P309" s="99">
        <v>4</v>
      </c>
      <c r="Q309" s="99">
        <v>5</v>
      </c>
      <c r="R309" s="99">
        <v>5</v>
      </c>
      <c r="S309" s="99">
        <v>6</v>
      </c>
      <c r="T309" s="99">
        <v>7</v>
      </c>
      <c r="U309" s="99">
        <v>7</v>
      </c>
      <c r="V309" s="99">
        <v>8</v>
      </c>
      <c r="W309" s="99">
        <v>9</v>
      </c>
      <c r="X309" s="99">
        <v>9</v>
      </c>
      <c r="Y309" s="99">
        <v>10</v>
      </c>
      <c r="Z309" s="99">
        <v>10</v>
      </c>
      <c r="AA309" s="99">
        <v>10</v>
      </c>
      <c r="AB309" s="99">
        <v>10</v>
      </c>
      <c r="AC309" s="92" t="s">
        <v>301</v>
      </c>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2"/>
      <c r="BL309" s="92"/>
      <c r="BM309" s="92"/>
      <c r="BN309" s="92"/>
      <c r="BO309" s="92"/>
      <c r="BP309" s="92"/>
      <c r="BQ309" s="92"/>
      <c r="BR309" s="92"/>
      <c r="BS309" s="92"/>
      <c r="BT309" s="92"/>
      <c r="BU309" s="92"/>
      <c r="BV309" s="92"/>
      <c r="BW309" s="92"/>
      <c r="BX309" s="92"/>
      <c r="BY309" s="92"/>
      <c r="BZ309" s="92"/>
      <c r="CA309" s="92"/>
      <c r="CB309" s="92"/>
    </row>
    <row r="310" spans="1:80" ht="12.75" customHeight="1">
      <c r="A310" s="92"/>
      <c r="B310" s="92"/>
      <c r="C310" s="92"/>
      <c r="D310" s="92"/>
      <c r="E310" s="92"/>
      <c r="F310" s="92">
        <v>4</v>
      </c>
      <c r="G310" s="93" t="s">
        <v>307</v>
      </c>
      <c r="H310" s="92">
        <v>1</v>
      </c>
      <c r="I310" s="92">
        <v>1</v>
      </c>
      <c r="J310" s="92">
        <v>1</v>
      </c>
      <c r="K310" s="92">
        <v>2</v>
      </c>
      <c r="L310" s="92">
        <v>2</v>
      </c>
      <c r="M310" s="92">
        <v>3</v>
      </c>
      <c r="N310" s="92">
        <v>3</v>
      </c>
      <c r="O310" s="92">
        <v>4</v>
      </c>
      <c r="P310" s="92">
        <v>5</v>
      </c>
      <c r="Q310" s="92">
        <v>5</v>
      </c>
      <c r="R310" s="92">
        <v>6</v>
      </c>
      <c r="S310" s="92">
        <v>6</v>
      </c>
      <c r="T310" s="92">
        <v>7</v>
      </c>
      <c r="U310" s="92">
        <v>7</v>
      </c>
      <c r="V310" s="92">
        <v>8</v>
      </c>
      <c r="W310" s="92">
        <v>9</v>
      </c>
      <c r="X310" s="92">
        <v>9</v>
      </c>
      <c r="Y310" s="92">
        <v>10</v>
      </c>
      <c r="Z310" s="92">
        <v>10</v>
      </c>
      <c r="AA310" s="92">
        <v>10</v>
      </c>
      <c r="AB310" s="92">
        <v>10</v>
      </c>
      <c r="AC310" s="92" t="s">
        <v>301</v>
      </c>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2"/>
      <c r="BL310" s="92"/>
      <c r="BM310" s="92"/>
      <c r="BN310" s="92"/>
      <c r="BO310" s="92"/>
      <c r="BP310" s="92"/>
      <c r="BQ310" s="92"/>
      <c r="BR310" s="92"/>
      <c r="BS310" s="92"/>
      <c r="BT310" s="92"/>
      <c r="BU310" s="92"/>
      <c r="BV310" s="92"/>
      <c r="BW310" s="92"/>
      <c r="BX310" s="92"/>
      <c r="BY310" s="92"/>
      <c r="BZ310" s="92"/>
      <c r="CA310" s="92"/>
      <c r="CB310" s="92"/>
    </row>
    <row r="311" spans="1:80" ht="12.75" customHeight="1">
      <c r="A311" s="92"/>
      <c r="B311" s="92"/>
      <c r="C311" s="92"/>
      <c r="D311" s="92"/>
      <c r="E311" s="92"/>
      <c r="F311" s="92">
        <v>5</v>
      </c>
      <c r="G311" s="93" t="s">
        <v>309</v>
      </c>
      <c r="H311" s="92">
        <v>1</v>
      </c>
      <c r="I311" s="92">
        <v>1</v>
      </c>
      <c r="J311" s="92">
        <v>1</v>
      </c>
      <c r="K311" s="92">
        <v>1</v>
      </c>
      <c r="L311" s="92">
        <v>1</v>
      </c>
      <c r="M311" s="92">
        <v>2</v>
      </c>
      <c r="N311" s="92">
        <v>3</v>
      </c>
      <c r="O311" s="92">
        <v>3</v>
      </c>
      <c r="P311" s="92">
        <v>4</v>
      </c>
      <c r="Q311" s="92">
        <v>4</v>
      </c>
      <c r="R311" s="92">
        <v>5</v>
      </c>
      <c r="S311" s="92">
        <v>6</v>
      </c>
      <c r="T311" s="92">
        <v>6</v>
      </c>
      <c r="U311" s="92">
        <v>7</v>
      </c>
      <c r="V311" s="92">
        <v>7</v>
      </c>
      <c r="W311" s="92">
        <v>8</v>
      </c>
      <c r="X311" s="92">
        <v>8</v>
      </c>
      <c r="Y311" s="92">
        <v>9</v>
      </c>
      <c r="Z311" s="92">
        <v>10</v>
      </c>
      <c r="AA311" s="92">
        <v>10</v>
      </c>
      <c r="AB311" s="92">
        <v>10</v>
      </c>
      <c r="AC311" s="92" t="s">
        <v>301</v>
      </c>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2"/>
      <c r="BL311" s="92"/>
      <c r="BM311" s="92"/>
      <c r="BN311" s="92"/>
      <c r="BO311" s="92"/>
      <c r="BP311" s="92"/>
      <c r="BQ311" s="92"/>
      <c r="BR311" s="92"/>
      <c r="BS311" s="92"/>
      <c r="BT311" s="92"/>
      <c r="BU311" s="92"/>
      <c r="BV311" s="92"/>
      <c r="BW311" s="92"/>
      <c r="BX311" s="92"/>
      <c r="BY311" s="92"/>
      <c r="BZ311" s="92"/>
      <c r="CA311" s="92"/>
      <c r="CB311" s="92"/>
    </row>
    <row r="312" spans="1:80" ht="12.75" customHeight="1">
      <c r="A312" s="92"/>
      <c r="B312" s="92"/>
      <c r="C312" s="92"/>
      <c r="D312" s="92"/>
      <c r="E312" s="92"/>
      <c r="F312" s="92">
        <v>6</v>
      </c>
      <c r="G312" s="93" t="s">
        <v>311</v>
      </c>
      <c r="H312" s="92">
        <v>1</v>
      </c>
      <c r="I312" s="92">
        <v>1</v>
      </c>
      <c r="J312" s="92">
        <v>1</v>
      </c>
      <c r="K312" s="92">
        <v>1</v>
      </c>
      <c r="L312" s="92">
        <v>2</v>
      </c>
      <c r="M312" s="92">
        <v>3</v>
      </c>
      <c r="N312" s="92">
        <v>3</v>
      </c>
      <c r="O312" s="92">
        <v>4</v>
      </c>
      <c r="P312" s="92">
        <v>5</v>
      </c>
      <c r="Q312" s="92">
        <v>5</v>
      </c>
      <c r="R312" s="92">
        <v>6</v>
      </c>
      <c r="S312" s="92">
        <v>6</v>
      </c>
      <c r="T312" s="92">
        <v>7</v>
      </c>
      <c r="U312" s="92">
        <v>8</v>
      </c>
      <c r="V312" s="92">
        <v>8</v>
      </c>
      <c r="W312" s="92">
        <v>9</v>
      </c>
      <c r="X312" s="92">
        <v>9</v>
      </c>
      <c r="Y312" s="92">
        <v>10</v>
      </c>
      <c r="Z312" s="92">
        <v>10</v>
      </c>
      <c r="AA312" s="92">
        <v>10</v>
      </c>
      <c r="AB312" s="92">
        <v>10</v>
      </c>
      <c r="AC312" s="92" t="s">
        <v>301</v>
      </c>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2"/>
      <c r="BL312" s="92"/>
      <c r="BM312" s="92"/>
      <c r="BN312" s="92"/>
      <c r="BO312" s="92"/>
      <c r="BP312" s="92"/>
      <c r="BQ312" s="92"/>
      <c r="BR312" s="92"/>
      <c r="BS312" s="92"/>
      <c r="BT312" s="92"/>
      <c r="BU312" s="92"/>
      <c r="BV312" s="92"/>
      <c r="BW312" s="92"/>
      <c r="BX312" s="92"/>
      <c r="BY312" s="92"/>
      <c r="BZ312" s="92"/>
      <c r="CA312" s="92"/>
      <c r="CB312" s="92"/>
    </row>
    <row r="313" spans="1:80" ht="12.75" customHeight="1">
      <c r="A313" s="92"/>
      <c r="B313" s="92"/>
      <c r="C313" s="92"/>
      <c r="D313" s="92"/>
      <c r="E313" s="92"/>
      <c r="F313" s="92">
        <v>7</v>
      </c>
      <c r="G313" s="93" t="s">
        <v>313</v>
      </c>
      <c r="H313" s="92">
        <v>1</v>
      </c>
      <c r="I313" s="92">
        <v>1</v>
      </c>
      <c r="J313" s="92">
        <v>1</v>
      </c>
      <c r="K313" s="92">
        <v>1</v>
      </c>
      <c r="L313" s="92">
        <v>2</v>
      </c>
      <c r="M313" s="92">
        <v>2</v>
      </c>
      <c r="N313" s="92">
        <v>3</v>
      </c>
      <c r="O313" s="92">
        <v>3</v>
      </c>
      <c r="P313" s="92">
        <v>4</v>
      </c>
      <c r="Q313" s="92">
        <v>5</v>
      </c>
      <c r="R313" s="92">
        <v>5</v>
      </c>
      <c r="S313" s="92">
        <v>6</v>
      </c>
      <c r="T313" s="92">
        <v>7</v>
      </c>
      <c r="U313" s="92">
        <v>7</v>
      </c>
      <c r="V313" s="92">
        <v>8</v>
      </c>
      <c r="W313" s="92">
        <v>8</v>
      </c>
      <c r="X313" s="92">
        <v>9</v>
      </c>
      <c r="Y313" s="92">
        <v>9</v>
      </c>
      <c r="Z313" s="92">
        <v>10</v>
      </c>
      <c r="AA313" s="92">
        <v>10</v>
      </c>
      <c r="AB313" s="92">
        <v>10</v>
      </c>
      <c r="AC313" s="92" t="s">
        <v>301</v>
      </c>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2"/>
      <c r="BL313" s="92"/>
      <c r="BM313" s="92"/>
      <c r="BN313" s="92"/>
      <c r="BO313" s="92"/>
      <c r="BP313" s="92"/>
      <c r="BQ313" s="92"/>
      <c r="BR313" s="92"/>
      <c r="BS313" s="92"/>
      <c r="BT313" s="92"/>
      <c r="BU313" s="92"/>
      <c r="BV313" s="92"/>
      <c r="BW313" s="92"/>
      <c r="BX313" s="92"/>
      <c r="BY313" s="92"/>
      <c r="BZ313" s="92"/>
      <c r="CA313" s="92"/>
      <c r="CB313" s="92"/>
    </row>
    <row r="314" spans="1:80" ht="12.75" customHeight="1">
      <c r="A314" s="92"/>
      <c r="B314" s="92"/>
      <c r="C314" s="92"/>
      <c r="D314" s="92"/>
      <c r="E314" s="92"/>
      <c r="F314" s="92">
        <v>8</v>
      </c>
      <c r="G314" s="93" t="s">
        <v>315</v>
      </c>
      <c r="H314" s="92">
        <v>1</v>
      </c>
      <c r="I314" s="92">
        <v>1</v>
      </c>
      <c r="J314" s="92">
        <v>1</v>
      </c>
      <c r="K314" s="92">
        <v>2</v>
      </c>
      <c r="L314" s="92">
        <v>2</v>
      </c>
      <c r="M314" s="92">
        <v>3</v>
      </c>
      <c r="N314" s="92">
        <v>3</v>
      </c>
      <c r="O314" s="92">
        <v>4</v>
      </c>
      <c r="P314" s="92">
        <v>5</v>
      </c>
      <c r="Q314" s="92">
        <v>5</v>
      </c>
      <c r="R314" s="92">
        <v>6</v>
      </c>
      <c r="S314" s="92">
        <v>6</v>
      </c>
      <c r="T314" s="92">
        <v>7</v>
      </c>
      <c r="U314" s="92">
        <v>7</v>
      </c>
      <c r="V314" s="92">
        <v>8</v>
      </c>
      <c r="W314" s="92">
        <v>9</v>
      </c>
      <c r="X314" s="92">
        <v>9</v>
      </c>
      <c r="Y314" s="92">
        <v>10</v>
      </c>
      <c r="Z314" s="92">
        <v>10</v>
      </c>
      <c r="AA314" s="92">
        <v>10</v>
      </c>
      <c r="AB314" s="92">
        <v>10</v>
      </c>
      <c r="AC314" s="92" t="s">
        <v>301</v>
      </c>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2"/>
      <c r="BL314" s="92"/>
      <c r="BM314" s="92"/>
      <c r="BN314" s="92"/>
      <c r="BO314" s="92"/>
      <c r="BP314" s="92"/>
      <c r="BQ314" s="92"/>
      <c r="BR314" s="92"/>
      <c r="BS314" s="92"/>
      <c r="BT314" s="92"/>
      <c r="BU314" s="92"/>
      <c r="BV314" s="92"/>
      <c r="BW314" s="92"/>
      <c r="BX314" s="92"/>
      <c r="BY314" s="92"/>
      <c r="BZ314" s="92"/>
      <c r="CA314" s="92"/>
      <c r="CB314" s="92"/>
    </row>
    <row r="315" spans="1:80" ht="12.75" customHeight="1">
      <c r="A315" s="92"/>
      <c r="B315" s="92"/>
      <c r="C315" s="92"/>
      <c r="D315" s="92"/>
      <c r="E315" s="92"/>
      <c r="F315" s="92">
        <v>9</v>
      </c>
      <c r="G315" s="93" t="s">
        <v>318</v>
      </c>
      <c r="H315" s="92">
        <v>1</v>
      </c>
      <c r="I315" s="92">
        <v>1</v>
      </c>
      <c r="J315" s="92">
        <v>1</v>
      </c>
      <c r="K315" s="92">
        <v>2</v>
      </c>
      <c r="L315" s="92">
        <v>2</v>
      </c>
      <c r="M315" s="92">
        <v>3</v>
      </c>
      <c r="N315" s="92">
        <v>4</v>
      </c>
      <c r="O315" s="92">
        <v>4</v>
      </c>
      <c r="P315" s="92">
        <v>5</v>
      </c>
      <c r="Q315" s="92">
        <v>6</v>
      </c>
      <c r="R315" s="92">
        <v>6</v>
      </c>
      <c r="S315" s="92">
        <v>7</v>
      </c>
      <c r="T315" s="92">
        <v>8</v>
      </c>
      <c r="U315" s="92">
        <v>8</v>
      </c>
      <c r="V315" s="92">
        <v>9</v>
      </c>
      <c r="W315" s="92">
        <v>10</v>
      </c>
      <c r="X315" s="92">
        <v>10</v>
      </c>
      <c r="Y315" s="92">
        <v>10</v>
      </c>
      <c r="Z315" s="92">
        <v>10</v>
      </c>
      <c r="AA315" s="92">
        <v>10</v>
      </c>
      <c r="AB315" s="92">
        <v>10</v>
      </c>
      <c r="AC315" s="92" t="s">
        <v>301</v>
      </c>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2"/>
      <c r="BL315" s="92"/>
      <c r="BM315" s="92"/>
      <c r="BN315" s="92"/>
      <c r="BO315" s="92"/>
      <c r="BP315" s="92"/>
      <c r="BQ315" s="92"/>
      <c r="BR315" s="92"/>
      <c r="BS315" s="92"/>
      <c r="BT315" s="92"/>
      <c r="BU315" s="92"/>
      <c r="BV315" s="92"/>
      <c r="BW315" s="92"/>
      <c r="BX315" s="92"/>
      <c r="BY315" s="92"/>
      <c r="BZ315" s="92"/>
      <c r="CA315" s="92"/>
      <c r="CB315" s="92"/>
    </row>
    <row r="316" spans="1:80" ht="12.75" customHeight="1">
      <c r="A316" s="92"/>
      <c r="B316" s="92"/>
      <c r="C316" s="92"/>
      <c r="D316" s="92"/>
      <c r="E316" s="92"/>
      <c r="F316" s="92">
        <v>10</v>
      </c>
      <c r="G316" s="93" t="s">
        <v>320</v>
      </c>
      <c r="H316" s="92">
        <v>1</v>
      </c>
      <c r="I316" s="92">
        <v>1</v>
      </c>
      <c r="J316" s="92">
        <v>1</v>
      </c>
      <c r="K316" s="92">
        <v>2</v>
      </c>
      <c r="L316" s="92">
        <v>2</v>
      </c>
      <c r="M316" s="92">
        <v>3</v>
      </c>
      <c r="N316" s="92">
        <v>4</v>
      </c>
      <c r="O316" s="92">
        <v>5</v>
      </c>
      <c r="P316" s="92">
        <v>5</v>
      </c>
      <c r="Q316" s="92">
        <v>6</v>
      </c>
      <c r="R316" s="92">
        <v>7</v>
      </c>
      <c r="S316" s="92">
        <v>8</v>
      </c>
      <c r="T316" s="92">
        <v>8</v>
      </c>
      <c r="U316" s="92">
        <v>9</v>
      </c>
      <c r="V316" s="92">
        <v>10</v>
      </c>
      <c r="W316" s="92">
        <v>10</v>
      </c>
      <c r="X316" s="92">
        <v>10</v>
      </c>
      <c r="Y316" s="92">
        <v>10</v>
      </c>
      <c r="Z316" s="92">
        <v>10</v>
      </c>
      <c r="AA316" s="92">
        <v>10</v>
      </c>
      <c r="AB316" s="92">
        <v>10</v>
      </c>
      <c r="AC316" s="92" t="s">
        <v>301</v>
      </c>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2"/>
      <c r="BL316" s="92"/>
      <c r="BM316" s="92"/>
      <c r="BN316" s="92"/>
      <c r="BO316" s="92"/>
      <c r="BP316" s="92"/>
      <c r="BQ316" s="92"/>
      <c r="BR316" s="92"/>
      <c r="BS316" s="92"/>
      <c r="BT316" s="92"/>
      <c r="BU316" s="92"/>
      <c r="BV316" s="92"/>
      <c r="BW316" s="92"/>
      <c r="BX316" s="92"/>
      <c r="BY316" s="92"/>
      <c r="BZ316" s="92"/>
      <c r="CA316" s="92"/>
      <c r="CB316" s="92"/>
    </row>
    <row r="317" spans="1:80" ht="12.75" customHeight="1">
      <c r="A317" s="92"/>
      <c r="B317" s="92"/>
      <c r="C317" s="92"/>
      <c r="D317" s="92"/>
      <c r="E317" s="92"/>
      <c r="F317" s="92">
        <v>11</v>
      </c>
      <c r="G317" s="93" t="s">
        <v>322</v>
      </c>
      <c r="H317" s="92">
        <v>1</v>
      </c>
      <c r="I317" s="92">
        <v>1</v>
      </c>
      <c r="J317" s="92">
        <v>1</v>
      </c>
      <c r="K317" s="92">
        <v>2</v>
      </c>
      <c r="L317" s="92">
        <v>2</v>
      </c>
      <c r="M317" s="92">
        <v>3</v>
      </c>
      <c r="N317" s="92">
        <v>4</v>
      </c>
      <c r="O317" s="92">
        <v>4</v>
      </c>
      <c r="P317" s="92">
        <v>5</v>
      </c>
      <c r="Q317" s="92">
        <v>6</v>
      </c>
      <c r="R317" s="92">
        <v>6</v>
      </c>
      <c r="S317" s="92">
        <v>7</v>
      </c>
      <c r="T317" s="92">
        <v>8</v>
      </c>
      <c r="U317" s="92">
        <v>8</v>
      </c>
      <c r="V317" s="92">
        <v>9</v>
      </c>
      <c r="W317" s="92">
        <v>10</v>
      </c>
      <c r="X317" s="92">
        <v>10</v>
      </c>
      <c r="Y317" s="92">
        <v>10</v>
      </c>
      <c r="Z317" s="92">
        <v>10</v>
      </c>
      <c r="AA317" s="92">
        <v>10</v>
      </c>
      <c r="AB317" s="92">
        <v>10</v>
      </c>
      <c r="AC317" s="92" t="s">
        <v>301</v>
      </c>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2"/>
      <c r="BL317" s="92"/>
      <c r="BM317" s="92"/>
      <c r="BN317" s="92"/>
      <c r="BO317" s="92"/>
      <c r="BP317" s="92"/>
      <c r="BQ317" s="92"/>
      <c r="BR317" s="92"/>
      <c r="BS317" s="92"/>
      <c r="BT317" s="92"/>
      <c r="BU317" s="92"/>
      <c r="BV317" s="92"/>
      <c r="BW317" s="92"/>
      <c r="BX317" s="92"/>
      <c r="BY317" s="92"/>
      <c r="BZ317" s="92"/>
      <c r="CA317" s="92"/>
      <c r="CB317" s="92"/>
    </row>
    <row r="318" spans="1:80" ht="12.75" customHeight="1">
      <c r="A318" s="92"/>
      <c r="B318" s="92"/>
      <c r="C318" s="92"/>
      <c r="D318" s="92"/>
      <c r="E318" s="92"/>
      <c r="F318" s="92">
        <v>12</v>
      </c>
      <c r="G318" s="93" t="s">
        <v>324</v>
      </c>
      <c r="H318" s="92">
        <v>1</v>
      </c>
      <c r="I318" s="92">
        <v>1</v>
      </c>
      <c r="J318" s="92">
        <v>1</v>
      </c>
      <c r="K318" s="92">
        <v>2</v>
      </c>
      <c r="L318" s="92">
        <v>3</v>
      </c>
      <c r="M318" s="92">
        <v>4</v>
      </c>
      <c r="N318" s="92">
        <v>4</v>
      </c>
      <c r="O318" s="92">
        <v>5</v>
      </c>
      <c r="P318" s="92">
        <v>6</v>
      </c>
      <c r="Q318" s="92">
        <v>6</v>
      </c>
      <c r="R318" s="92">
        <v>7</v>
      </c>
      <c r="S318" s="92">
        <v>8</v>
      </c>
      <c r="T318" s="92">
        <v>8</v>
      </c>
      <c r="U318" s="92">
        <v>9</v>
      </c>
      <c r="V318" s="92">
        <v>10</v>
      </c>
      <c r="W318" s="92">
        <v>10</v>
      </c>
      <c r="X318" s="92">
        <v>10</v>
      </c>
      <c r="Y318" s="92">
        <v>10</v>
      </c>
      <c r="Z318" s="92">
        <v>10</v>
      </c>
      <c r="AA318" s="92">
        <v>10</v>
      </c>
      <c r="AB318" s="92">
        <v>10</v>
      </c>
      <c r="AC318" s="92" t="s">
        <v>301</v>
      </c>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2"/>
      <c r="BL318" s="92"/>
      <c r="BM318" s="92"/>
      <c r="BN318" s="92"/>
      <c r="BO318" s="92"/>
      <c r="BP318" s="92"/>
      <c r="BQ318" s="92"/>
      <c r="BR318" s="92"/>
      <c r="BS318" s="92"/>
      <c r="BT318" s="92"/>
      <c r="BU318" s="92"/>
      <c r="BV318" s="92"/>
      <c r="BW318" s="92"/>
      <c r="BX318" s="92"/>
      <c r="BY318" s="92"/>
      <c r="BZ318" s="92"/>
      <c r="CA318" s="92"/>
      <c r="CB318" s="92"/>
    </row>
    <row r="319" spans="1:80" ht="12.75" customHeight="1">
      <c r="A319" s="92"/>
      <c r="B319" s="92"/>
      <c r="C319" s="92"/>
      <c r="D319" s="92"/>
      <c r="E319" s="92"/>
      <c r="F319" s="92">
        <v>13</v>
      </c>
      <c r="G319" s="93" t="s">
        <v>326</v>
      </c>
      <c r="H319" s="92">
        <v>1</v>
      </c>
      <c r="I319" s="92">
        <v>1</v>
      </c>
      <c r="J319" s="92">
        <v>1</v>
      </c>
      <c r="K319" s="92">
        <v>2</v>
      </c>
      <c r="L319" s="92">
        <v>2</v>
      </c>
      <c r="M319" s="92">
        <v>3</v>
      </c>
      <c r="N319" s="92">
        <v>3</v>
      </c>
      <c r="O319" s="92">
        <v>4</v>
      </c>
      <c r="P319" s="92">
        <v>5</v>
      </c>
      <c r="Q319" s="92">
        <v>6</v>
      </c>
      <c r="R319" s="92">
        <v>7</v>
      </c>
      <c r="S319" s="92">
        <v>7</v>
      </c>
      <c r="T319" s="92">
        <v>8</v>
      </c>
      <c r="U319" s="92">
        <v>9</v>
      </c>
      <c r="V319" s="92">
        <v>9</v>
      </c>
      <c r="W319" s="92">
        <v>10</v>
      </c>
      <c r="X319" s="92">
        <v>10</v>
      </c>
      <c r="Y319" s="92">
        <v>10</v>
      </c>
      <c r="Z319" s="92">
        <v>10</v>
      </c>
      <c r="AA319" s="92">
        <v>10</v>
      </c>
      <c r="AB319" s="92">
        <v>10</v>
      </c>
      <c r="AC319" s="92" t="s">
        <v>301</v>
      </c>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2"/>
      <c r="BL319" s="92"/>
      <c r="BM319" s="92"/>
      <c r="BN319" s="92"/>
      <c r="BO319" s="92"/>
      <c r="BP319" s="92"/>
      <c r="BQ319" s="92"/>
      <c r="BR319" s="92"/>
      <c r="BS319" s="92"/>
      <c r="BT319" s="92"/>
      <c r="BU319" s="92"/>
      <c r="BV319" s="92"/>
      <c r="BW319" s="92"/>
      <c r="BX319" s="92"/>
      <c r="BY319" s="92"/>
      <c r="BZ319" s="92"/>
      <c r="CA319" s="92"/>
      <c r="CB319" s="92"/>
    </row>
    <row r="320" spans="1:80" ht="12.75" customHeight="1">
      <c r="A320" s="92"/>
      <c r="B320" s="92"/>
      <c r="C320" s="92"/>
      <c r="D320" s="92"/>
      <c r="E320" s="92"/>
      <c r="F320" s="92">
        <v>14</v>
      </c>
      <c r="G320" s="93" t="s">
        <v>328</v>
      </c>
      <c r="H320" s="92">
        <v>1</v>
      </c>
      <c r="I320" s="92">
        <v>1</v>
      </c>
      <c r="J320" s="92">
        <v>1</v>
      </c>
      <c r="K320" s="92">
        <v>2</v>
      </c>
      <c r="L320" s="92">
        <v>2</v>
      </c>
      <c r="M320" s="92">
        <v>3</v>
      </c>
      <c r="N320" s="92">
        <v>3</v>
      </c>
      <c r="O320" s="92">
        <v>4</v>
      </c>
      <c r="P320" s="92">
        <v>5</v>
      </c>
      <c r="Q320" s="92">
        <v>6</v>
      </c>
      <c r="R320" s="92">
        <v>6</v>
      </c>
      <c r="S320" s="92">
        <v>7</v>
      </c>
      <c r="T320" s="92">
        <v>8</v>
      </c>
      <c r="U320" s="92">
        <v>9</v>
      </c>
      <c r="V320" s="92">
        <v>9</v>
      </c>
      <c r="W320" s="92">
        <v>10</v>
      </c>
      <c r="X320" s="92">
        <v>10</v>
      </c>
      <c r="Y320" s="92">
        <v>10</v>
      </c>
      <c r="Z320" s="92">
        <v>10</v>
      </c>
      <c r="AA320" s="92">
        <v>10</v>
      </c>
      <c r="AB320" s="92">
        <v>10</v>
      </c>
      <c r="AC320" s="92" t="s">
        <v>301</v>
      </c>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2"/>
      <c r="BL320" s="92"/>
      <c r="BM320" s="92"/>
      <c r="BN320" s="92"/>
      <c r="BO320" s="92"/>
      <c r="BP320" s="92"/>
      <c r="BQ320" s="92"/>
      <c r="BR320" s="92"/>
      <c r="BS320" s="92"/>
      <c r="BT320" s="92"/>
      <c r="BU320" s="92"/>
      <c r="BV320" s="92"/>
      <c r="BW320" s="92"/>
      <c r="BX320" s="92"/>
      <c r="BY320" s="92"/>
      <c r="BZ320" s="92"/>
      <c r="CA320" s="92"/>
      <c r="CB320" s="92"/>
    </row>
    <row r="321" spans="1:80" ht="12.75" customHeight="1">
      <c r="A321" s="92"/>
      <c r="B321" s="92"/>
      <c r="C321" s="92"/>
      <c r="D321" s="92"/>
      <c r="E321" s="92"/>
      <c r="F321" s="92">
        <v>15</v>
      </c>
      <c r="G321" s="93" t="s">
        <v>330</v>
      </c>
      <c r="H321" s="92">
        <v>1</v>
      </c>
      <c r="I321" s="92">
        <v>1</v>
      </c>
      <c r="J321" s="92">
        <v>1</v>
      </c>
      <c r="K321" s="92">
        <v>1</v>
      </c>
      <c r="L321" s="92">
        <v>2</v>
      </c>
      <c r="M321" s="92">
        <v>3</v>
      </c>
      <c r="N321" s="92">
        <v>4</v>
      </c>
      <c r="O321" s="92">
        <v>5</v>
      </c>
      <c r="P321" s="92">
        <v>5</v>
      </c>
      <c r="Q321" s="92">
        <v>6</v>
      </c>
      <c r="R321" s="92">
        <v>7</v>
      </c>
      <c r="S321" s="92">
        <v>7</v>
      </c>
      <c r="T321" s="92">
        <v>8</v>
      </c>
      <c r="U321" s="92">
        <v>9</v>
      </c>
      <c r="V321" s="92">
        <v>9</v>
      </c>
      <c r="W321" s="92">
        <v>10</v>
      </c>
      <c r="X321" s="92">
        <v>10</v>
      </c>
      <c r="Y321" s="92">
        <v>10</v>
      </c>
      <c r="Z321" s="92">
        <v>10</v>
      </c>
      <c r="AA321" s="92">
        <v>10</v>
      </c>
      <c r="AB321" s="92">
        <v>10</v>
      </c>
      <c r="AC321" s="92" t="s">
        <v>301</v>
      </c>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2"/>
      <c r="BL321" s="92"/>
      <c r="BM321" s="92"/>
      <c r="BN321" s="92"/>
      <c r="BO321" s="92"/>
      <c r="BP321" s="92"/>
      <c r="BQ321" s="92"/>
      <c r="BR321" s="92"/>
      <c r="BS321" s="92"/>
      <c r="BT321" s="92"/>
      <c r="BU321" s="92"/>
      <c r="BV321" s="92"/>
      <c r="BW321" s="92"/>
      <c r="BX321" s="92"/>
      <c r="BY321" s="92"/>
      <c r="BZ321" s="92"/>
      <c r="CA321" s="92"/>
      <c r="CB321" s="92"/>
    </row>
    <row r="322" spans="1:80" ht="12.75" customHeight="1">
      <c r="A322" s="92"/>
      <c r="B322" s="92"/>
      <c r="C322" s="92"/>
      <c r="D322" s="92"/>
      <c r="E322" s="92"/>
      <c r="F322" s="92">
        <v>16</v>
      </c>
      <c r="G322" s="93" t="s">
        <v>341</v>
      </c>
      <c r="H322" s="92">
        <v>3</v>
      </c>
      <c r="I322" s="92">
        <v>4</v>
      </c>
      <c r="J322" s="92">
        <v>5</v>
      </c>
      <c r="K322" s="92">
        <v>6</v>
      </c>
      <c r="L322" s="92">
        <v>6</v>
      </c>
      <c r="M322" s="92">
        <v>7</v>
      </c>
      <c r="N322" s="92">
        <v>7</v>
      </c>
      <c r="O322" s="92">
        <v>7</v>
      </c>
      <c r="P322" s="92">
        <v>8</v>
      </c>
      <c r="Q322" s="92">
        <v>8</v>
      </c>
      <c r="R322" s="92">
        <v>8</v>
      </c>
      <c r="S322" s="92">
        <v>8</v>
      </c>
      <c r="T322" s="92">
        <v>9</v>
      </c>
      <c r="U322" s="92">
        <v>9</v>
      </c>
      <c r="V322" s="92">
        <v>9</v>
      </c>
      <c r="W322" s="92">
        <v>10</v>
      </c>
      <c r="X322" s="92">
        <v>10</v>
      </c>
      <c r="Y322" s="92">
        <v>10</v>
      </c>
      <c r="Z322" s="92">
        <v>10</v>
      </c>
      <c r="AA322" s="92">
        <v>10</v>
      </c>
      <c r="AB322" s="92">
        <v>10</v>
      </c>
      <c r="AC322" s="92" t="s">
        <v>301</v>
      </c>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2"/>
      <c r="BL322" s="92"/>
      <c r="BM322" s="92"/>
      <c r="BN322" s="92"/>
      <c r="BO322" s="92"/>
      <c r="BP322" s="92"/>
      <c r="BQ322" s="92"/>
      <c r="BR322" s="92"/>
      <c r="BS322" s="92"/>
      <c r="BT322" s="92"/>
      <c r="BU322" s="92"/>
      <c r="BV322" s="92"/>
      <c r="BW322" s="92"/>
      <c r="BX322" s="92"/>
      <c r="BY322" s="92"/>
      <c r="BZ322" s="92"/>
      <c r="CA322" s="92"/>
      <c r="CB322" s="92"/>
    </row>
    <row r="323" spans="1:80" ht="12.75" customHeight="1">
      <c r="A323" s="92"/>
      <c r="B323" s="92"/>
      <c r="C323" s="92"/>
      <c r="D323" s="92"/>
      <c r="E323" s="92"/>
      <c r="F323" s="92">
        <v>17</v>
      </c>
      <c r="G323" s="93" t="s">
        <v>343</v>
      </c>
      <c r="H323" s="92">
        <v>3</v>
      </c>
      <c r="I323" s="92">
        <v>4</v>
      </c>
      <c r="J323" s="92">
        <v>4</v>
      </c>
      <c r="K323" s="92">
        <v>6</v>
      </c>
      <c r="L323" s="92">
        <v>6</v>
      </c>
      <c r="M323" s="92">
        <v>7</v>
      </c>
      <c r="N323" s="92">
        <v>7</v>
      </c>
      <c r="O323" s="92">
        <v>7</v>
      </c>
      <c r="P323" s="92">
        <v>7</v>
      </c>
      <c r="Q323" s="92">
        <v>8</v>
      </c>
      <c r="R323" s="92">
        <v>8</v>
      </c>
      <c r="S323" s="92">
        <v>8</v>
      </c>
      <c r="T323" s="92">
        <v>8</v>
      </c>
      <c r="U323" s="92">
        <v>9</v>
      </c>
      <c r="V323" s="92">
        <v>9</v>
      </c>
      <c r="W323" s="92">
        <v>9</v>
      </c>
      <c r="X323" s="92">
        <v>10</v>
      </c>
      <c r="Y323" s="92">
        <v>10</v>
      </c>
      <c r="Z323" s="92">
        <v>10</v>
      </c>
      <c r="AA323" s="92">
        <v>10</v>
      </c>
      <c r="AB323" s="92">
        <v>10</v>
      </c>
      <c r="AC323" s="92" t="s">
        <v>301</v>
      </c>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2"/>
      <c r="BL323" s="92"/>
      <c r="BM323" s="92"/>
      <c r="BN323" s="92"/>
      <c r="BO323" s="92"/>
      <c r="BP323" s="92"/>
      <c r="BQ323" s="92"/>
      <c r="BR323" s="92"/>
      <c r="BS323" s="92"/>
      <c r="BT323" s="92"/>
      <c r="BU323" s="92"/>
      <c r="BV323" s="92"/>
      <c r="BW323" s="92"/>
      <c r="BX323" s="92"/>
      <c r="BY323" s="92"/>
      <c r="BZ323" s="92"/>
      <c r="CA323" s="92"/>
      <c r="CB323" s="92"/>
    </row>
    <row r="324" spans="1:80" ht="12.75" customHeight="1">
      <c r="A324" s="92"/>
      <c r="B324" s="92"/>
      <c r="C324" s="92"/>
      <c r="D324" s="92"/>
      <c r="E324" s="92"/>
      <c r="F324" s="92">
        <v>18</v>
      </c>
      <c r="G324" s="93" t="s">
        <v>348</v>
      </c>
      <c r="H324" s="92">
        <v>3</v>
      </c>
      <c r="I324" s="92">
        <v>4</v>
      </c>
      <c r="J324" s="92">
        <v>5</v>
      </c>
      <c r="K324" s="92">
        <v>6</v>
      </c>
      <c r="L324" s="92">
        <v>6</v>
      </c>
      <c r="M324" s="92">
        <v>7</v>
      </c>
      <c r="N324" s="92">
        <v>7</v>
      </c>
      <c r="O324" s="92">
        <v>7</v>
      </c>
      <c r="P324" s="92">
        <v>8</v>
      </c>
      <c r="Q324" s="92">
        <v>8</v>
      </c>
      <c r="R324" s="92">
        <v>8</v>
      </c>
      <c r="S324" s="92">
        <v>8</v>
      </c>
      <c r="T324" s="92">
        <v>9</v>
      </c>
      <c r="U324" s="92">
        <v>9</v>
      </c>
      <c r="V324" s="92">
        <v>9</v>
      </c>
      <c r="W324" s="92">
        <v>10</v>
      </c>
      <c r="X324" s="92">
        <v>10</v>
      </c>
      <c r="Y324" s="92">
        <v>10</v>
      </c>
      <c r="Z324" s="92">
        <v>10</v>
      </c>
      <c r="AA324" s="92">
        <v>10</v>
      </c>
      <c r="AB324" s="92">
        <v>10</v>
      </c>
      <c r="AC324" s="92" t="s">
        <v>301</v>
      </c>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2"/>
      <c r="BL324" s="92"/>
      <c r="BM324" s="92"/>
      <c r="BN324" s="92"/>
      <c r="BO324" s="92"/>
      <c r="BP324" s="92"/>
      <c r="BQ324" s="92"/>
      <c r="BR324" s="92"/>
      <c r="BS324" s="92"/>
      <c r="BT324" s="92"/>
      <c r="BU324" s="92"/>
      <c r="BV324" s="92"/>
      <c r="BW324" s="92"/>
      <c r="BX324" s="92"/>
      <c r="BY324" s="92"/>
      <c r="BZ324" s="92"/>
      <c r="CA324" s="92"/>
      <c r="CB324" s="92"/>
    </row>
    <row r="325" spans="1:80" ht="12.75" customHeight="1">
      <c r="A325" s="92"/>
      <c r="B325" s="92"/>
      <c r="C325" s="92"/>
      <c r="D325" s="92"/>
      <c r="E325" s="92"/>
      <c r="F325" s="92"/>
      <c r="G325" s="93"/>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2"/>
      <c r="BL325" s="92"/>
      <c r="BM325" s="92"/>
      <c r="BN325" s="92"/>
      <c r="BO325" s="92"/>
      <c r="BP325" s="92"/>
      <c r="BQ325" s="92"/>
      <c r="BR325" s="92"/>
      <c r="BS325" s="92"/>
      <c r="BT325" s="92"/>
      <c r="BU325" s="92"/>
      <c r="BV325" s="92"/>
      <c r="BW325" s="92"/>
      <c r="BX325" s="92"/>
      <c r="BY325" s="92"/>
      <c r="BZ325" s="92"/>
      <c r="CA325" s="92"/>
      <c r="CB325" s="92"/>
    </row>
    <row r="326" spans="1:80" ht="12.75" customHeight="1">
      <c r="A326" s="92"/>
      <c r="B326" s="92"/>
      <c r="C326" s="92"/>
      <c r="D326" s="92"/>
      <c r="E326" s="92"/>
      <c r="F326" s="92"/>
      <c r="G326" s="93"/>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2"/>
      <c r="BL326" s="92"/>
      <c r="BM326" s="92"/>
      <c r="BN326" s="92"/>
      <c r="BO326" s="92"/>
      <c r="BP326" s="92"/>
      <c r="BQ326" s="92"/>
      <c r="BR326" s="92"/>
      <c r="BS326" s="92"/>
      <c r="BT326" s="92"/>
      <c r="BU326" s="92"/>
      <c r="BV326" s="92"/>
      <c r="BW326" s="92"/>
      <c r="BX326" s="92"/>
      <c r="BY326" s="92"/>
      <c r="BZ326" s="92"/>
      <c r="CA326" s="92"/>
      <c r="CB326" s="92"/>
    </row>
    <row r="327" spans="1:80" ht="12.75" customHeight="1">
      <c r="A327" s="92"/>
      <c r="B327" s="92"/>
      <c r="C327" s="92"/>
      <c r="D327" s="92"/>
      <c r="E327" s="92"/>
      <c r="F327" s="92"/>
      <c r="G327" s="93"/>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2"/>
      <c r="BL327" s="92"/>
      <c r="BM327" s="92"/>
      <c r="BN327" s="92"/>
      <c r="BO327" s="92"/>
      <c r="BP327" s="92"/>
      <c r="BQ327" s="92"/>
      <c r="BR327" s="92"/>
      <c r="BS327" s="92"/>
      <c r="BT327" s="92"/>
      <c r="BU327" s="92"/>
      <c r="BV327" s="92"/>
      <c r="BW327" s="92"/>
      <c r="BX327" s="92"/>
      <c r="BY327" s="92"/>
      <c r="BZ327" s="92"/>
      <c r="CA327" s="92"/>
      <c r="CB327" s="92"/>
    </row>
    <row r="328" spans="1:80" ht="12.75" customHeight="1">
      <c r="A328" s="92"/>
      <c r="B328" s="92"/>
      <c r="C328" s="92"/>
      <c r="D328" s="92"/>
      <c r="E328" s="92"/>
      <c r="F328" s="92"/>
      <c r="G328" s="93"/>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2"/>
      <c r="BL328" s="92"/>
      <c r="BM328" s="92"/>
      <c r="BN328" s="92"/>
      <c r="BO328" s="92"/>
      <c r="BP328" s="92"/>
      <c r="BQ328" s="92"/>
      <c r="BR328" s="92"/>
      <c r="BS328" s="92"/>
      <c r="BT328" s="92"/>
      <c r="BU328" s="92"/>
      <c r="BV328" s="92"/>
      <c r="BW328" s="92"/>
      <c r="BX328" s="92"/>
      <c r="BY328" s="92"/>
      <c r="BZ328" s="92"/>
      <c r="CA328" s="92"/>
      <c r="CB328" s="92"/>
    </row>
    <row r="329" spans="1:80" ht="12.75" customHeight="1">
      <c r="A329" s="92"/>
      <c r="B329" s="92"/>
      <c r="C329" s="92"/>
      <c r="D329" s="92"/>
      <c r="E329" s="92"/>
      <c r="F329" s="92"/>
      <c r="G329" s="93" t="s">
        <v>416</v>
      </c>
      <c r="H329" s="92">
        <v>0</v>
      </c>
      <c r="I329" s="92">
        <v>1</v>
      </c>
      <c r="J329" s="92">
        <v>2</v>
      </c>
      <c r="K329" s="92">
        <v>3</v>
      </c>
      <c r="L329" s="92">
        <v>4</v>
      </c>
      <c r="M329" s="92">
        <v>5</v>
      </c>
      <c r="N329" s="92">
        <v>6</v>
      </c>
      <c r="O329" s="92">
        <v>7</v>
      </c>
      <c r="P329" s="92">
        <v>8</v>
      </c>
      <c r="Q329" s="92">
        <v>9</v>
      </c>
      <c r="R329" s="92">
        <v>10</v>
      </c>
      <c r="S329" s="92">
        <v>11</v>
      </c>
      <c r="T329" s="92">
        <v>12</v>
      </c>
      <c r="U329" s="92">
        <v>13</v>
      </c>
      <c r="V329" s="92">
        <v>14</v>
      </c>
      <c r="W329" s="92">
        <v>15</v>
      </c>
      <c r="X329" s="92">
        <v>16</v>
      </c>
      <c r="Y329" s="92">
        <v>17</v>
      </c>
      <c r="Z329" s="92">
        <v>18</v>
      </c>
      <c r="AA329" s="92">
        <v>19</v>
      </c>
      <c r="AB329" s="92">
        <v>20</v>
      </c>
      <c r="AC329" s="92">
        <v>99</v>
      </c>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2"/>
      <c r="BL329" s="92"/>
      <c r="BM329" s="92"/>
      <c r="BN329" s="92"/>
      <c r="BO329" s="92"/>
      <c r="BP329" s="92"/>
      <c r="BQ329" s="92"/>
      <c r="BR329" s="92"/>
      <c r="BS329" s="92"/>
      <c r="BT329" s="92"/>
      <c r="BU329" s="92"/>
      <c r="BV329" s="92"/>
      <c r="BW329" s="92"/>
      <c r="BX329" s="92"/>
      <c r="BY329" s="92"/>
      <c r="BZ329" s="92"/>
      <c r="CA329" s="92"/>
      <c r="CB329" s="92"/>
    </row>
    <row r="330" spans="1:80" ht="12.75" customHeight="1">
      <c r="A330" s="92"/>
      <c r="B330" s="92"/>
      <c r="C330" s="92"/>
      <c r="D330" s="92"/>
      <c r="E330" s="92"/>
      <c r="F330" s="92">
        <v>1</v>
      </c>
      <c r="G330" s="93" t="s">
        <v>300</v>
      </c>
      <c r="H330" s="99">
        <v>1</v>
      </c>
      <c r="I330" s="99">
        <v>1</v>
      </c>
      <c r="J330" s="99">
        <v>1</v>
      </c>
      <c r="K330" s="99">
        <v>1</v>
      </c>
      <c r="L330" s="99">
        <v>1</v>
      </c>
      <c r="M330" s="99">
        <v>1</v>
      </c>
      <c r="N330" s="99">
        <v>1</v>
      </c>
      <c r="O330" s="99">
        <v>2</v>
      </c>
      <c r="P330" s="99">
        <v>2</v>
      </c>
      <c r="Q330" s="99">
        <v>3</v>
      </c>
      <c r="R330" s="99">
        <v>4</v>
      </c>
      <c r="S330" s="99">
        <v>4</v>
      </c>
      <c r="T330" s="99">
        <v>5</v>
      </c>
      <c r="U330" s="99">
        <v>5</v>
      </c>
      <c r="V330" s="99">
        <v>6</v>
      </c>
      <c r="W330" s="99">
        <v>7</v>
      </c>
      <c r="X330" s="99">
        <v>7</v>
      </c>
      <c r="Y330" s="99">
        <v>8</v>
      </c>
      <c r="Z330" s="99">
        <v>9</v>
      </c>
      <c r="AA330" s="99">
        <v>9</v>
      </c>
      <c r="AB330" s="99">
        <v>10</v>
      </c>
      <c r="AC330" s="92" t="s">
        <v>301</v>
      </c>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2"/>
      <c r="BL330" s="92"/>
      <c r="BM330" s="92"/>
      <c r="BN330" s="92"/>
      <c r="BO330" s="92"/>
      <c r="BP330" s="92"/>
      <c r="BQ330" s="92"/>
      <c r="BR330" s="92"/>
      <c r="BS330" s="92"/>
      <c r="BT330" s="92"/>
      <c r="BU330" s="92"/>
      <c r="BV330" s="92"/>
      <c r="BW330" s="92"/>
      <c r="BX330" s="92"/>
      <c r="BY330" s="92"/>
      <c r="BZ330" s="92"/>
      <c r="CA330" s="92"/>
      <c r="CB330" s="92"/>
    </row>
    <row r="331" spans="1:80" ht="12.75" customHeight="1">
      <c r="A331" s="92"/>
      <c r="B331" s="92"/>
      <c r="C331" s="92"/>
      <c r="D331" s="92"/>
      <c r="E331" s="92"/>
      <c r="F331" s="92">
        <v>2</v>
      </c>
      <c r="G331" s="93" t="s">
        <v>303</v>
      </c>
      <c r="H331" s="99">
        <v>1</v>
      </c>
      <c r="I331" s="99">
        <v>1</v>
      </c>
      <c r="J331" s="99">
        <v>1</v>
      </c>
      <c r="K331" s="99">
        <v>1</v>
      </c>
      <c r="L331" s="99">
        <v>1</v>
      </c>
      <c r="M331" s="99">
        <v>1</v>
      </c>
      <c r="N331" s="99">
        <v>1</v>
      </c>
      <c r="O331" s="99">
        <v>2</v>
      </c>
      <c r="P331" s="99">
        <v>2</v>
      </c>
      <c r="Q331" s="99">
        <v>3</v>
      </c>
      <c r="R331" s="99">
        <v>3</v>
      </c>
      <c r="S331" s="99">
        <v>4</v>
      </c>
      <c r="T331" s="99">
        <v>5</v>
      </c>
      <c r="U331" s="99">
        <v>5</v>
      </c>
      <c r="V331" s="99">
        <v>6</v>
      </c>
      <c r="W331" s="99">
        <v>7</v>
      </c>
      <c r="X331" s="99">
        <v>7</v>
      </c>
      <c r="Y331" s="99">
        <v>8</v>
      </c>
      <c r="Z331" s="99">
        <v>9</v>
      </c>
      <c r="AA331" s="99">
        <v>9</v>
      </c>
      <c r="AB331" s="99">
        <v>10</v>
      </c>
      <c r="AC331" s="92" t="s">
        <v>301</v>
      </c>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2"/>
      <c r="BL331" s="92"/>
      <c r="BM331" s="92"/>
      <c r="BN331" s="92"/>
      <c r="BO331" s="92"/>
      <c r="BP331" s="92"/>
      <c r="BQ331" s="92"/>
      <c r="BR331" s="92"/>
      <c r="BS331" s="92"/>
      <c r="BT331" s="92"/>
      <c r="BU331" s="92"/>
      <c r="BV331" s="92"/>
      <c r="BW331" s="92"/>
      <c r="BX331" s="92"/>
      <c r="BY331" s="92"/>
      <c r="BZ331" s="92"/>
      <c r="CA331" s="92"/>
      <c r="CB331" s="92"/>
    </row>
    <row r="332" spans="1:80" ht="12.75" customHeight="1">
      <c r="A332" s="92"/>
      <c r="B332" s="92"/>
      <c r="C332" s="92"/>
      <c r="D332" s="92"/>
      <c r="E332" s="92"/>
      <c r="F332" s="92">
        <v>3</v>
      </c>
      <c r="G332" s="93" t="s">
        <v>305</v>
      </c>
      <c r="H332" s="99">
        <v>1</v>
      </c>
      <c r="I332" s="99">
        <v>1</v>
      </c>
      <c r="J332" s="99">
        <v>1</v>
      </c>
      <c r="K332" s="99">
        <v>1</v>
      </c>
      <c r="L332" s="99">
        <v>1</v>
      </c>
      <c r="M332" s="99">
        <v>1</v>
      </c>
      <c r="N332" s="99">
        <v>1</v>
      </c>
      <c r="O332" s="99">
        <v>2</v>
      </c>
      <c r="P332" s="99">
        <v>2</v>
      </c>
      <c r="Q332" s="99">
        <v>3</v>
      </c>
      <c r="R332" s="99">
        <v>4</v>
      </c>
      <c r="S332" s="99">
        <v>4</v>
      </c>
      <c r="T332" s="99">
        <v>5</v>
      </c>
      <c r="U332" s="99">
        <v>5</v>
      </c>
      <c r="V332" s="99">
        <v>6</v>
      </c>
      <c r="W332" s="99">
        <v>7</v>
      </c>
      <c r="X332" s="99">
        <v>7</v>
      </c>
      <c r="Y332" s="99">
        <v>8</v>
      </c>
      <c r="Z332" s="99">
        <v>9</v>
      </c>
      <c r="AA332" s="99">
        <v>9</v>
      </c>
      <c r="AB332" s="99">
        <v>10</v>
      </c>
      <c r="AC332" s="92" t="s">
        <v>301</v>
      </c>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2"/>
      <c r="BL332" s="92"/>
      <c r="BM332" s="92"/>
      <c r="BN332" s="92"/>
      <c r="BO332" s="92"/>
      <c r="BP332" s="92"/>
      <c r="BQ332" s="92"/>
      <c r="BR332" s="92"/>
      <c r="BS332" s="92"/>
      <c r="BT332" s="92"/>
      <c r="BU332" s="92"/>
      <c r="BV332" s="92"/>
      <c r="BW332" s="92"/>
      <c r="BX332" s="92"/>
      <c r="BY332" s="92"/>
      <c r="BZ332" s="92"/>
      <c r="CA332" s="92"/>
      <c r="CB332" s="92"/>
    </row>
    <row r="333" spans="1:80" ht="12.75" customHeight="1">
      <c r="A333" s="92"/>
      <c r="B333" s="92"/>
      <c r="C333" s="92"/>
      <c r="D333" s="92"/>
      <c r="E333" s="92"/>
      <c r="F333" s="92">
        <v>4</v>
      </c>
      <c r="G333" s="93" t="s">
        <v>307</v>
      </c>
      <c r="H333" s="92">
        <v>1</v>
      </c>
      <c r="I333" s="92">
        <v>1</v>
      </c>
      <c r="J333" s="92">
        <v>1</v>
      </c>
      <c r="K333" s="92">
        <v>1</v>
      </c>
      <c r="L333" s="92">
        <v>1</v>
      </c>
      <c r="M333" s="92">
        <v>1</v>
      </c>
      <c r="N333" s="92">
        <v>2</v>
      </c>
      <c r="O333" s="92">
        <v>2</v>
      </c>
      <c r="P333" s="92">
        <v>3</v>
      </c>
      <c r="Q333" s="92">
        <v>3</v>
      </c>
      <c r="R333" s="92">
        <v>4</v>
      </c>
      <c r="S333" s="92">
        <v>4</v>
      </c>
      <c r="T333" s="92">
        <v>5</v>
      </c>
      <c r="U333" s="92">
        <v>5</v>
      </c>
      <c r="V333" s="92">
        <v>6</v>
      </c>
      <c r="W333" s="92">
        <v>7</v>
      </c>
      <c r="X333" s="92">
        <v>7</v>
      </c>
      <c r="Y333" s="92">
        <v>8</v>
      </c>
      <c r="Z333" s="92">
        <v>9</v>
      </c>
      <c r="AA333" s="92">
        <v>10</v>
      </c>
      <c r="AB333" s="92">
        <v>10</v>
      </c>
      <c r="AC333" s="92" t="s">
        <v>301</v>
      </c>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2"/>
      <c r="BL333" s="92"/>
      <c r="BM333" s="92"/>
      <c r="BN333" s="92"/>
      <c r="BO333" s="92"/>
      <c r="BP333" s="92"/>
      <c r="BQ333" s="92"/>
      <c r="BR333" s="92"/>
      <c r="BS333" s="92"/>
      <c r="BT333" s="92"/>
      <c r="BU333" s="92"/>
      <c r="BV333" s="92"/>
      <c r="BW333" s="92"/>
      <c r="BX333" s="92"/>
      <c r="BY333" s="92"/>
      <c r="BZ333" s="92"/>
      <c r="CA333" s="92"/>
      <c r="CB333" s="92"/>
    </row>
    <row r="334" spans="1:80" ht="12.75" customHeight="1">
      <c r="A334" s="92"/>
      <c r="B334" s="92"/>
      <c r="C334" s="92"/>
      <c r="D334" s="92"/>
      <c r="E334" s="92"/>
      <c r="F334" s="92">
        <v>5</v>
      </c>
      <c r="G334" s="93" t="s">
        <v>309</v>
      </c>
      <c r="H334" s="92">
        <v>1</v>
      </c>
      <c r="I334" s="92">
        <v>1</v>
      </c>
      <c r="J334" s="92">
        <v>1</v>
      </c>
      <c r="K334" s="92">
        <v>1</v>
      </c>
      <c r="L334" s="92">
        <v>2</v>
      </c>
      <c r="M334" s="92">
        <v>2</v>
      </c>
      <c r="N334" s="92">
        <v>3</v>
      </c>
      <c r="O334" s="92">
        <v>3</v>
      </c>
      <c r="P334" s="92">
        <v>4</v>
      </c>
      <c r="Q334" s="92">
        <v>5</v>
      </c>
      <c r="R334" s="92">
        <v>5</v>
      </c>
      <c r="S334" s="92">
        <v>6</v>
      </c>
      <c r="T334" s="92">
        <v>6</v>
      </c>
      <c r="U334" s="92">
        <v>7</v>
      </c>
      <c r="V334" s="92">
        <v>7</v>
      </c>
      <c r="W334" s="92">
        <v>8</v>
      </c>
      <c r="X334" s="92">
        <v>8</v>
      </c>
      <c r="Y334" s="92">
        <v>9</v>
      </c>
      <c r="Z334" s="92">
        <v>10</v>
      </c>
      <c r="AA334" s="92">
        <v>10</v>
      </c>
      <c r="AB334" s="92">
        <v>10</v>
      </c>
      <c r="AC334" s="92" t="s">
        <v>301</v>
      </c>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2"/>
      <c r="BL334" s="92"/>
      <c r="BM334" s="92"/>
      <c r="BN334" s="92"/>
      <c r="BO334" s="92"/>
      <c r="BP334" s="92"/>
      <c r="BQ334" s="92"/>
      <c r="BR334" s="92"/>
      <c r="BS334" s="92"/>
      <c r="BT334" s="92"/>
      <c r="BU334" s="92"/>
      <c r="BV334" s="92"/>
      <c r="BW334" s="92"/>
      <c r="BX334" s="92"/>
      <c r="BY334" s="92"/>
      <c r="BZ334" s="92"/>
      <c r="CA334" s="92"/>
      <c r="CB334" s="92"/>
    </row>
    <row r="335" spans="1:80" ht="12.75" customHeight="1">
      <c r="A335" s="92"/>
      <c r="B335" s="92"/>
      <c r="C335" s="92"/>
      <c r="D335" s="92"/>
      <c r="E335" s="92"/>
      <c r="F335" s="92">
        <v>6</v>
      </c>
      <c r="G335" s="93" t="s">
        <v>311</v>
      </c>
      <c r="H335" s="92">
        <v>1</v>
      </c>
      <c r="I335" s="92">
        <v>1</v>
      </c>
      <c r="J335" s="92">
        <v>1</v>
      </c>
      <c r="K335" s="92">
        <v>1</v>
      </c>
      <c r="L335" s="92">
        <v>1</v>
      </c>
      <c r="M335" s="92">
        <v>2</v>
      </c>
      <c r="N335" s="92">
        <v>2</v>
      </c>
      <c r="O335" s="92">
        <v>3</v>
      </c>
      <c r="P335" s="92">
        <v>4</v>
      </c>
      <c r="Q335" s="92">
        <v>4</v>
      </c>
      <c r="R335" s="92">
        <v>5</v>
      </c>
      <c r="S335" s="92">
        <v>6</v>
      </c>
      <c r="T335" s="92">
        <v>6</v>
      </c>
      <c r="U335" s="92">
        <v>7</v>
      </c>
      <c r="V335" s="92">
        <v>8</v>
      </c>
      <c r="W335" s="92">
        <v>8</v>
      </c>
      <c r="X335" s="92">
        <v>9</v>
      </c>
      <c r="Y335" s="92">
        <v>9</v>
      </c>
      <c r="Z335" s="92">
        <v>10</v>
      </c>
      <c r="AA335" s="92">
        <v>10</v>
      </c>
      <c r="AB335" s="92">
        <v>10</v>
      </c>
      <c r="AC335" s="92" t="s">
        <v>301</v>
      </c>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2"/>
      <c r="BL335" s="92"/>
      <c r="BM335" s="92"/>
      <c r="BN335" s="92"/>
      <c r="BO335" s="92"/>
      <c r="BP335" s="92"/>
      <c r="BQ335" s="92"/>
      <c r="BR335" s="92"/>
      <c r="BS335" s="92"/>
      <c r="BT335" s="92"/>
      <c r="BU335" s="92"/>
      <c r="BV335" s="92"/>
      <c r="BW335" s="92"/>
      <c r="BX335" s="92"/>
      <c r="BY335" s="92"/>
      <c r="BZ335" s="92"/>
      <c r="CA335" s="92"/>
      <c r="CB335" s="92"/>
    </row>
    <row r="336" spans="1:80" ht="12.75" customHeight="1">
      <c r="A336" s="92"/>
      <c r="B336" s="92"/>
      <c r="C336" s="92"/>
      <c r="D336" s="92"/>
      <c r="E336" s="92"/>
      <c r="F336" s="92">
        <v>7</v>
      </c>
      <c r="G336" s="93" t="s">
        <v>313</v>
      </c>
      <c r="H336" s="92">
        <v>1</v>
      </c>
      <c r="I336" s="92">
        <v>1</v>
      </c>
      <c r="J336" s="92">
        <v>1</v>
      </c>
      <c r="K336" s="92">
        <v>1</v>
      </c>
      <c r="L336" s="92">
        <v>2</v>
      </c>
      <c r="M336" s="92">
        <v>2</v>
      </c>
      <c r="N336" s="92">
        <v>3</v>
      </c>
      <c r="O336" s="92">
        <v>4</v>
      </c>
      <c r="P336" s="92">
        <v>4</v>
      </c>
      <c r="Q336" s="92">
        <v>5</v>
      </c>
      <c r="R336" s="92">
        <v>5</v>
      </c>
      <c r="S336" s="92">
        <v>6</v>
      </c>
      <c r="T336" s="92">
        <v>6</v>
      </c>
      <c r="U336" s="92">
        <v>7</v>
      </c>
      <c r="V336" s="92">
        <v>8</v>
      </c>
      <c r="W336" s="92">
        <v>8</v>
      </c>
      <c r="X336" s="92">
        <v>9</v>
      </c>
      <c r="Y336" s="92">
        <v>10</v>
      </c>
      <c r="Z336" s="92">
        <v>10</v>
      </c>
      <c r="AA336" s="92">
        <v>10</v>
      </c>
      <c r="AB336" s="92">
        <v>10</v>
      </c>
      <c r="AC336" s="92" t="s">
        <v>301</v>
      </c>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2"/>
      <c r="BL336" s="92"/>
      <c r="BM336" s="92"/>
      <c r="BN336" s="92"/>
      <c r="BO336" s="92"/>
      <c r="BP336" s="92"/>
      <c r="BQ336" s="92"/>
      <c r="BR336" s="92"/>
      <c r="BS336" s="92"/>
      <c r="BT336" s="92"/>
      <c r="BU336" s="92"/>
      <c r="BV336" s="92"/>
      <c r="BW336" s="92"/>
      <c r="BX336" s="92"/>
      <c r="BY336" s="92"/>
      <c r="BZ336" s="92"/>
      <c r="CA336" s="92"/>
      <c r="CB336" s="92"/>
    </row>
    <row r="337" spans="1:80" ht="12.75" customHeight="1">
      <c r="A337" s="92"/>
      <c r="B337" s="92"/>
      <c r="C337" s="92"/>
      <c r="D337" s="92"/>
      <c r="E337" s="92"/>
      <c r="F337" s="92">
        <v>8</v>
      </c>
      <c r="G337" s="93" t="s">
        <v>315</v>
      </c>
      <c r="H337" s="92">
        <v>1</v>
      </c>
      <c r="I337" s="92">
        <v>1</v>
      </c>
      <c r="J337" s="92">
        <v>1</v>
      </c>
      <c r="K337" s="92">
        <v>1</v>
      </c>
      <c r="L337" s="92">
        <v>1</v>
      </c>
      <c r="M337" s="92">
        <v>1</v>
      </c>
      <c r="N337" s="92">
        <v>1</v>
      </c>
      <c r="O337" s="92">
        <v>1</v>
      </c>
      <c r="P337" s="92">
        <v>1</v>
      </c>
      <c r="Q337" s="92">
        <v>1</v>
      </c>
      <c r="R337" s="92">
        <v>2</v>
      </c>
      <c r="S337" s="92">
        <v>3</v>
      </c>
      <c r="T337" s="92">
        <v>3</v>
      </c>
      <c r="U337" s="92">
        <v>4</v>
      </c>
      <c r="V337" s="92">
        <v>5</v>
      </c>
      <c r="W337" s="92">
        <v>5</v>
      </c>
      <c r="X337" s="92">
        <v>6</v>
      </c>
      <c r="Y337" s="92">
        <v>7</v>
      </c>
      <c r="Z337" s="92">
        <v>8</v>
      </c>
      <c r="AA337" s="92">
        <v>8</v>
      </c>
      <c r="AB337" s="92">
        <v>9</v>
      </c>
      <c r="AC337" s="92" t="s">
        <v>301</v>
      </c>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2"/>
      <c r="BL337" s="92"/>
      <c r="BM337" s="92"/>
      <c r="BN337" s="92"/>
      <c r="BO337" s="92"/>
      <c r="BP337" s="92"/>
      <c r="BQ337" s="92"/>
      <c r="BR337" s="92"/>
      <c r="BS337" s="92"/>
      <c r="BT337" s="92"/>
      <c r="BU337" s="92"/>
      <c r="BV337" s="92"/>
      <c r="BW337" s="92"/>
      <c r="BX337" s="92"/>
      <c r="BY337" s="92"/>
      <c r="BZ337" s="92"/>
      <c r="CA337" s="92"/>
      <c r="CB337" s="92"/>
    </row>
    <row r="338" spans="1:80" ht="12.75" customHeight="1">
      <c r="A338" s="92"/>
      <c r="B338" s="92"/>
      <c r="C338" s="92"/>
      <c r="D338" s="92"/>
      <c r="E338" s="92"/>
      <c r="F338" s="92">
        <v>9</v>
      </c>
      <c r="G338" s="93" t="s">
        <v>318</v>
      </c>
      <c r="H338" s="92">
        <v>1</v>
      </c>
      <c r="I338" s="92">
        <v>1</v>
      </c>
      <c r="J338" s="92">
        <v>1</v>
      </c>
      <c r="K338" s="92">
        <v>1</v>
      </c>
      <c r="L338" s="92">
        <v>1</v>
      </c>
      <c r="M338" s="92">
        <v>1</v>
      </c>
      <c r="N338" s="92">
        <v>1</v>
      </c>
      <c r="O338" s="92">
        <v>1</v>
      </c>
      <c r="P338" s="92">
        <v>1</v>
      </c>
      <c r="Q338" s="92">
        <v>1</v>
      </c>
      <c r="R338" s="92">
        <v>1</v>
      </c>
      <c r="S338" s="92">
        <v>2</v>
      </c>
      <c r="T338" s="92">
        <v>2</v>
      </c>
      <c r="U338" s="92">
        <v>3</v>
      </c>
      <c r="V338" s="92">
        <v>4</v>
      </c>
      <c r="W338" s="92">
        <v>5</v>
      </c>
      <c r="X338" s="92">
        <v>6</v>
      </c>
      <c r="Y338" s="92">
        <v>7</v>
      </c>
      <c r="Z338" s="92">
        <v>8</v>
      </c>
      <c r="AA338" s="92">
        <v>9</v>
      </c>
      <c r="AB338" s="92">
        <v>10</v>
      </c>
      <c r="AC338" s="92" t="s">
        <v>301</v>
      </c>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2"/>
      <c r="BL338" s="92"/>
      <c r="BM338" s="92"/>
      <c r="BN338" s="92"/>
      <c r="BO338" s="92"/>
      <c r="BP338" s="92"/>
      <c r="BQ338" s="92"/>
      <c r="BR338" s="92"/>
      <c r="BS338" s="92"/>
      <c r="BT338" s="92"/>
      <c r="BU338" s="92"/>
      <c r="BV338" s="92"/>
      <c r="BW338" s="92"/>
      <c r="BX338" s="92"/>
      <c r="BY338" s="92"/>
      <c r="BZ338" s="92"/>
      <c r="CA338" s="92"/>
      <c r="CB338" s="92"/>
    </row>
    <row r="339" spans="1:80" ht="12.75" customHeight="1">
      <c r="A339" s="92"/>
      <c r="B339" s="92"/>
      <c r="C339" s="92"/>
      <c r="D339" s="92"/>
      <c r="E339" s="92"/>
      <c r="F339" s="92">
        <v>10</v>
      </c>
      <c r="G339" s="93" t="s">
        <v>320</v>
      </c>
      <c r="H339" s="92">
        <v>1</v>
      </c>
      <c r="I339" s="92">
        <v>1</v>
      </c>
      <c r="J339" s="92">
        <v>1</v>
      </c>
      <c r="K339" s="92">
        <v>1</v>
      </c>
      <c r="L339" s="92">
        <v>1</v>
      </c>
      <c r="M339" s="92">
        <v>1</v>
      </c>
      <c r="N339" s="92">
        <v>1</v>
      </c>
      <c r="O339" s="92">
        <v>1</v>
      </c>
      <c r="P339" s="92">
        <v>1</v>
      </c>
      <c r="Q339" s="92">
        <v>1</v>
      </c>
      <c r="R339" s="92">
        <v>2</v>
      </c>
      <c r="S339" s="92">
        <v>3</v>
      </c>
      <c r="T339" s="92">
        <v>3</v>
      </c>
      <c r="U339" s="92">
        <v>4</v>
      </c>
      <c r="V339" s="92">
        <v>5</v>
      </c>
      <c r="W339" s="92">
        <v>5</v>
      </c>
      <c r="X339" s="92">
        <v>6</v>
      </c>
      <c r="Y339" s="92">
        <v>7</v>
      </c>
      <c r="Z339" s="92">
        <v>8</v>
      </c>
      <c r="AA339" s="92">
        <v>8</v>
      </c>
      <c r="AB339" s="92">
        <v>9</v>
      </c>
      <c r="AC339" s="92" t="s">
        <v>301</v>
      </c>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2"/>
      <c r="BL339" s="92"/>
      <c r="BM339" s="92"/>
      <c r="BN339" s="92"/>
      <c r="BO339" s="92"/>
      <c r="BP339" s="92"/>
      <c r="BQ339" s="92"/>
      <c r="BR339" s="92"/>
      <c r="BS339" s="92"/>
      <c r="BT339" s="92"/>
      <c r="BU339" s="92"/>
      <c r="BV339" s="92"/>
      <c r="BW339" s="92"/>
      <c r="BX339" s="92"/>
      <c r="BY339" s="92"/>
      <c r="BZ339" s="92"/>
      <c r="CA339" s="92"/>
      <c r="CB339" s="92"/>
    </row>
    <row r="340" spans="1:80" ht="12.75" customHeight="1">
      <c r="A340" s="92"/>
      <c r="B340" s="92"/>
      <c r="C340" s="92"/>
      <c r="D340" s="92"/>
      <c r="E340" s="92"/>
      <c r="F340" s="92">
        <v>11</v>
      </c>
      <c r="G340" s="93" t="s">
        <v>322</v>
      </c>
      <c r="H340" s="92">
        <v>1</v>
      </c>
      <c r="I340" s="92">
        <v>1</v>
      </c>
      <c r="J340" s="92">
        <v>1</v>
      </c>
      <c r="K340" s="92">
        <v>1</v>
      </c>
      <c r="L340" s="92">
        <v>1</v>
      </c>
      <c r="M340" s="92">
        <v>1</v>
      </c>
      <c r="N340" s="92">
        <v>1</v>
      </c>
      <c r="O340" s="92">
        <v>1</v>
      </c>
      <c r="P340" s="92">
        <v>1</v>
      </c>
      <c r="Q340" s="92">
        <v>2</v>
      </c>
      <c r="R340" s="92">
        <v>3</v>
      </c>
      <c r="S340" s="92">
        <v>3</v>
      </c>
      <c r="T340" s="92">
        <v>4</v>
      </c>
      <c r="U340" s="92">
        <v>5</v>
      </c>
      <c r="V340" s="92">
        <v>5</v>
      </c>
      <c r="W340" s="92">
        <v>6</v>
      </c>
      <c r="X340" s="92">
        <v>7</v>
      </c>
      <c r="Y340" s="92">
        <v>7</v>
      </c>
      <c r="Z340" s="92">
        <v>8</v>
      </c>
      <c r="AA340" s="92">
        <v>9</v>
      </c>
      <c r="AB340" s="92">
        <v>10</v>
      </c>
      <c r="AC340" s="92" t="s">
        <v>301</v>
      </c>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2"/>
      <c r="BL340" s="92"/>
      <c r="BM340" s="92"/>
      <c r="BN340" s="92"/>
      <c r="BO340" s="92"/>
      <c r="BP340" s="92"/>
      <c r="BQ340" s="92"/>
      <c r="BR340" s="92"/>
      <c r="BS340" s="92"/>
      <c r="BT340" s="92"/>
      <c r="BU340" s="92"/>
      <c r="BV340" s="92"/>
      <c r="BW340" s="92"/>
      <c r="BX340" s="92"/>
      <c r="BY340" s="92"/>
      <c r="BZ340" s="92"/>
      <c r="CA340" s="92"/>
      <c r="CB340" s="92"/>
    </row>
    <row r="341" spans="1:80" ht="12.75" customHeight="1">
      <c r="A341" s="92"/>
      <c r="B341" s="92"/>
      <c r="C341" s="92"/>
      <c r="D341" s="92"/>
      <c r="E341" s="92"/>
      <c r="F341" s="92">
        <v>12</v>
      </c>
      <c r="G341" s="93" t="s">
        <v>324</v>
      </c>
      <c r="H341" s="92">
        <v>1</v>
      </c>
      <c r="I341" s="92">
        <v>1</v>
      </c>
      <c r="J341" s="92">
        <v>1</v>
      </c>
      <c r="K341" s="92">
        <v>1</v>
      </c>
      <c r="L341" s="92">
        <v>1</v>
      </c>
      <c r="M341" s="92">
        <v>1</v>
      </c>
      <c r="N341" s="92">
        <v>1</v>
      </c>
      <c r="O341" s="92">
        <v>2</v>
      </c>
      <c r="P341" s="92">
        <v>2</v>
      </c>
      <c r="Q341" s="92">
        <v>2</v>
      </c>
      <c r="R341" s="92">
        <v>3</v>
      </c>
      <c r="S341" s="92">
        <v>4</v>
      </c>
      <c r="T341" s="92">
        <v>4</v>
      </c>
      <c r="U341" s="92">
        <v>5</v>
      </c>
      <c r="V341" s="92">
        <v>6</v>
      </c>
      <c r="W341" s="92">
        <v>6</v>
      </c>
      <c r="X341" s="92">
        <v>7</v>
      </c>
      <c r="Y341" s="92">
        <v>8</v>
      </c>
      <c r="Z341" s="92">
        <v>9</v>
      </c>
      <c r="AA341" s="92">
        <v>10</v>
      </c>
      <c r="AB341" s="92">
        <v>10</v>
      </c>
      <c r="AC341" s="92" t="s">
        <v>301</v>
      </c>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2"/>
      <c r="BL341" s="92"/>
      <c r="BM341" s="92"/>
      <c r="BN341" s="92"/>
      <c r="BO341" s="92"/>
      <c r="BP341" s="92"/>
      <c r="BQ341" s="92"/>
      <c r="BR341" s="92"/>
      <c r="BS341" s="92"/>
      <c r="BT341" s="92"/>
      <c r="BU341" s="92"/>
      <c r="BV341" s="92"/>
      <c r="BW341" s="92"/>
      <c r="BX341" s="92"/>
      <c r="BY341" s="92"/>
      <c r="BZ341" s="92"/>
      <c r="CA341" s="92"/>
      <c r="CB341" s="92"/>
    </row>
    <row r="342" spans="1:80" ht="12.75" customHeight="1">
      <c r="A342" s="92"/>
      <c r="B342" s="92"/>
      <c r="C342" s="92"/>
      <c r="D342" s="92"/>
      <c r="E342" s="92"/>
      <c r="F342" s="92">
        <v>13</v>
      </c>
      <c r="G342" s="93" t="s">
        <v>326</v>
      </c>
      <c r="H342" s="92">
        <v>1</v>
      </c>
      <c r="I342" s="92">
        <v>1</v>
      </c>
      <c r="J342" s="92">
        <v>1</v>
      </c>
      <c r="K342" s="92">
        <v>1</v>
      </c>
      <c r="L342" s="92">
        <v>1</v>
      </c>
      <c r="M342" s="92">
        <v>2</v>
      </c>
      <c r="N342" s="92">
        <v>3</v>
      </c>
      <c r="O342" s="92">
        <v>3</v>
      </c>
      <c r="P342" s="92">
        <v>4</v>
      </c>
      <c r="Q342" s="92">
        <v>5</v>
      </c>
      <c r="R342" s="92">
        <v>5</v>
      </c>
      <c r="S342" s="92">
        <v>6</v>
      </c>
      <c r="T342" s="92">
        <v>6</v>
      </c>
      <c r="U342" s="92">
        <v>7</v>
      </c>
      <c r="V342" s="92">
        <v>8</v>
      </c>
      <c r="W342" s="92">
        <v>8</v>
      </c>
      <c r="X342" s="92">
        <v>9</v>
      </c>
      <c r="Y342" s="92">
        <v>10</v>
      </c>
      <c r="Z342" s="92">
        <v>10</v>
      </c>
      <c r="AA342" s="92">
        <v>10</v>
      </c>
      <c r="AB342" s="92">
        <v>10</v>
      </c>
      <c r="AC342" s="92" t="s">
        <v>301</v>
      </c>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2"/>
      <c r="BL342" s="92"/>
      <c r="BM342" s="92"/>
      <c r="BN342" s="92"/>
      <c r="BO342" s="92"/>
      <c r="BP342" s="92"/>
      <c r="BQ342" s="92"/>
      <c r="BR342" s="92"/>
      <c r="BS342" s="92"/>
      <c r="BT342" s="92"/>
      <c r="BU342" s="92"/>
      <c r="BV342" s="92"/>
      <c r="BW342" s="92"/>
      <c r="BX342" s="92"/>
      <c r="BY342" s="92"/>
      <c r="BZ342" s="92"/>
      <c r="CA342" s="92"/>
      <c r="CB342" s="92"/>
    </row>
    <row r="343" spans="1:80" ht="12.75" customHeight="1">
      <c r="A343" s="92"/>
      <c r="B343" s="92"/>
      <c r="C343" s="92"/>
      <c r="D343" s="92"/>
      <c r="E343" s="92"/>
      <c r="F343" s="92">
        <v>14</v>
      </c>
      <c r="G343" s="93" t="s">
        <v>328</v>
      </c>
      <c r="H343" s="92">
        <v>1</v>
      </c>
      <c r="I343" s="92">
        <v>1</v>
      </c>
      <c r="J343" s="92">
        <v>1</v>
      </c>
      <c r="K343" s="92">
        <v>1</v>
      </c>
      <c r="L343" s="92">
        <v>1</v>
      </c>
      <c r="M343" s="92">
        <v>2</v>
      </c>
      <c r="N343" s="92">
        <v>3</v>
      </c>
      <c r="O343" s="92">
        <v>3</v>
      </c>
      <c r="P343" s="92">
        <v>4</v>
      </c>
      <c r="Q343" s="92">
        <v>5</v>
      </c>
      <c r="R343" s="92">
        <v>5</v>
      </c>
      <c r="S343" s="92">
        <v>6</v>
      </c>
      <c r="T343" s="92">
        <v>6</v>
      </c>
      <c r="U343" s="92">
        <v>7</v>
      </c>
      <c r="V343" s="92">
        <v>8</v>
      </c>
      <c r="W343" s="92">
        <v>8</v>
      </c>
      <c r="X343" s="92">
        <v>9</v>
      </c>
      <c r="Y343" s="92">
        <v>10</v>
      </c>
      <c r="Z343" s="92">
        <v>10</v>
      </c>
      <c r="AA343" s="92">
        <v>10</v>
      </c>
      <c r="AB343" s="92">
        <v>10</v>
      </c>
      <c r="AC343" s="92" t="s">
        <v>301</v>
      </c>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2"/>
      <c r="BL343" s="92"/>
      <c r="BM343" s="92"/>
      <c r="BN343" s="92"/>
      <c r="BO343" s="92"/>
      <c r="BP343" s="92"/>
      <c r="BQ343" s="92"/>
      <c r="BR343" s="92"/>
      <c r="BS343" s="92"/>
      <c r="BT343" s="92"/>
      <c r="BU343" s="92"/>
      <c r="BV343" s="92"/>
      <c r="BW343" s="92"/>
      <c r="BX343" s="92"/>
      <c r="BY343" s="92"/>
      <c r="BZ343" s="92"/>
      <c r="CA343" s="92"/>
      <c r="CB343" s="92"/>
    </row>
    <row r="344" spans="1:80" ht="12.75" customHeight="1">
      <c r="A344" s="92"/>
      <c r="B344" s="92"/>
      <c r="C344" s="92"/>
      <c r="D344" s="92"/>
      <c r="E344" s="92"/>
      <c r="F344" s="92">
        <v>15</v>
      </c>
      <c r="G344" s="93" t="s">
        <v>330</v>
      </c>
      <c r="H344" s="92">
        <v>1</v>
      </c>
      <c r="I344" s="92">
        <v>1</v>
      </c>
      <c r="J344" s="92">
        <v>1</v>
      </c>
      <c r="K344" s="92">
        <v>2</v>
      </c>
      <c r="L344" s="92">
        <v>2</v>
      </c>
      <c r="M344" s="92">
        <v>3</v>
      </c>
      <c r="N344" s="92">
        <v>3</v>
      </c>
      <c r="O344" s="92">
        <v>4</v>
      </c>
      <c r="P344" s="92">
        <v>5</v>
      </c>
      <c r="Q344" s="92">
        <v>5</v>
      </c>
      <c r="R344" s="92">
        <v>6</v>
      </c>
      <c r="S344" s="92">
        <v>6</v>
      </c>
      <c r="T344" s="92">
        <v>7</v>
      </c>
      <c r="U344" s="92">
        <v>7</v>
      </c>
      <c r="V344" s="92">
        <v>8</v>
      </c>
      <c r="W344" s="92">
        <v>9</v>
      </c>
      <c r="X344" s="92">
        <v>9</v>
      </c>
      <c r="Y344" s="92">
        <v>10</v>
      </c>
      <c r="Z344" s="92">
        <v>10</v>
      </c>
      <c r="AA344" s="92">
        <v>10</v>
      </c>
      <c r="AB344" s="92">
        <v>10</v>
      </c>
      <c r="AC344" s="92" t="s">
        <v>301</v>
      </c>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2"/>
      <c r="BL344" s="92"/>
      <c r="BM344" s="92"/>
      <c r="BN344" s="92"/>
      <c r="BO344" s="92"/>
      <c r="BP344" s="92"/>
      <c r="BQ344" s="92"/>
      <c r="BR344" s="92"/>
      <c r="BS344" s="92"/>
      <c r="BT344" s="92"/>
      <c r="BU344" s="92"/>
      <c r="BV344" s="92"/>
      <c r="BW344" s="92"/>
      <c r="BX344" s="92"/>
      <c r="BY344" s="92"/>
      <c r="BZ344" s="92"/>
      <c r="CA344" s="92"/>
      <c r="CB344" s="92"/>
    </row>
    <row r="345" spans="1:80" ht="12.75" customHeight="1">
      <c r="A345" s="92"/>
      <c r="B345" s="92"/>
      <c r="C345" s="92"/>
      <c r="D345" s="92"/>
      <c r="E345" s="92"/>
      <c r="F345" s="92">
        <v>16</v>
      </c>
      <c r="G345" s="93" t="s">
        <v>341</v>
      </c>
      <c r="H345" s="92">
        <v>1</v>
      </c>
      <c r="I345" s="92">
        <v>1</v>
      </c>
      <c r="J345" s="92">
        <v>1</v>
      </c>
      <c r="K345" s="92">
        <v>1</v>
      </c>
      <c r="L345" s="92">
        <v>2</v>
      </c>
      <c r="M345" s="92">
        <v>2</v>
      </c>
      <c r="N345" s="92">
        <v>2</v>
      </c>
      <c r="O345" s="92">
        <v>3</v>
      </c>
      <c r="P345" s="92">
        <v>3</v>
      </c>
      <c r="Q345" s="92">
        <v>3</v>
      </c>
      <c r="R345" s="92">
        <v>3</v>
      </c>
      <c r="S345" s="92">
        <v>4</v>
      </c>
      <c r="T345" s="92">
        <v>4</v>
      </c>
      <c r="U345" s="92">
        <v>4</v>
      </c>
      <c r="V345" s="92">
        <v>4</v>
      </c>
      <c r="W345" s="92">
        <v>4</v>
      </c>
      <c r="X345" s="92">
        <v>5</v>
      </c>
      <c r="Y345" s="92">
        <v>6</v>
      </c>
      <c r="Z345" s="92">
        <v>6</v>
      </c>
      <c r="AA345" s="92">
        <v>7</v>
      </c>
      <c r="AB345" s="92">
        <v>8</v>
      </c>
      <c r="AC345" s="92" t="s">
        <v>301</v>
      </c>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2"/>
      <c r="BL345" s="92"/>
      <c r="BM345" s="92"/>
      <c r="BN345" s="92"/>
      <c r="BO345" s="92"/>
      <c r="BP345" s="92"/>
      <c r="BQ345" s="92"/>
      <c r="BR345" s="92"/>
      <c r="BS345" s="92"/>
      <c r="BT345" s="92"/>
      <c r="BU345" s="92"/>
      <c r="BV345" s="92"/>
      <c r="BW345" s="92"/>
      <c r="BX345" s="92"/>
      <c r="BY345" s="92"/>
      <c r="BZ345" s="92"/>
      <c r="CA345" s="92"/>
      <c r="CB345" s="92"/>
    </row>
    <row r="346" spans="1:80" ht="12.75" customHeight="1">
      <c r="A346" s="92"/>
      <c r="B346" s="92"/>
      <c r="C346" s="92"/>
      <c r="D346" s="92"/>
      <c r="E346" s="92"/>
      <c r="F346" s="92">
        <v>17</v>
      </c>
      <c r="G346" s="93" t="s">
        <v>343</v>
      </c>
      <c r="H346" s="92">
        <v>1</v>
      </c>
      <c r="I346" s="92">
        <v>1</v>
      </c>
      <c r="J346" s="92">
        <v>1</v>
      </c>
      <c r="K346" s="92">
        <v>2</v>
      </c>
      <c r="L346" s="92">
        <v>2</v>
      </c>
      <c r="M346" s="92">
        <v>2</v>
      </c>
      <c r="N346" s="92">
        <v>3</v>
      </c>
      <c r="O346" s="92">
        <v>3</v>
      </c>
      <c r="P346" s="92">
        <v>3</v>
      </c>
      <c r="Q346" s="92">
        <v>4</v>
      </c>
      <c r="R346" s="92">
        <v>4</v>
      </c>
      <c r="S346" s="92">
        <v>4</v>
      </c>
      <c r="T346" s="92">
        <v>4</v>
      </c>
      <c r="U346" s="92">
        <v>4</v>
      </c>
      <c r="V346" s="92">
        <v>5</v>
      </c>
      <c r="W346" s="92">
        <v>6</v>
      </c>
      <c r="X346" s="92">
        <v>6</v>
      </c>
      <c r="Y346" s="92">
        <v>7</v>
      </c>
      <c r="Z346" s="92">
        <v>7</v>
      </c>
      <c r="AA346" s="92">
        <v>8</v>
      </c>
      <c r="AB346" s="92">
        <v>9</v>
      </c>
      <c r="AC346" s="92" t="s">
        <v>301</v>
      </c>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2"/>
      <c r="BL346" s="92"/>
      <c r="BM346" s="92"/>
      <c r="BN346" s="92"/>
      <c r="BO346" s="92"/>
      <c r="BP346" s="92"/>
      <c r="BQ346" s="92"/>
      <c r="BR346" s="92"/>
      <c r="BS346" s="92"/>
      <c r="BT346" s="92"/>
      <c r="BU346" s="92"/>
      <c r="BV346" s="92"/>
      <c r="BW346" s="92"/>
      <c r="BX346" s="92"/>
      <c r="BY346" s="92"/>
      <c r="BZ346" s="92"/>
      <c r="CA346" s="92"/>
      <c r="CB346" s="92"/>
    </row>
    <row r="347" spans="1:80" ht="12.75" customHeight="1">
      <c r="A347" s="92"/>
      <c r="B347" s="92"/>
      <c r="C347" s="92"/>
      <c r="D347" s="92"/>
      <c r="E347" s="92"/>
      <c r="F347" s="92">
        <v>18</v>
      </c>
      <c r="G347" s="93" t="s">
        <v>348</v>
      </c>
      <c r="H347" s="92">
        <v>1</v>
      </c>
      <c r="I347" s="92">
        <v>1</v>
      </c>
      <c r="J347" s="92">
        <v>1</v>
      </c>
      <c r="K347" s="92">
        <v>1</v>
      </c>
      <c r="L347" s="92">
        <v>2</v>
      </c>
      <c r="M347" s="92">
        <v>2</v>
      </c>
      <c r="N347" s="92">
        <v>2</v>
      </c>
      <c r="O347" s="92">
        <v>3</v>
      </c>
      <c r="P347" s="92">
        <v>3</v>
      </c>
      <c r="Q347" s="92">
        <v>3</v>
      </c>
      <c r="R347" s="92">
        <v>4</v>
      </c>
      <c r="S347" s="92">
        <v>4</v>
      </c>
      <c r="T347" s="92">
        <v>4</v>
      </c>
      <c r="U347" s="92">
        <v>4</v>
      </c>
      <c r="V347" s="92">
        <v>4</v>
      </c>
      <c r="W347" s="92">
        <v>5</v>
      </c>
      <c r="X347" s="92">
        <v>6</v>
      </c>
      <c r="Y347" s="92">
        <v>6</v>
      </c>
      <c r="Z347" s="92">
        <v>6</v>
      </c>
      <c r="AA347" s="92">
        <v>7</v>
      </c>
      <c r="AB347" s="92">
        <v>8</v>
      </c>
      <c r="AC347" s="92" t="s">
        <v>301</v>
      </c>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2"/>
      <c r="BL347" s="92"/>
      <c r="BM347" s="92"/>
      <c r="BN347" s="92"/>
      <c r="BO347" s="92"/>
      <c r="BP347" s="92"/>
      <c r="BQ347" s="92"/>
      <c r="BR347" s="92"/>
      <c r="BS347" s="92"/>
      <c r="BT347" s="92"/>
      <c r="BU347" s="92"/>
      <c r="BV347" s="92"/>
      <c r="BW347" s="92"/>
      <c r="BX347" s="92"/>
      <c r="BY347" s="92"/>
      <c r="BZ347" s="92"/>
      <c r="CA347" s="92"/>
      <c r="CB347" s="92"/>
    </row>
    <row r="348" spans="1:80" ht="12.75" customHeight="1">
      <c r="A348" s="92"/>
      <c r="B348" s="92"/>
      <c r="C348" s="92"/>
      <c r="D348" s="92"/>
      <c r="E348" s="92"/>
      <c r="F348" s="92"/>
      <c r="G348" s="93"/>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2"/>
      <c r="BL348" s="92"/>
      <c r="BM348" s="92"/>
      <c r="BN348" s="92"/>
      <c r="BO348" s="92"/>
      <c r="BP348" s="92"/>
      <c r="BQ348" s="92"/>
      <c r="BR348" s="92"/>
      <c r="BS348" s="92"/>
      <c r="BT348" s="92"/>
      <c r="BU348" s="92"/>
      <c r="BV348" s="92"/>
      <c r="BW348" s="92"/>
      <c r="BX348" s="92"/>
      <c r="BY348" s="92"/>
      <c r="BZ348" s="92"/>
      <c r="CA348" s="92"/>
      <c r="CB348" s="92"/>
    </row>
    <row r="349" spans="1:80" ht="12.75" customHeight="1">
      <c r="A349" s="92"/>
      <c r="B349" s="92"/>
      <c r="C349" s="92"/>
      <c r="D349" s="92"/>
      <c r="E349" s="92"/>
      <c r="F349" s="92"/>
      <c r="G349" s="93"/>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2"/>
      <c r="BL349" s="92"/>
      <c r="BM349" s="92"/>
      <c r="BN349" s="92"/>
      <c r="BO349" s="92"/>
      <c r="BP349" s="92"/>
      <c r="BQ349" s="92"/>
      <c r="BR349" s="92"/>
      <c r="BS349" s="92"/>
      <c r="BT349" s="92"/>
      <c r="BU349" s="92"/>
      <c r="BV349" s="92"/>
      <c r="BW349" s="92"/>
      <c r="BX349" s="92"/>
      <c r="BY349" s="92"/>
      <c r="BZ349" s="92"/>
      <c r="CA349" s="92"/>
      <c r="CB349" s="92"/>
    </row>
    <row r="350" spans="1:80" ht="12.75" customHeight="1">
      <c r="A350" s="92"/>
      <c r="B350" s="92"/>
      <c r="C350" s="92"/>
      <c r="D350" s="92"/>
      <c r="E350" s="92"/>
      <c r="F350" s="92"/>
      <c r="G350" s="93"/>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2"/>
      <c r="BL350" s="92"/>
      <c r="BM350" s="92"/>
      <c r="BN350" s="92"/>
      <c r="BO350" s="92"/>
      <c r="BP350" s="92"/>
      <c r="BQ350" s="92"/>
      <c r="BR350" s="92"/>
      <c r="BS350" s="92"/>
      <c r="BT350" s="92"/>
      <c r="BU350" s="92"/>
      <c r="BV350" s="92"/>
      <c r="BW350" s="92"/>
      <c r="BX350" s="92"/>
      <c r="BY350" s="92"/>
      <c r="BZ350" s="92"/>
      <c r="CA350" s="92"/>
      <c r="CB350" s="92"/>
    </row>
    <row r="351" spans="1:80" ht="12.75" customHeight="1">
      <c r="A351" s="92"/>
      <c r="B351" s="92"/>
      <c r="C351" s="92"/>
      <c r="D351" s="92"/>
      <c r="E351" s="92"/>
      <c r="F351" s="92"/>
      <c r="G351" s="93"/>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2"/>
      <c r="BL351" s="92"/>
      <c r="BM351" s="92"/>
      <c r="BN351" s="92"/>
      <c r="BO351" s="92"/>
      <c r="BP351" s="92"/>
      <c r="BQ351" s="92"/>
      <c r="BR351" s="92"/>
      <c r="BS351" s="92"/>
      <c r="BT351" s="92"/>
      <c r="BU351" s="92"/>
      <c r="BV351" s="92"/>
      <c r="BW351" s="92"/>
      <c r="BX351" s="92"/>
      <c r="BY351" s="92"/>
      <c r="BZ351" s="92"/>
      <c r="CA351" s="92"/>
      <c r="CB351" s="92"/>
    </row>
    <row r="352" spans="1:80" ht="12.75" customHeight="1">
      <c r="A352" s="92"/>
      <c r="B352" s="92"/>
      <c r="C352" s="92"/>
      <c r="D352" s="92"/>
      <c r="E352" s="92"/>
      <c r="F352" s="92"/>
      <c r="G352" s="93" t="s">
        <v>417</v>
      </c>
      <c r="H352" s="92">
        <v>0</v>
      </c>
      <c r="I352" s="92">
        <v>1</v>
      </c>
      <c r="J352" s="92">
        <v>2</v>
      </c>
      <c r="K352" s="92">
        <v>3</v>
      </c>
      <c r="L352" s="92">
        <v>4</v>
      </c>
      <c r="M352" s="92">
        <v>5</v>
      </c>
      <c r="N352" s="92">
        <v>6</v>
      </c>
      <c r="O352" s="92">
        <v>7</v>
      </c>
      <c r="P352" s="92">
        <v>8</v>
      </c>
      <c r="Q352" s="92">
        <v>9</v>
      </c>
      <c r="R352" s="92">
        <v>10</v>
      </c>
      <c r="S352" s="92">
        <v>11</v>
      </c>
      <c r="T352" s="92">
        <v>12</v>
      </c>
      <c r="U352" s="92">
        <v>13</v>
      </c>
      <c r="V352" s="92">
        <v>14</v>
      </c>
      <c r="W352" s="92">
        <v>15</v>
      </c>
      <c r="X352" s="92">
        <v>16</v>
      </c>
      <c r="Y352" s="92">
        <v>17</v>
      </c>
      <c r="Z352" s="92">
        <v>18</v>
      </c>
      <c r="AA352" s="92">
        <v>19</v>
      </c>
      <c r="AB352" s="92">
        <v>20</v>
      </c>
      <c r="AC352" s="92">
        <v>21</v>
      </c>
      <c r="AD352" s="92">
        <v>22</v>
      </c>
      <c r="AE352" s="92">
        <v>23</v>
      </c>
      <c r="AF352" s="92">
        <v>24</v>
      </c>
      <c r="AG352" s="92">
        <v>25</v>
      </c>
      <c r="AH352" s="92">
        <v>26</v>
      </c>
      <c r="AI352" s="92">
        <v>99</v>
      </c>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2"/>
      <c r="BL352" s="92"/>
      <c r="BM352" s="92"/>
      <c r="BN352" s="92"/>
      <c r="BO352" s="92"/>
      <c r="BP352" s="92"/>
      <c r="BQ352" s="92"/>
      <c r="BR352" s="92"/>
      <c r="BS352" s="92"/>
      <c r="BT352" s="92"/>
      <c r="BU352" s="92"/>
      <c r="BV352" s="92"/>
      <c r="BW352" s="92"/>
      <c r="BX352" s="92"/>
      <c r="BY352" s="92"/>
      <c r="BZ352" s="92"/>
      <c r="CA352" s="92"/>
      <c r="CB352" s="92"/>
    </row>
    <row r="353" spans="1:80" ht="12.75" customHeight="1">
      <c r="A353" s="92"/>
      <c r="B353" s="92"/>
      <c r="C353" s="92"/>
      <c r="D353" s="92"/>
      <c r="E353" s="92"/>
      <c r="F353" s="92">
        <v>1</v>
      </c>
      <c r="G353" s="93" t="s">
        <v>300</v>
      </c>
      <c r="H353" s="99">
        <v>2</v>
      </c>
      <c r="I353" s="99">
        <v>2</v>
      </c>
      <c r="J353" s="99">
        <v>3</v>
      </c>
      <c r="K353" s="99">
        <v>3</v>
      </c>
      <c r="L353" s="99">
        <v>3</v>
      </c>
      <c r="M353" s="99">
        <v>4</v>
      </c>
      <c r="N353" s="99">
        <v>4</v>
      </c>
      <c r="O353" s="99">
        <v>5</v>
      </c>
      <c r="P353" s="99">
        <v>5</v>
      </c>
      <c r="Q353" s="99">
        <v>5</v>
      </c>
      <c r="R353" s="99">
        <v>6</v>
      </c>
      <c r="S353" s="99">
        <v>6</v>
      </c>
      <c r="T353" s="99">
        <v>7</v>
      </c>
      <c r="U353" s="99">
        <v>7</v>
      </c>
      <c r="V353" s="99">
        <v>8</v>
      </c>
      <c r="W353" s="99">
        <v>8</v>
      </c>
      <c r="X353" s="99">
        <v>8</v>
      </c>
      <c r="Y353" s="99">
        <v>9</v>
      </c>
      <c r="Z353" s="99">
        <v>9</v>
      </c>
      <c r="AA353" s="99">
        <v>10</v>
      </c>
      <c r="AB353" s="99">
        <v>10</v>
      </c>
      <c r="AC353" s="99">
        <v>10</v>
      </c>
      <c r="AD353" s="99">
        <v>10</v>
      </c>
      <c r="AE353" s="99">
        <v>10</v>
      </c>
      <c r="AF353" s="99">
        <v>10</v>
      </c>
      <c r="AG353" s="99">
        <v>10</v>
      </c>
      <c r="AH353" s="99">
        <v>10</v>
      </c>
      <c r="AI353" s="92" t="s">
        <v>301</v>
      </c>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2"/>
      <c r="BL353" s="92"/>
      <c r="BM353" s="92"/>
      <c r="BN353" s="92"/>
      <c r="BO353" s="92"/>
      <c r="BP353" s="92"/>
      <c r="BQ353" s="92"/>
      <c r="BR353" s="92"/>
      <c r="BS353" s="92"/>
      <c r="BT353" s="92"/>
      <c r="BU353" s="92"/>
      <c r="BV353" s="92"/>
      <c r="BW353" s="92"/>
      <c r="BX353" s="92"/>
      <c r="BY353" s="92"/>
      <c r="BZ353" s="92"/>
      <c r="CA353" s="92"/>
      <c r="CB353" s="92"/>
    </row>
    <row r="354" spans="1:80" ht="12.75" customHeight="1">
      <c r="A354" s="92"/>
      <c r="B354" s="92"/>
      <c r="C354" s="92"/>
      <c r="D354" s="92"/>
      <c r="E354" s="92"/>
      <c r="F354" s="92">
        <v>2</v>
      </c>
      <c r="G354" s="93" t="s">
        <v>303</v>
      </c>
      <c r="H354" s="99">
        <v>1</v>
      </c>
      <c r="I354" s="99">
        <v>2</v>
      </c>
      <c r="J354" s="99">
        <v>2</v>
      </c>
      <c r="K354" s="99">
        <v>3</v>
      </c>
      <c r="L354" s="99">
        <v>3</v>
      </c>
      <c r="M354" s="99">
        <v>3</v>
      </c>
      <c r="N354" s="99">
        <v>4</v>
      </c>
      <c r="O354" s="99">
        <v>4</v>
      </c>
      <c r="P354" s="99">
        <v>5</v>
      </c>
      <c r="Q354" s="99">
        <v>5</v>
      </c>
      <c r="R354" s="99">
        <v>6</v>
      </c>
      <c r="S354" s="99">
        <v>6</v>
      </c>
      <c r="T354" s="99">
        <v>6</v>
      </c>
      <c r="U354" s="99">
        <v>7</v>
      </c>
      <c r="V354" s="99">
        <v>7</v>
      </c>
      <c r="W354" s="99">
        <v>8</v>
      </c>
      <c r="X354" s="99">
        <v>8</v>
      </c>
      <c r="Y354" s="99">
        <v>9</v>
      </c>
      <c r="Z354" s="99">
        <v>9</v>
      </c>
      <c r="AA354" s="99">
        <v>9</v>
      </c>
      <c r="AB354" s="99">
        <v>10</v>
      </c>
      <c r="AC354" s="99">
        <v>10</v>
      </c>
      <c r="AD354" s="99">
        <v>10</v>
      </c>
      <c r="AE354" s="99">
        <v>10</v>
      </c>
      <c r="AF354" s="99">
        <v>10</v>
      </c>
      <c r="AG354" s="99">
        <v>10</v>
      </c>
      <c r="AH354" s="99">
        <v>10</v>
      </c>
      <c r="AI354" s="92" t="s">
        <v>301</v>
      </c>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2"/>
      <c r="BL354" s="92"/>
      <c r="BM354" s="92"/>
      <c r="BN354" s="92"/>
      <c r="BO354" s="92"/>
      <c r="BP354" s="92"/>
      <c r="BQ354" s="92"/>
      <c r="BR354" s="92"/>
      <c r="BS354" s="92"/>
      <c r="BT354" s="92"/>
      <c r="BU354" s="92"/>
      <c r="BV354" s="92"/>
      <c r="BW354" s="92"/>
      <c r="BX354" s="92"/>
      <c r="BY354" s="92"/>
      <c r="BZ354" s="92"/>
      <c r="CA354" s="92"/>
      <c r="CB354" s="92"/>
    </row>
    <row r="355" spans="1:80" ht="12.75" customHeight="1">
      <c r="A355" s="92"/>
      <c r="B355" s="92"/>
      <c r="C355" s="92"/>
      <c r="D355" s="92"/>
      <c r="E355" s="92"/>
      <c r="F355" s="92">
        <v>3</v>
      </c>
      <c r="G355" s="93" t="s">
        <v>305</v>
      </c>
      <c r="H355" s="99">
        <v>2</v>
      </c>
      <c r="I355" s="99">
        <v>2</v>
      </c>
      <c r="J355" s="99">
        <v>2</v>
      </c>
      <c r="K355" s="99">
        <v>3</v>
      </c>
      <c r="L355" s="99">
        <v>3</v>
      </c>
      <c r="M355" s="99">
        <v>4</v>
      </c>
      <c r="N355" s="99">
        <v>4</v>
      </c>
      <c r="O355" s="99">
        <v>4</v>
      </c>
      <c r="P355" s="99">
        <v>5</v>
      </c>
      <c r="Q355" s="99">
        <v>5</v>
      </c>
      <c r="R355" s="99">
        <v>6</v>
      </c>
      <c r="S355" s="99">
        <v>6</v>
      </c>
      <c r="T355" s="99">
        <v>7</v>
      </c>
      <c r="U355" s="99">
        <v>7</v>
      </c>
      <c r="V355" s="99">
        <v>7</v>
      </c>
      <c r="W355" s="99">
        <v>8</v>
      </c>
      <c r="X355" s="99">
        <v>8</v>
      </c>
      <c r="Y355" s="99">
        <v>9</v>
      </c>
      <c r="Z355" s="99">
        <v>9</v>
      </c>
      <c r="AA355" s="99">
        <v>10</v>
      </c>
      <c r="AB355" s="99">
        <v>10</v>
      </c>
      <c r="AC355" s="99">
        <v>10</v>
      </c>
      <c r="AD355" s="99">
        <v>10</v>
      </c>
      <c r="AE355" s="99">
        <v>10</v>
      </c>
      <c r="AF355" s="99">
        <v>10</v>
      </c>
      <c r="AG355" s="99">
        <v>10</v>
      </c>
      <c r="AH355" s="99">
        <v>10</v>
      </c>
      <c r="AI355" s="92" t="s">
        <v>301</v>
      </c>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2"/>
      <c r="BL355" s="92"/>
      <c r="BM355" s="92"/>
      <c r="BN355" s="92"/>
      <c r="BO355" s="92"/>
      <c r="BP355" s="92"/>
      <c r="BQ355" s="92"/>
      <c r="BR355" s="92"/>
      <c r="BS355" s="92"/>
      <c r="BT355" s="92"/>
      <c r="BU355" s="92"/>
      <c r="BV355" s="92"/>
      <c r="BW355" s="92"/>
      <c r="BX355" s="92"/>
      <c r="BY355" s="92"/>
      <c r="BZ355" s="92"/>
      <c r="CA355" s="92"/>
      <c r="CB355" s="92"/>
    </row>
    <row r="356" spans="1:80" ht="12.75" customHeight="1">
      <c r="A356" s="92"/>
      <c r="B356" s="92"/>
      <c r="C356" s="92"/>
      <c r="D356" s="92"/>
      <c r="E356" s="92"/>
      <c r="F356" s="92">
        <v>4</v>
      </c>
      <c r="G356" s="93" t="s">
        <v>307</v>
      </c>
      <c r="H356" s="92">
        <v>1</v>
      </c>
      <c r="I356" s="92">
        <v>2</v>
      </c>
      <c r="J356" s="92">
        <v>2</v>
      </c>
      <c r="K356" s="92">
        <v>3</v>
      </c>
      <c r="L356" s="92">
        <v>3</v>
      </c>
      <c r="M356" s="92">
        <v>4</v>
      </c>
      <c r="N356" s="92">
        <v>4</v>
      </c>
      <c r="O356" s="92">
        <v>5</v>
      </c>
      <c r="P356" s="92">
        <v>5</v>
      </c>
      <c r="Q356" s="92">
        <v>5</v>
      </c>
      <c r="R356" s="92">
        <v>6</v>
      </c>
      <c r="S356" s="92">
        <v>6</v>
      </c>
      <c r="T356" s="92">
        <v>7</v>
      </c>
      <c r="U356" s="92">
        <v>7</v>
      </c>
      <c r="V356" s="92">
        <v>7</v>
      </c>
      <c r="W356" s="92">
        <v>8</v>
      </c>
      <c r="X356" s="92">
        <v>8</v>
      </c>
      <c r="Y356" s="92">
        <v>8</v>
      </c>
      <c r="Z356" s="92">
        <v>9</v>
      </c>
      <c r="AA356" s="92">
        <v>9</v>
      </c>
      <c r="AB356" s="92">
        <v>9</v>
      </c>
      <c r="AC356" s="92">
        <v>10</v>
      </c>
      <c r="AD356" s="92">
        <v>10</v>
      </c>
      <c r="AE356" s="92">
        <v>10</v>
      </c>
      <c r="AF356" s="92">
        <v>10</v>
      </c>
      <c r="AG356" s="92">
        <v>10</v>
      </c>
      <c r="AH356" s="92">
        <v>10</v>
      </c>
      <c r="AI356" s="92" t="s">
        <v>301</v>
      </c>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2"/>
      <c r="BL356" s="92"/>
      <c r="BM356" s="92"/>
      <c r="BN356" s="92"/>
      <c r="BO356" s="92"/>
      <c r="BP356" s="92"/>
      <c r="BQ356" s="92"/>
      <c r="BR356" s="92"/>
      <c r="BS356" s="92"/>
      <c r="BT356" s="92"/>
      <c r="BU356" s="92"/>
      <c r="BV356" s="92"/>
      <c r="BW356" s="92"/>
      <c r="BX356" s="92"/>
      <c r="BY356" s="92"/>
      <c r="BZ356" s="92"/>
      <c r="CA356" s="92"/>
      <c r="CB356" s="92"/>
    </row>
    <row r="357" spans="1:80" ht="12.75" customHeight="1">
      <c r="A357" s="92"/>
      <c r="B357" s="92"/>
      <c r="C357" s="92"/>
      <c r="D357" s="92"/>
      <c r="E357" s="92"/>
      <c r="F357" s="92">
        <v>5</v>
      </c>
      <c r="G357" s="93" t="s">
        <v>309</v>
      </c>
      <c r="H357" s="92">
        <v>1</v>
      </c>
      <c r="I357" s="92">
        <v>1</v>
      </c>
      <c r="J357" s="92">
        <v>1</v>
      </c>
      <c r="K357" s="92">
        <v>1</v>
      </c>
      <c r="L357" s="92">
        <v>2</v>
      </c>
      <c r="M357" s="92">
        <v>2</v>
      </c>
      <c r="N357" s="92">
        <v>3</v>
      </c>
      <c r="O357" s="92">
        <v>3</v>
      </c>
      <c r="P357" s="92">
        <v>4</v>
      </c>
      <c r="Q357" s="92">
        <v>4</v>
      </c>
      <c r="R357" s="92">
        <v>5</v>
      </c>
      <c r="S357" s="92">
        <v>5</v>
      </c>
      <c r="T357" s="92">
        <v>5</v>
      </c>
      <c r="U357" s="92">
        <v>6</v>
      </c>
      <c r="V357" s="92">
        <v>6</v>
      </c>
      <c r="W357" s="92">
        <v>6</v>
      </c>
      <c r="X357" s="92">
        <v>7</v>
      </c>
      <c r="Y357" s="92">
        <v>7</v>
      </c>
      <c r="Z357" s="92">
        <v>7</v>
      </c>
      <c r="AA357" s="92">
        <v>8</v>
      </c>
      <c r="AB357" s="92">
        <v>8</v>
      </c>
      <c r="AC357" s="92">
        <v>9</v>
      </c>
      <c r="AD357" s="92">
        <v>9</v>
      </c>
      <c r="AE357" s="92">
        <v>10</v>
      </c>
      <c r="AF357" s="92">
        <v>10</v>
      </c>
      <c r="AG357" s="92">
        <v>10</v>
      </c>
      <c r="AH357" s="92">
        <v>10</v>
      </c>
      <c r="AI357" s="92" t="s">
        <v>301</v>
      </c>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2"/>
      <c r="BL357" s="92"/>
      <c r="BM357" s="92"/>
      <c r="BN357" s="92"/>
      <c r="BO357" s="92"/>
      <c r="BP357" s="92"/>
      <c r="BQ357" s="92"/>
      <c r="BR357" s="92"/>
      <c r="BS357" s="92"/>
      <c r="BT357" s="92"/>
      <c r="BU357" s="92"/>
      <c r="BV357" s="92"/>
      <c r="BW357" s="92"/>
      <c r="BX357" s="92"/>
      <c r="BY357" s="92"/>
      <c r="BZ357" s="92"/>
      <c r="CA357" s="92"/>
      <c r="CB357" s="92"/>
    </row>
    <row r="358" spans="1:80" ht="12.75" customHeight="1">
      <c r="A358" s="92"/>
      <c r="B358" s="92"/>
      <c r="C358" s="92"/>
      <c r="D358" s="92"/>
      <c r="E358" s="92"/>
      <c r="F358" s="92">
        <v>6</v>
      </c>
      <c r="G358" s="93" t="s">
        <v>311</v>
      </c>
      <c r="H358" s="92">
        <v>1</v>
      </c>
      <c r="I358" s="92">
        <v>1</v>
      </c>
      <c r="J358" s="92">
        <v>1</v>
      </c>
      <c r="K358" s="92">
        <v>2</v>
      </c>
      <c r="L358" s="92">
        <v>2</v>
      </c>
      <c r="M358" s="92">
        <v>3</v>
      </c>
      <c r="N358" s="92">
        <v>3</v>
      </c>
      <c r="O358" s="92">
        <v>3</v>
      </c>
      <c r="P358" s="92">
        <v>4</v>
      </c>
      <c r="Q358" s="92">
        <v>4</v>
      </c>
      <c r="R358" s="92">
        <v>5</v>
      </c>
      <c r="S358" s="92">
        <v>5</v>
      </c>
      <c r="T358" s="92">
        <v>6</v>
      </c>
      <c r="U358" s="92">
        <v>6</v>
      </c>
      <c r="V358" s="92">
        <v>7</v>
      </c>
      <c r="W358" s="92">
        <v>7</v>
      </c>
      <c r="X358" s="92">
        <v>7</v>
      </c>
      <c r="Y358" s="92">
        <v>8</v>
      </c>
      <c r="Z358" s="92">
        <v>8</v>
      </c>
      <c r="AA358" s="92">
        <v>9</v>
      </c>
      <c r="AB358" s="92">
        <v>9</v>
      </c>
      <c r="AC358" s="92">
        <v>10</v>
      </c>
      <c r="AD358" s="92">
        <v>10</v>
      </c>
      <c r="AE358" s="92">
        <v>10</v>
      </c>
      <c r="AF358" s="92">
        <v>10</v>
      </c>
      <c r="AG358" s="92">
        <v>10</v>
      </c>
      <c r="AH358" s="92">
        <v>10</v>
      </c>
      <c r="AI358" s="92" t="s">
        <v>301</v>
      </c>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2"/>
      <c r="BL358" s="92"/>
      <c r="BM358" s="92"/>
      <c r="BN358" s="92"/>
      <c r="BO358" s="92"/>
      <c r="BP358" s="92"/>
      <c r="BQ358" s="92"/>
      <c r="BR358" s="92"/>
      <c r="BS358" s="92"/>
      <c r="BT358" s="92"/>
      <c r="BU358" s="92"/>
      <c r="BV358" s="92"/>
      <c r="BW358" s="92"/>
      <c r="BX358" s="92"/>
      <c r="BY358" s="92"/>
      <c r="BZ358" s="92"/>
      <c r="CA358" s="92"/>
      <c r="CB358" s="92"/>
    </row>
    <row r="359" spans="1:80" ht="12.75" customHeight="1">
      <c r="A359" s="92"/>
      <c r="B359" s="92"/>
      <c r="C359" s="92"/>
      <c r="D359" s="92"/>
      <c r="E359" s="92"/>
      <c r="F359" s="92">
        <v>7</v>
      </c>
      <c r="G359" s="93" t="s">
        <v>313</v>
      </c>
      <c r="H359" s="92">
        <v>1</v>
      </c>
      <c r="I359" s="92">
        <v>1</v>
      </c>
      <c r="J359" s="92">
        <v>1</v>
      </c>
      <c r="K359" s="92">
        <v>1</v>
      </c>
      <c r="L359" s="92">
        <v>2</v>
      </c>
      <c r="M359" s="92">
        <v>2</v>
      </c>
      <c r="N359" s="92">
        <v>2</v>
      </c>
      <c r="O359" s="92">
        <v>3</v>
      </c>
      <c r="P359" s="92">
        <v>3</v>
      </c>
      <c r="Q359" s="92">
        <v>3</v>
      </c>
      <c r="R359" s="92">
        <v>4</v>
      </c>
      <c r="S359" s="92">
        <v>4</v>
      </c>
      <c r="T359" s="92">
        <v>5</v>
      </c>
      <c r="U359" s="92">
        <v>5</v>
      </c>
      <c r="V359" s="92">
        <v>5</v>
      </c>
      <c r="W359" s="92">
        <v>6</v>
      </c>
      <c r="X359" s="92">
        <v>6</v>
      </c>
      <c r="Y359" s="92">
        <v>7</v>
      </c>
      <c r="Z359" s="92">
        <v>7</v>
      </c>
      <c r="AA359" s="92">
        <v>8</v>
      </c>
      <c r="AB359" s="92">
        <v>8</v>
      </c>
      <c r="AC359" s="92">
        <v>9</v>
      </c>
      <c r="AD359" s="92">
        <v>9</v>
      </c>
      <c r="AE359" s="92">
        <v>10</v>
      </c>
      <c r="AF359" s="92">
        <v>10</v>
      </c>
      <c r="AG359" s="92">
        <v>10</v>
      </c>
      <c r="AH359" s="92">
        <v>10</v>
      </c>
      <c r="AI359" s="92" t="s">
        <v>301</v>
      </c>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2"/>
      <c r="BL359" s="92"/>
      <c r="BM359" s="92"/>
      <c r="BN359" s="92"/>
      <c r="BO359" s="92"/>
      <c r="BP359" s="92"/>
      <c r="BQ359" s="92"/>
      <c r="BR359" s="92"/>
      <c r="BS359" s="92"/>
      <c r="BT359" s="92"/>
      <c r="BU359" s="92"/>
      <c r="BV359" s="92"/>
      <c r="BW359" s="92"/>
      <c r="BX359" s="92"/>
      <c r="BY359" s="92"/>
      <c r="BZ359" s="92"/>
      <c r="CA359" s="92"/>
      <c r="CB359" s="92"/>
    </row>
    <row r="360" spans="1:80" ht="12.75" customHeight="1">
      <c r="A360" s="92"/>
      <c r="B360" s="92"/>
      <c r="C360" s="92"/>
      <c r="D360" s="92"/>
      <c r="E360" s="92"/>
      <c r="F360" s="92">
        <v>8</v>
      </c>
      <c r="G360" s="93" t="s">
        <v>315</v>
      </c>
      <c r="H360" s="92">
        <v>1</v>
      </c>
      <c r="I360" s="92">
        <v>2</v>
      </c>
      <c r="J360" s="92">
        <v>3</v>
      </c>
      <c r="K360" s="92">
        <v>3</v>
      </c>
      <c r="L360" s="92">
        <v>4</v>
      </c>
      <c r="M360" s="92">
        <v>4</v>
      </c>
      <c r="N360" s="92">
        <v>5</v>
      </c>
      <c r="O360" s="92">
        <v>5</v>
      </c>
      <c r="P360" s="92">
        <v>6</v>
      </c>
      <c r="Q360" s="92">
        <v>6</v>
      </c>
      <c r="R360" s="92">
        <v>7</v>
      </c>
      <c r="S360" s="92">
        <v>7</v>
      </c>
      <c r="T360" s="92">
        <v>8</v>
      </c>
      <c r="U360" s="92">
        <v>8</v>
      </c>
      <c r="V360" s="92">
        <v>8</v>
      </c>
      <c r="W360" s="92">
        <v>9</v>
      </c>
      <c r="X360" s="92">
        <v>9</v>
      </c>
      <c r="Y360" s="92">
        <v>10</v>
      </c>
      <c r="Z360" s="92">
        <v>10</v>
      </c>
      <c r="AA360" s="92">
        <v>10</v>
      </c>
      <c r="AB360" s="92">
        <v>10</v>
      </c>
      <c r="AC360" s="92">
        <v>10</v>
      </c>
      <c r="AD360" s="92">
        <v>10</v>
      </c>
      <c r="AE360" s="92">
        <v>10</v>
      </c>
      <c r="AF360" s="92">
        <v>10</v>
      </c>
      <c r="AG360" s="92">
        <v>10</v>
      </c>
      <c r="AH360" s="92">
        <v>10</v>
      </c>
      <c r="AI360" s="92" t="s">
        <v>301</v>
      </c>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2"/>
      <c r="BL360" s="92"/>
      <c r="BM360" s="92"/>
      <c r="BN360" s="92"/>
      <c r="BO360" s="92"/>
      <c r="BP360" s="92"/>
      <c r="BQ360" s="92"/>
      <c r="BR360" s="92"/>
      <c r="BS360" s="92"/>
      <c r="BT360" s="92"/>
      <c r="BU360" s="92"/>
      <c r="BV360" s="92"/>
      <c r="BW360" s="92"/>
      <c r="BX360" s="92"/>
      <c r="BY360" s="92"/>
      <c r="BZ360" s="92"/>
      <c r="CA360" s="92"/>
      <c r="CB360" s="92"/>
    </row>
    <row r="361" spans="1:80" ht="12.75" customHeight="1">
      <c r="A361" s="92"/>
      <c r="B361" s="92"/>
      <c r="C361" s="92"/>
      <c r="D361" s="92"/>
      <c r="E361" s="92"/>
      <c r="F361" s="92">
        <v>9</v>
      </c>
      <c r="G361" s="93" t="s">
        <v>318</v>
      </c>
      <c r="H361" s="92">
        <v>1</v>
      </c>
      <c r="I361" s="92">
        <v>2</v>
      </c>
      <c r="J361" s="92">
        <v>3</v>
      </c>
      <c r="K361" s="92">
        <v>3</v>
      </c>
      <c r="L361" s="92">
        <v>4</v>
      </c>
      <c r="M361" s="92">
        <v>4</v>
      </c>
      <c r="N361" s="92">
        <v>5</v>
      </c>
      <c r="O361" s="92">
        <v>5</v>
      </c>
      <c r="P361" s="92">
        <v>6</v>
      </c>
      <c r="Q361" s="92">
        <v>6</v>
      </c>
      <c r="R361" s="92">
        <v>7</v>
      </c>
      <c r="S361" s="92">
        <v>8</v>
      </c>
      <c r="T361" s="92">
        <v>8</v>
      </c>
      <c r="U361" s="92">
        <v>9</v>
      </c>
      <c r="V361" s="92">
        <v>9</v>
      </c>
      <c r="W361" s="92">
        <v>10</v>
      </c>
      <c r="X361" s="92">
        <v>10</v>
      </c>
      <c r="Y361" s="92">
        <v>10</v>
      </c>
      <c r="Z361" s="92">
        <v>10</v>
      </c>
      <c r="AA361" s="92">
        <v>10</v>
      </c>
      <c r="AB361" s="92">
        <v>10</v>
      </c>
      <c r="AC361" s="92">
        <v>10</v>
      </c>
      <c r="AD361" s="92">
        <v>10</v>
      </c>
      <c r="AE361" s="92">
        <v>10</v>
      </c>
      <c r="AF361" s="92">
        <v>10</v>
      </c>
      <c r="AG361" s="92">
        <v>10</v>
      </c>
      <c r="AH361" s="92">
        <v>10</v>
      </c>
      <c r="AI361" s="92" t="s">
        <v>301</v>
      </c>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2"/>
      <c r="BL361" s="92"/>
      <c r="BM361" s="92"/>
      <c r="BN361" s="92"/>
      <c r="BO361" s="92"/>
      <c r="BP361" s="92"/>
      <c r="BQ361" s="92"/>
      <c r="BR361" s="92"/>
      <c r="BS361" s="92"/>
      <c r="BT361" s="92"/>
      <c r="BU361" s="92"/>
      <c r="BV361" s="92"/>
      <c r="BW361" s="92"/>
      <c r="BX361" s="92"/>
      <c r="BY361" s="92"/>
      <c r="BZ361" s="92"/>
      <c r="CA361" s="92"/>
      <c r="CB361" s="92"/>
    </row>
    <row r="362" spans="1:80" ht="12.75" customHeight="1">
      <c r="A362" s="92"/>
      <c r="B362" s="92"/>
      <c r="C362" s="92"/>
      <c r="D362" s="92"/>
      <c r="E362" s="92"/>
      <c r="F362" s="92">
        <v>10</v>
      </c>
      <c r="G362" s="93" t="s">
        <v>320</v>
      </c>
      <c r="H362" s="92">
        <v>1</v>
      </c>
      <c r="I362" s="92">
        <v>2</v>
      </c>
      <c r="J362" s="92">
        <v>3</v>
      </c>
      <c r="K362" s="92">
        <v>3</v>
      </c>
      <c r="L362" s="92">
        <v>4</v>
      </c>
      <c r="M362" s="92">
        <v>4</v>
      </c>
      <c r="N362" s="92">
        <v>5</v>
      </c>
      <c r="O362" s="92">
        <v>5</v>
      </c>
      <c r="P362" s="92">
        <v>6</v>
      </c>
      <c r="Q362" s="92">
        <v>6</v>
      </c>
      <c r="R362" s="92">
        <v>7</v>
      </c>
      <c r="S362" s="92">
        <v>7</v>
      </c>
      <c r="T362" s="92">
        <v>8</v>
      </c>
      <c r="U362" s="92">
        <v>8</v>
      </c>
      <c r="V362" s="92">
        <v>8</v>
      </c>
      <c r="W362" s="92">
        <v>9</v>
      </c>
      <c r="X362" s="92">
        <v>9</v>
      </c>
      <c r="Y362" s="92">
        <v>10</v>
      </c>
      <c r="Z362" s="92">
        <v>10</v>
      </c>
      <c r="AA362" s="92">
        <v>10</v>
      </c>
      <c r="AB362" s="92">
        <v>10</v>
      </c>
      <c r="AC362" s="92">
        <v>10</v>
      </c>
      <c r="AD362" s="92">
        <v>10</v>
      </c>
      <c r="AE362" s="92">
        <v>10</v>
      </c>
      <c r="AF362" s="92">
        <v>10</v>
      </c>
      <c r="AG362" s="92">
        <v>10</v>
      </c>
      <c r="AH362" s="92">
        <v>10</v>
      </c>
      <c r="AI362" s="92" t="s">
        <v>301</v>
      </c>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2"/>
      <c r="BL362" s="92"/>
      <c r="BM362" s="92"/>
      <c r="BN362" s="92"/>
      <c r="BO362" s="92"/>
      <c r="BP362" s="92"/>
      <c r="BQ362" s="92"/>
      <c r="BR362" s="92"/>
      <c r="BS362" s="92"/>
      <c r="BT362" s="92"/>
      <c r="BU362" s="92"/>
      <c r="BV362" s="92"/>
      <c r="BW362" s="92"/>
      <c r="BX362" s="92"/>
      <c r="BY362" s="92"/>
      <c r="BZ362" s="92"/>
      <c r="CA362" s="92"/>
      <c r="CB362" s="92"/>
    </row>
    <row r="363" spans="1:80" ht="12.75" customHeight="1">
      <c r="A363" s="92"/>
      <c r="B363" s="92"/>
      <c r="C363" s="92"/>
      <c r="D363" s="92"/>
      <c r="E363" s="92"/>
      <c r="F363" s="92">
        <v>11</v>
      </c>
      <c r="G363" s="93" t="s">
        <v>322</v>
      </c>
      <c r="H363" s="92">
        <v>1</v>
      </c>
      <c r="I363" s="92">
        <v>2</v>
      </c>
      <c r="J363" s="92">
        <v>2</v>
      </c>
      <c r="K363" s="92">
        <v>3</v>
      </c>
      <c r="L363" s="92">
        <v>3</v>
      </c>
      <c r="M363" s="92">
        <v>4</v>
      </c>
      <c r="N363" s="92">
        <v>4</v>
      </c>
      <c r="O363" s="92">
        <v>5</v>
      </c>
      <c r="P363" s="92">
        <v>5</v>
      </c>
      <c r="Q363" s="92">
        <v>5</v>
      </c>
      <c r="R363" s="92">
        <v>6</v>
      </c>
      <c r="S363" s="92">
        <v>6</v>
      </c>
      <c r="T363" s="92">
        <v>7</v>
      </c>
      <c r="U363" s="92">
        <v>7</v>
      </c>
      <c r="V363" s="92">
        <v>8</v>
      </c>
      <c r="W363" s="92">
        <v>8</v>
      </c>
      <c r="X363" s="92">
        <v>9</v>
      </c>
      <c r="Y363" s="92">
        <v>9</v>
      </c>
      <c r="Z363" s="92">
        <v>10</v>
      </c>
      <c r="AA363" s="92">
        <v>10</v>
      </c>
      <c r="AB363" s="92">
        <v>10</v>
      </c>
      <c r="AC363" s="92">
        <v>10</v>
      </c>
      <c r="AD363" s="92">
        <v>10</v>
      </c>
      <c r="AE363" s="92">
        <v>10</v>
      </c>
      <c r="AF363" s="92">
        <v>10</v>
      </c>
      <c r="AG363" s="92">
        <v>10</v>
      </c>
      <c r="AH363" s="92">
        <v>10</v>
      </c>
      <c r="AI363" s="92" t="s">
        <v>301</v>
      </c>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2"/>
      <c r="BL363" s="92"/>
      <c r="BM363" s="92"/>
      <c r="BN363" s="92"/>
      <c r="BO363" s="92"/>
      <c r="BP363" s="92"/>
      <c r="BQ363" s="92"/>
      <c r="BR363" s="92"/>
      <c r="BS363" s="92"/>
      <c r="BT363" s="92"/>
      <c r="BU363" s="92"/>
      <c r="BV363" s="92"/>
      <c r="BW363" s="92"/>
      <c r="BX363" s="92"/>
      <c r="BY363" s="92"/>
      <c r="BZ363" s="92"/>
      <c r="CA363" s="92"/>
      <c r="CB363" s="92"/>
    </row>
    <row r="364" spans="1:80" ht="12.75" customHeight="1">
      <c r="A364" s="92"/>
      <c r="B364" s="92"/>
      <c r="C364" s="92"/>
      <c r="D364" s="92"/>
      <c r="E364" s="92"/>
      <c r="F364" s="92">
        <v>12</v>
      </c>
      <c r="G364" s="93" t="s">
        <v>324</v>
      </c>
      <c r="H364" s="92">
        <v>1</v>
      </c>
      <c r="I364" s="92">
        <v>2</v>
      </c>
      <c r="J364" s="92">
        <v>3</v>
      </c>
      <c r="K364" s="92">
        <v>4</v>
      </c>
      <c r="L364" s="92">
        <v>4</v>
      </c>
      <c r="M364" s="92">
        <v>5</v>
      </c>
      <c r="N364" s="92">
        <v>5</v>
      </c>
      <c r="O364" s="92">
        <v>6</v>
      </c>
      <c r="P364" s="92">
        <v>6</v>
      </c>
      <c r="Q364" s="92">
        <v>6</v>
      </c>
      <c r="R364" s="92">
        <v>7</v>
      </c>
      <c r="S364" s="92">
        <v>7</v>
      </c>
      <c r="T364" s="92">
        <v>7</v>
      </c>
      <c r="U364" s="92">
        <v>8</v>
      </c>
      <c r="V364" s="92">
        <v>8</v>
      </c>
      <c r="W364" s="92">
        <v>9</v>
      </c>
      <c r="X364" s="92">
        <v>9</v>
      </c>
      <c r="Y364" s="92">
        <v>9</v>
      </c>
      <c r="Z364" s="92">
        <v>10</v>
      </c>
      <c r="AA364" s="92">
        <v>10</v>
      </c>
      <c r="AB364" s="92">
        <v>10</v>
      </c>
      <c r="AC364" s="92">
        <v>10</v>
      </c>
      <c r="AD364" s="92">
        <v>10</v>
      </c>
      <c r="AE364" s="92">
        <v>10</v>
      </c>
      <c r="AF364" s="92">
        <v>10</v>
      </c>
      <c r="AG364" s="92">
        <v>10</v>
      </c>
      <c r="AH364" s="92">
        <v>10</v>
      </c>
      <c r="AI364" s="92" t="s">
        <v>301</v>
      </c>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2"/>
      <c r="BL364" s="92"/>
      <c r="BM364" s="92"/>
      <c r="BN364" s="92"/>
      <c r="BO364" s="92"/>
      <c r="BP364" s="92"/>
      <c r="BQ364" s="92"/>
      <c r="BR364" s="92"/>
      <c r="BS364" s="92"/>
      <c r="BT364" s="92"/>
      <c r="BU364" s="92"/>
      <c r="BV364" s="92"/>
      <c r="BW364" s="92"/>
      <c r="BX364" s="92"/>
      <c r="BY364" s="92"/>
      <c r="BZ364" s="92"/>
      <c r="CA364" s="92"/>
      <c r="CB364" s="92"/>
    </row>
    <row r="365" spans="1:80" ht="12.75" customHeight="1">
      <c r="A365" s="92"/>
      <c r="B365" s="92"/>
      <c r="C365" s="92"/>
      <c r="D365" s="92"/>
      <c r="E365" s="92"/>
      <c r="F365" s="92">
        <v>13</v>
      </c>
      <c r="G365" s="93" t="s">
        <v>326</v>
      </c>
      <c r="H365" s="92">
        <v>1</v>
      </c>
      <c r="I365" s="92">
        <v>1</v>
      </c>
      <c r="J365" s="92">
        <v>2</v>
      </c>
      <c r="K365" s="92">
        <v>2</v>
      </c>
      <c r="L365" s="92">
        <v>2</v>
      </c>
      <c r="M365" s="92">
        <v>3</v>
      </c>
      <c r="N365" s="92">
        <v>3</v>
      </c>
      <c r="O365" s="92">
        <v>3</v>
      </c>
      <c r="P365" s="92">
        <v>4</v>
      </c>
      <c r="Q365" s="92">
        <v>4</v>
      </c>
      <c r="R365" s="92">
        <v>4</v>
      </c>
      <c r="S365" s="92">
        <v>5</v>
      </c>
      <c r="T365" s="92">
        <v>5</v>
      </c>
      <c r="U365" s="92">
        <v>5</v>
      </c>
      <c r="V365" s="92">
        <v>6</v>
      </c>
      <c r="W365" s="92">
        <v>6</v>
      </c>
      <c r="X365" s="92">
        <v>7</v>
      </c>
      <c r="Y365" s="92">
        <v>7</v>
      </c>
      <c r="Z365" s="92">
        <v>7</v>
      </c>
      <c r="AA365" s="92">
        <v>8</v>
      </c>
      <c r="AB365" s="92">
        <v>8</v>
      </c>
      <c r="AC365" s="92">
        <v>8</v>
      </c>
      <c r="AD365" s="92">
        <v>9</v>
      </c>
      <c r="AE365" s="92">
        <v>9</v>
      </c>
      <c r="AF365" s="92">
        <v>10</v>
      </c>
      <c r="AG365" s="92">
        <v>10</v>
      </c>
      <c r="AH365" s="92">
        <v>10</v>
      </c>
      <c r="AI365" s="92" t="s">
        <v>301</v>
      </c>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2"/>
      <c r="BL365" s="92"/>
      <c r="BM365" s="92"/>
      <c r="BN365" s="92"/>
      <c r="BO365" s="92"/>
      <c r="BP365" s="92"/>
      <c r="BQ365" s="92"/>
      <c r="BR365" s="92"/>
      <c r="BS365" s="92"/>
      <c r="BT365" s="92"/>
      <c r="BU365" s="92"/>
      <c r="BV365" s="92"/>
      <c r="BW365" s="92"/>
      <c r="BX365" s="92"/>
      <c r="BY365" s="92"/>
      <c r="BZ365" s="92"/>
      <c r="CA365" s="92"/>
      <c r="CB365" s="92"/>
    </row>
    <row r="366" spans="1:80" ht="12.75" customHeight="1">
      <c r="A366" s="92"/>
      <c r="B366" s="92"/>
      <c r="C366" s="92"/>
      <c r="D366" s="92"/>
      <c r="E366" s="92"/>
      <c r="F366" s="92">
        <v>14</v>
      </c>
      <c r="G366" s="93" t="s">
        <v>328</v>
      </c>
      <c r="H366" s="92">
        <v>1</v>
      </c>
      <c r="I366" s="92">
        <v>1</v>
      </c>
      <c r="J366" s="92">
        <v>1</v>
      </c>
      <c r="K366" s="92">
        <v>1</v>
      </c>
      <c r="L366" s="92">
        <v>1</v>
      </c>
      <c r="M366" s="92">
        <v>2</v>
      </c>
      <c r="N366" s="92">
        <v>3</v>
      </c>
      <c r="O366" s="92">
        <v>3</v>
      </c>
      <c r="P366" s="92">
        <v>3</v>
      </c>
      <c r="Q366" s="92">
        <v>4</v>
      </c>
      <c r="R366" s="92">
        <v>4</v>
      </c>
      <c r="S366" s="92">
        <v>4</v>
      </c>
      <c r="T366" s="92">
        <v>5</v>
      </c>
      <c r="U366" s="92">
        <v>5</v>
      </c>
      <c r="V366" s="92">
        <v>6</v>
      </c>
      <c r="W366" s="92">
        <v>6</v>
      </c>
      <c r="X366" s="92">
        <v>7</v>
      </c>
      <c r="Y366" s="92">
        <v>7</v>
      </c>
      <c r="Z366" s="92">
        <v>8</v>
      </c>
      <c r="AA366" s="92">
        <v>8</v>
      </c>
      <c r="AB366" s="92">
        <v>9</v>
      </c>
      <c r="AC366" s="92">
        <v>10</v>
      </c>
      <c r="AD366" s="92">
        <v>10</v>
      </c>
      <c r="AE366" s="92">
        <v>10</v>
      </c>
      <c r="AF366" s="92">
        <v>10</v>
      </c>
      <c r="AG366" s="92">
        <v>10</v>
      </c>
      <c r="AH366" s="92">
        <v>10</v>
      </c>
      <c r="AI366" s="92" t="s">
        <v>301</v>
      </c>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2"/>
      <c r="BL366" s="92"/>
      <c r="BM366" s="92"/>
      <c r="BN366" s="92"/>
      <c r="BO366" s="92"/>
      <c r="BP366" s="92"/>
      <c r="BQ366" s="92"/>
      <c r="BR366" s="92"/>
      <c r="BS366" s="92"/>
      <c r="BT366" s="92"/>
      <c r="BU366" s="92"/>
      <c r="BV366" s="92"/>
      <c r="BW366" s="92"/>
      <c r="BX366" s="92"/>
      <c r="BY366" s="92"/>
      <c r="BZ366" s="92"/>
      <c r="CA366" s="92"/>
      <c r="CB366" s="92"/>
    </row>
    <row r="367" spans="1:80" ht="12.75" customHeight="1">
      <c r="A367" s="92"/>
      <c r="B367" s="92"/>
      <c r="C367" s="92"/>
      <c r="D367" s="92"/>
      <c r="E367" s="92"/>
      <c r="F367" s="92">
        <v>15</v>
      </c>
      <c r="G367" s="93" t="s">
        <v>330</v>
      </c>
      <c r="H367" s="92">
        <v>1</v>
      </c>
      <c r="I367" s="92">
        <v>1</v>
      </c>
      <c r="J367" s="92">
        <v>1</v>
      </c>
      <c r="K367" s="92">
        <v>2</v>
      </c>
      <c r="L367" s="92">
        <v>2</v>
      </c>
      <c r="M367" s="92">
        <v>2</v>
      </c>
      <c r="N367" s="92">
        <v>2</v>
      </c>
      <c r="O367" s="92">
        <v>3</v>
      </c>
      <c r="P367" s="92">
        <v>3</v>
      </c>
      <c r="Q367" s="92">
        <v>4</v>
      </c>
      <c r="R367" s="92">
        <v>4</v>
      </c>
      <c r="S367" s="92">
        <v>4</v>
      </c>
      <c r="T367" s="92">
        <v>5</v>
      </c>
      <c r="U367" s="92">
        <v>5</v>
      </c>
      <c r="V367" s="92">
        <v>5</v>
      </c>
      <c r="W367" s="92">
        <v>6</v>
      </c>
      <c r="X367" s="92">
        <v>6</v>
      </c>
      <c r="Y367" s="92">
        <v>6</v>
      </c>
      <c r="Z367" s="92">
        <v>7</v>
      </c>
      <c r="AA367" s="92">
        <v>7</v>
      </c>
      <c r="AB367" s="92">
        <v>8</v>
      </c>
      <c r="AC367" s="92">
        <v>8</v>
      </c>
      <c r="AD367" s="92">
        <v>9</v>
      </c>
      <c r="AE367" s="92">
        <v>9</v>
      </c>
      <c r="AF367" s="92">
        <v>10</v>
      </c>
      <c r="AG367" s="92">
        <v>10</v>
      </c>
      <c r="AH367" s="92">
        <v>10</v>
      </c>
      <c r="AI367" s="92" t="s">
        <v>301</v>
      </c>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2"/>
      <c r="BL367" s="92"/>
      <c r="BM367" s="92"/>
      <c r="BN367" s="92"/>
      <c r="BO367" s="92"/>
      <c r="BP367" s="92"/>
      <c r="BQ367" s="92"/>
      <c r="BR367" s="92"/>
      <c r="BS367" s="92"/>
      <c r="BT367" s="92"/>
      <c r="BU367" s="92"/>
      <c r="BV367" s="92"/>
      <c r="BW367" s="92"/>
      <c r="BX367" s="92"/>
      <c r="BY367" s="92"/>
      <c r="BZ367" s="92"/>
      <c r="CA367" s="92"/>
      <c r="CB367" s="92"/>
    </row>
    <row r="368" spans="1:80" ht="12.75" customHeight="1">
      <c r="A368" s="92"/>
      <c r="B368" s="92"/>
      <c r="C368" s="92"/>
      <c r="D368" s="92"/>
      <c r="E368" s="92"/>
      <c r="F368" s="92">
        <v>16</v>
      </c>
      <c r="G368" s="93" t="s">
        <v>341</v>
      </c>
      <c r="H368" s="92">
        <v>3</v>
      </c>
      <c r="I368" s="92">
        <v>4</v>
      </c>
      <c r="J368" s="92">
        <v>4</v>
      </c>
      <c r="K368" s="92">
        <v>4</v>
      </c>
      <c r="L368" s="92">
        <v>5</v>
      </c>
      <c r="M368" s="92">
        <v>6</v>
      </c>
      <c r="N368" s="92">
        <v>6</v>
      </c>
      <c r="O368" s="92">
        <v>6</v>
      </c>
      <c r="P368" s="92">
        <v>6</v>
      </c>
      <c r="Q368" s="92">
        <v>7</v>
      </c>
      <c r="R368" s="92">
        <v>7</v>
      </c>
      <c r="S368" s="92">
        <v>7</v>
      </c>
      <c r="T368" s="92">
        <v>7</v>
      </c>
      <c r="U368" s="92">
        <v>8</v>
      </c>
      <c r="V368" s="92">
        <v>8</v>
      </c>
      <c r="W368" s="92">
        <v>8</v>
      </c>
      <c r="X368" s="92">
        <v>9</v>
      </c>
      <c r="Y368" s="92">
        <v>9</v>
      </c>
      <c r="Z368" s="92">
        <v>10</v>
      </c>
      <c r="AA368" s="92">
        <v>10</v>
      </c>
      <c r="AB368" s="92">
        <v>10</v>
      </c>
      <c r="AC368" s="92" t="s">
        <v>301</v>
      </c>
      <c r="AD368" s="92" t="s">
        <v>301</v>
      </c>
      <c r="AE368" s="92" t="s">
        <v>301</v>
      </c>
      <c r="AF368" s="92" t="s">
        <v>301</v>
      </c>
      <c r="AG368" s="92" t="s">
        <v>301</v>
      </c>
      <c r="AH368" s="92" t="s">
        <v>301</v>
      </c>
      <c r="AI368" s="92" t="s">
        <v>301</v>
      </c>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2"/>
      <c r="BL368" s="92"/>
      <c r="BM368" s="92"/>
      <c r="BN368" s="92"/>
      <c r="BO368" s="92"/>
      <c r="BP368" s="92"/>
      <c r="BQ368" s="92"/>
      <c r="BR368" s="92"/>
      <c r="BS368" s="92"/>
      <c r="BT368" s="92"/>
      <c r="BU368" s="92"/>
      <c r="BV368" s="92"/>
      <c r="BW368" s="92"/>
      <c r="BX368" s="92"/>
      <c r="BY368" s="92"/>
      <c r="BZ368" s="92"/>
      <c r="CA368" s="92"/>
      <c r="CB368" s="92"/>
    </row>
    <row r="369" spans="1:80" ht="12.75" customHeight="1">
      <c r="A369" s="92"/>
      <c r="B369" s="92"/>
      <c r="C369" s="92"/>
      <c r="D369" s="92"/>
      <c r="E369" s="92"/>
      <c r="F369" s="92">
        <v>17</v>
      </c>
      <c r="G369" s="93" t="s">
        <v>343</v>
      </c>
      <c r="H369" s="92">
        <v>2</v>
      </c>
      <c r="I369" s="92">
        <v>3</v>
      </c>
      <c r="J369" s="92">
        <v>3</v>
      </c>
      <c r="K369" s="92">
        <v>4</v>
      </c>
      <c r="L369" s="92">
        <v>4</v>
      </c>
      <c r="M369" s="92">
        <v>4</v>
      </c>
      <c r="N369" s="92">
        <v>4</v>
      </c>
      <c r="O369" s="92">
        <v>4</v>
      </c>
      <c r="P369" s="92">
        <v>4</v>
      </c>
      <c r="Q369" s="92">
        <v>5</v>
      </c>
      <c r="R369" s="92">
        <v>6</v>
      </c>
      <c r="S369" s="92">
        <v>6</v>
      </c>
      <c r="T369" s="92">
        <v>6</v>
      </c>
      <c r="U369" s="92">
        <v>7</v>
      </c>
      <c r="V369" s="92">
        <v>7</v>
      </c>
      <c r="W369" s="92">
        <v>7</v>
      </c>
      <c r="X369" s="92">
        <v>8</v>
      </c>
      <c r="Y369" s="92">
        <v>8</v>
      </c>
      <c r="Z369" s="92">
        <v>9</v>
      </c>
      <c r="AA369" s="92">
        <v>9</v>
      </c>
      <c r="AB369" s="92">
        <v>10</v>
      </c>
      <c r="AC369" s="92" t="s">
        <v>301</v>
      </c>
      <c r="AD369" s="92" t="s">
        <v>301</v>
      </c>
      <c r="AE369" s="92" t="s">
        <v>301</v>
      </c>
      <c r="AF369" s="92" t="s">
        <v>301</v>
      </c>
      <c r="AG369" s="92" t="s">
        <v>301</v>
      </c>
      <c r="AH369" s="92" t="s">
        <v>301</v>
      </c>
      <c r="AI369" s="92" t="s">
        <v>301</v>
      </c>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2"/>
      <c r="BL369" s="92"/>
      <c r="BM369" s="92"/>
      <c r="BN369" s="92"/>
      <c r="BO369" s="92"/>
      <c r="BP369" s="92"/>
      <c r="BQ369" s="92"/>
      <c r="BR369" s="92"/>
      <c r="BS369" s="92"/>
      <c r="BT369" s="92"/>
      <c r="BU369" s="92"/>
      <c r="BV369" s="92"/>
      <c r="BW369" s="92"/>
      <c r="BX369" s="92"/>
      <c r="BY369" s="92"/>
      <c r="BZ369" s="92"/>
      <c r="CA369" s="92"/>
      <c r="CB369" s="92"/>
    </row>
    <row r="370" spans="1:80" ht="12.75" customHeight="1">
      <c r="A370" s="92"/>
      <c r="B370" s="92"/>
      <c r="C370" s="92"/>
      <c r="D370" s="92"/>
      <c r="E370" s="92"/>
      <c r="F370" s="92">
        <v>18</v>
      </c>
      <c r="G370" s="93" t="s">
        <v>348</v>
      </c>
      <c r="H370" s="92">
        <v>3</v>
      </c>
      <c r="I370" s="92">
        <v>4</v>
      </c>
      <c r="J370" s="92">
        <v>4</v>
      </c>
      <c r="K370" s="92">
        <v>4</v>
      </c>
      <c r="L370" s="92">
        <v>4</v>
      </c>
      <c r="M370" s="92">
        <v>5</v>
      </c>
      <c r="N370" s="92">
        <v>6</v>
      </c>
      <c r="O370" s="92">
        <v>6</v>
      </c>
      <c r="P370" s="92">
        <v>6</v>
      </c>
      <c r="Q370" s="92">
        <v>6</v>
      </c>
      <c r="R370" s="92">
        <v>7</v>
      </c>
      <c r="S370" s="92">
        <v>7</v>
      </c>
      <c r="T370" s="92">
        <v>7</v>
      </c>
      <c r="U370" s="92">
        <v>7</v>
      </c>
      <c r="V370" s="92">
        <v>8</v>
      </c>
      <c r="W370" s="92">
        <v>8</v>
      </c>
      <c r="X370" s="92">
        <v>9</v>
      </c>
      <c r="Y370" s="92">
        <v>9</v>
      </c>
      <c r="Z370" s="92">
        <v>9</v>
      </c>
      <c r="AA370" s="92">
        <v>10</v>
      </c>
      <c r="AB370" s="92">
        <v>10</v>
      </c>
      <c r="AC370" s="92" t="s">
        <v>301</v>
      </c>
      <c r="AD370" s="92" t="s">
        <v>301</v>
      </c>
      <c r="AE370" s="92" t="s">
        <v>301</v>
      </c>
      <c r="AF370" s="92" t="s">
        <v>301</v>
      </c>
      <c r="AG370" s="92" t="s">
        <v>301</v>
      </c>
      <c r="AH370" s="92" t="s">
        <v>301</v>
      </c>
      <c r="AI370" s="92" t="s">
        <v>301</v>
      </c>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2"/>
      <c r="BL370" s="92"/>
      <c r="BM370" s="92"/>
      <c r="BN370" s="92"/>
      <c r="BO370" s="92"/>
      <c r="BP370" s="92"/>
      <c r="BQ370" s="92"/>
      <c r="BR370" s="92"/>
      <c r="BS370" s="92"/>
      <c r="BT370" s="92"/>
      <c r="BU370" s="92"/>
      <c r="BV370" s="92"/>
      <c r="BW370" s="92"/>
      <c r="BX370" s="92"/>
      <c r="BY370" s="92"/>
      <c r="BZ370" s="92"/>
      <c r="CA370" s="92"/>
      <c r="CB370" s="92"/>
    </row>
    <row r="371" spans="1:80" ht="12.75" customHeight="1">
      <c r="A371" s="92"/>
      <c r="B371" s="92"/>
      <c r="C371" s="92"/>
      <c r="D371" s="92"/>
      <c r="E371" s="92"/>
      <c r="F371" s="92"/>
      <c r="G371" s="93"/>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2"/>
      <c r="BL371" s="92"/>
      <c r="BM371" s="92"/>
      <c r="BN371" s="92"/>
      <c r="BO371" s="92"/>
      <c r="BP371" s="92"/>
      <c r="BQ371" s="92"/>
      <c r="BR371" s="92"/>
      <c r="BS371" s="92"/>
      <c r="BT371" s="92"/>
      <c r="BU371" s="92"/>
      <c r="BV371" s="92"/>
      <c r="BW371" s="92"/>
      <c r="BX371" s="92"/>
      <c r="BY371" s="92"/>
      <c r="BZ371" s="92"/>
      <c r="CA371" s="92"/>
      <c r="CB371" s="92"/>
    </row>
  </sheetData>
  <mergeCells count="2">
    <mergeCell ref="BD14:BE14"/>
    <mergeCell ref="BD15:BE15"/>
  </mergeCells>
  <conditionalFormatting sqref="C53 D59:D60">
    <cfRule type="cellIs" dxfId="8" priority="1" stopIfTrue="1" operator="between">
      <formula>1</formula>
      <formula>3</formula>
    </cfRule>
  </conditionalFormatting>
  <conditionalFormatting sqref="C53 D59:D60">
    <cfRule type="cellIs" dxfId="7" priority="2" stopIfTrue="1" operator="between">
      <formula>8</formula>
      <formula>10</formula>
    </cfRule>
  </conditionalFormatting>
  <conditionalFormatting sqref="C55">
    <cfRule type="cellIs" dxfId="6" priority="3" stopIfTrue="1" operator="between">
      <formula>1</formula>
      <formula>3</formula>
    </cfRule>
  </conditionalFormatting>
  <conditionalFormatting sqref="C55">
    <cfRule type="cellIs" dxfId="5" priority="4" stopIfTrue="1" operator="between">
      <formula>8</formula>
      <formula>10</formula>
    </cfRule>
  </conditionalFormatting>
  <conditionalFormatting sqref="D62">
    <cfRule type="cellIs" dxfId="4" priority="5" stopIfTrue="1" operator="between">
      <formula>1</formula>
      <formula>3</formula>
    </cfRule>
  </conditionalFormatting>
  <conditionalFormatting sqref="D62">
    <cfRule type="cellIs" dxfId="3" priority="6" stopIfTrue="1" operator="between">
      <formula>8</formula>
      <formula>10</formula>
    </cfRule>
  </conditionalFormatting>
  <conditionalFormatting sqref="BD14:BJ14 BD15:BE15">
    <cfRule type="expression" dxfId="2" priority="7" stopIfTrue="1">
      <formula>$G$4&gt;12</formula>
    </cfRule>
  </conditionalFormatting>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I4874"/>
  <sheetViews>
    <sheetView workbookViewId="0"/>
  </sheetViews>
  <sheetFormatPr baseColWidth="10" defaultColWidth="14.42578125" defaultRowHeight="15" customHeight="1"/>
  <cols>
    <col min="1" max="9" width="10.85546875" customWidth="1"/>
  </cols>
  <sheetData>
    <row r="1" spans="1:9" ht="12" customHeight="1">
      <c r="A1" s="127" t="s">
        <v>418</v>
      </c>
      <c r="B1" s="128" t="s">
        <v>3</v>
      </c>
      <c r="C1" s="129"/>
      <c r="H1" s="127" t="s">
        <v>419</v>
      </c>
      <c r="I1" s="127" t="s">
        <v>420</v>
      </c>
    </row>
    <row r="2" spans="1:9" ht="12" customHeight="1">
      <c r="A2" s="127" t="s">
        <v>5</v>
      </c>
      <c r="B2" s="130">
        <f>+A</f>
        <v>1</v>
      </c>
      <c r="C2" s="131"/>
      <c r="D2" s="127">
        <v>0.30499999999999999</v>
      </c>
      <c r="E2" s="127">
        <f t="shared" ref="E2:E17" si="0">+D2*B2</f>
        <v>0.30499999999999999</v>
      </c>
      <c r="H2" s="127">
        <v>-99</v>
      </c>
      <c r="I2" s="127">
        <v>0</v>
      </c>
    </row>
    <row r="3" spans="1:9" ht="12" customHeight="1">
      <c r="A3" s="127" t="s">
        <v>8</v>
      </c>
      <c r="B3" s="130">
        <f>+B</f>
        <v>1</v>
      </c>
      <c r="C3" s="132" t="str">
        <f t="shared" ref="C3:C4" si="1">+IF(B3&lt;=4,"INDICADOR CRÍTICO","")</f>
        <v>INDICADOR CRÍTICO</v>
      </c>
      <c r="D3" s="127">
        <v>0.113</v>
      </c>
      <c r="E3" s="127">
        <f t="shared" si="0"/>
        <v>0.113</v>
      </c>
      <c r="H3" s="133">
        <v>-3.6296998537121432</v>
      </c>
      <c r="I3" s="133">
        <v>2.8551117542349479E-5</v>
      </c>
    </row>
    <row r="4" spans="1:9" ht="12" customHeight="1">
      <c r="A4" s="127" t="s">
        <v>11</v>
      </c>
      <c r="B4" s="130">
        <f>+C_</f>
        <v>1</v>
      </c>
      <c r="C4" s="132" t="str">
        <f t="shared" si="1"/>
        <v>INDICADOR CRÍTICO</v>
      </c>
      <c r="D4" s="127">
        <v>-0.41199999999999998</v>
      </c>
      <c r="E4" s="127">
        <f t="shared" si="0"/>
        <v>-0.41199999999999998</v>
      </c>
      <c r="H4" s="133">
        <v>-3.6225985601782549</v>
      </c>
      <c r="I4" s="133">
        <v>2.9003251212311508E-5</v>
      </c>
    </row>
    <row r="5" spans="1:9" ht="12" customHeight="1">
      <c r="A5" s="127" t="s">
        <v>14</v>
      </c>
      <c r="B5" s="130">
        <f>+E</f>
        <v>1</v>
      </c>
      <c r="C5" s="131"/>
      <c r="D5" s="127">
        <v>-7.0999999999999994E-2</v>
      </c>
      <c r="E5" s="127">
        <f t="shared" si="0"/>
        <v>-7.0999999999999994E-2</v>
      </c>
      <c r="H5" s="133">
        <v>-3.2626592488175965</v>
      </c>
      <c r="I5" s="133">
        <v>6.4313761362358961E-5</v>
      </c>
    </row>
    <row r="6" spans="1:9" ht="12" customHeight="1">
      <c r="A6" s="127" t="s">
        <v>17</v>
      </c>
      <c r="B6" s="130">
        <f>+_F</f>
        <v>1</v>
      </c>
      <c r="C6" s="131"/>
      <c r="D6" s="127">
        <v>8.3000000000000004E-2</v>
      </c>
      <c r="E6" s="127">
        <f t="shared" si="0"/>
        <v>8.3000000000000004E-2</v>
      </c>
      <c r="H6" s="133">
        <v>-3.1337937820704318</v>
      </c>
      <c r="I6" s="133">
        <v>8.5531085487215415E-5</v>
      </c>
    </row>
    <row r="7" spans="1:9" ht="12" customHeight="1">
      <c r="A7" s="127" t="s">
        <v>20</v>
      </c>
      <c r="B7" s="130">
        <f>+G</f>
        <v>1</v>
      </c>
      <c r="C7" s="132" t="str">
        <f>+IF(B7&lt;=4,"INDICADOR CRÍTICO","")</f>
        <v>INDICADOR CRÍTICO</v>
      </c>
      <c r="D7" s="127">
        <v>0.18</v>
      </c>
      <c r="E7" s="127">
        <f t="shared" si="0"/>
        <v>0.18</v>
      </c>
      <c r="H7" s="133">
        <v>-2.9683668151028977</v>
      </c>
      <c r="I7" s="133">
        <v>1.2333021806031693E-4</v>
      </c>
    </row>
    <row r="8" spans="1:9" ht="12" customHeight="1">
      <c r="A8" s="127" t="s">
        <v>23</v>
      </c>
      <c r="B8" s="130">
        <f>+H</f>
        <v>1</v>
      </c>
      <c r="C8" s="131"/>
      <c r="D8" s="127">
        <v>0.32200000000000001</v>
      </c>
      <c r="E8" s="127">
        <f t="shared" si="0"/>
        <v>0.32200000000000001</v>
      </c>
      <c r="H8" s="133">
        <v>-2.9557996334117833</v>
      </c>
      <c r="I8" s="133">
        <v>1.2680723534201098E-4</v>
      </c>
    </row>
    <row r="9" spans="1:9" ht="12" customHeight="1">
      <c r="A9" s="127" t="s">
        <v>26</v>
      </c>
      <c r="B9" s="130">
        <f>+I</f>
        <v>1</v>
      </c>
      <c r="C9" s="132" t="str">
        <f>+IF(B9&lt;=4,"INDICADOR CRÍTICO","")</f>
        <v>INDICADOR CRÍTICO</v>
      </c>
      <c r="D9" s="127">
        <v>0.187</v>
      </c>
      <c r="E9" s="127">
        <f t="shared" si="0"/>
        <v>0.187</v>
      </c>
      <c r="H9" s="133">
        <v>-2.92549206735668</v>
      </c>
      <c r="I9" s="133">
        <v>1.3560113785376259E-4</v>
      </c>
    </row>
    <row r="10" spans="1:9" ht="12" customHeight="1">
      <c r="A10" s="127" t="s">
        <v>29</v>
      </c>
      <c r="B10" s="130">
        <f>+'PTI-16'!F15</f>
        <v>1</v>
      </c>
      <c r="C10" s="131"/>
      <c r="D10" s="127">
        <v>-0.19800000000000001</v>
      </c>
      <c r="E10" s="127">
        <f t="shared" si="0"/>
        <v>-0.19800000000000001</v>
      </c>
      <c r="H10" s="133">
        <v>-2.8570964201661768</v>
      </c>
      <c r="I10" s="133">
        <v>1.5775255297043235E-4</v>
      </c>
    </row>
    <row r="11" spans="1:9" ht="12" customHeight="1">
      <c r="A11" s="127" t="s">
        <v>32</v>
      </c>
      <c r="B11" s="130">
        <f>+M</f>
        <v>1</v>
      </c>
      <c r="C11" s="131"/>
      <c r="D11" s="127">
        <v>0.28199999999999997</v>
      </c>
      <c r="E11" s="127">
        <f t="shared" si="0"/>
        <v>0.28199999999999997</v>
      </c>
      <c r="H11" s="133">
        <v>-2.8273555925577352</v>
      </c>
      <c r="I11" s="133">
        <v>1.6848074175192723E-4</v>
      </c>
    </row>
    <row r="12" spans="1:9" ht="12" customHeight="1">
      <c r="A12" s="127" t="s">
        <v>35</v>
      </c>
      <c r="B12" s="130">
        <f>+N</f>
        <v>1</v>
      </c>
      <c r="C12" s="131"/>
      <c r="D12" s="127">
        <v>-0.31900000000000001</v>
      </c>
      <c r="E12" s="127">
        <f t="shared" si="0"/>
        <v>-0.31900000000000001</v>
      </c>
      <c r="H12" s="133">
        <v>-2.8087083829146575</v>
      </c>
      <c r="I12" s="133">
        <v>1.7557619939476772E-4</v>
      </c>
    </row>
    <row r="13" spans="1:9" ht="12" customHeight="1">
      <c r="A13" s="127" t="s">
        <v>38</v>
      </c>
      <c r="B13" s="130">
        <f>+O</f>
        <v>2</v>
      </c>
      <c r="C13" s="132" t="str">
        <f>+IF(B13&gt;=7,"INDICADOR CRÍTICO","")</f>
        <v/>
      </c>
      <c r="D13" s="127">
        <v>0.51500000000000001</v>
      </c>
      <c r="E13" s="127">
        <f t="shared" si="0"/>
        <v>1.03</v>
      </c>
      <c r="H13" s="133">
        <v>-2.7951549888110092</v>
      </c>
      <c r="I13" s="133">
        <v>1.809201911478077E-4</v>
      </c>
    </row>
    <row r="14" spans="1:9" ht="12" customHeight="1">
      <c r="A14" s="127" t="s">
        <v>41</v>
      </c>
      <c r="B14" s="130">
        <f>+Q1_</f>
        <v>1</v>
      </c>
      <c r="C14" s="131"/>
      <c r="D14" s="127">
        <v>0.223</v>
      </c>
      <c r="E14" s="127">
        <f t="shared" si="0"/>
        <v>0.223</v>
      </c>
      <c r="H14" s="133">
        <v>-2.7238323773694093</v>
      </c>
      <c r="I14" s="133">
        <v>2.1184043855789156E-4</v>
      </c>
    </row>
    <row r="15" spans="1:9" ht="12" customHeight="1">
      <c r="A15" s="127" t="s">
        <v>44</v>
      </c>
      <c r="B15" s="130">
        <f>+Q2_</f>
        <v>1</v>
      </c>
      <c r="C15" s="131"/>
      <c r="D15" s="127">
        <v>0.27900000000000003</v>
      </c>
      <c r="E15" s="127">
        <f t="shared" si="0"/>
        <v>0.27900000000000003</v>
      </c>
      <c r="H15" s="133">
        <v>-2.7027552661965655</v>
      </c>
      <c r="I15" s="133">
        <v>2.2195139225071047E-4</v>
      </c>
    </row>
    <row r="16" spans="1:9" ht="12" customHeight="1">
      <c r="A16" s="127" t="s">
        <v>47</v>
      </c>
      <c r="B16" s="130">
        <f>+Q3_</f>
        <v>1</v>
      </c>
      <c r="C16" s="131"/>
      <c r="D16" s="127">
        <v>-0.104</v>
      </c>
      <c r="E16" s="127">
        <f t="shared" si="0"/>
        <v>-0.104</v>
      </c>
      <c r="H16" s="133">
        <v>-2.6651685963878613</v>
      </c>
      <c r="I16" s="133">
        <v>2.411944241377502E-4</v>
      </c>
    </row>
    <row r="17" spans="1:9" ht="12" customHeight="1">
      <c r="A17" s="127" t="s">
        <v>50</v>
      </c>
      <c r="B17" s="130">
        <f>+Q4_</f>
        <v>2</v>
      </c>
      <c r="C17" s="132" t="str">
        <f>+IF(B17&gt;=7,"INDICADOR CRÍTICO","")</f>
        <v/>
      </c>
      <c r="D17" s="127">
        <v>-1.4E-2</v>
      </c>
      <c r="E17" s="127">
        <f t="shared" si="0"/>
        <v>-2.8000000000000001E-2</v>
      </c>
      <c r="H17" s="133">
        <v>-2.6594045989524742</v>
      </c>
      <c r="I17" s="133">
        <v>2.4428941780298781E-4</v>
      </c>
    </row>
    <row r="18" spans="1:9" ht="12" customHeight="1">
      <c r="A18" s="127" t="s">
        <v>421</v>
      </c>
      <c r="B18" s="129"/>
      <c r="E18" s="127">
        <v>-8.3279999999999994</v>
      </c>
      <c r="H18" s="133">
        <v>-2.6514645080769923</v>
      </c>
      <c r="I18" s="133">
        <v>2.4861799468587264E-4</v>
      </c>
    </row>
    <row r="19" spans="1:9" ht="12" customHeight="1">
      <c r="E19" s="127">
        <f>SUM(E2:E18)</f>
        <v>-6.4559999999999995</v>
      </c>
      <c r="F19" s="134" t="str">
        <f>+IF(E19&gt;=0,"Probabilidad de pertenencia perfil SEC","Probabilidad de pertenencia a perfil NO SEC")</f>
        <v>Probabilidad de pertenencia a perfil NO SEC</v>
      </c>
      <c r="H19" s="133">
        <v>-2.6287761868537074</v>
      </c>
      <c r="I19" s="133">
        <v>2.6141387929847279E-4</v>
      </c>
    </row>
    <row r="20" spans="1:9" ht="12" customHeight="1">
      <c r="D20" s="127" t="s">
        <v>422</v>
      </c>
      <c r="E20" s="127">
        <f>+INT(F20*10)</f>
        <v>0</v>
      </c>
      <c r="F20" s="135">
        <f>VLOOKUP(E19,H2:I4874,2,TRUE)</f>
        <v>0</v>
      </c>
      <c r="H20" s="133">
        <v>-2.6276033327455735</v>
      </c>
      <c r="I20" s="133">
        <v>2.6209296555807209E-4</v>
      </c>
    </row>
    <row r="21" spans="1:9" ht="12" customHeight="1">
      <c r="F21" s="127">
        <f>+INT(F20*10)</f>
        <v>0</v>
      </c>
      <c r="H21" s="133">
        <v>-2.6253734150179038</v>
      </c>
      <c r="I21" s="133">
        <v>2.633889630015685E-4</v>
      </c>
    </row>
    <row r="22" spans="1:9" ht="12" customHeight="1">
      <c r="F22" s="127">
        <f>+IF(F21&lt;1,1,F21)</f>
        <v>1</v>
      </c>
      <c r="H22" s="133">
        <v>-2.6012635107928235</v>
      </c>
      <c r="I22" s="133">
        <v>2.7781709915505469E-4</v>
      </c>
    </row>
    <row r="23" spans="1:9" ht="12" customHeight="1">
      <c r="H23" s="133">
        <v>-2.5797873070448918</v>
      </c>
      <c r="I23" s="133">
        <v>2.9133321073820012E-4</v>
      </c>
    </row>
    <row r="24" spans="1:9" ht="12" customHeight="1">
      <c r="H24" s="133">
        <v>-2.5700778168933418</v>
      </c>
      <c r="I24" s="133">
        <v>2.9765781005382458E-4</v>
      </c>
    </row>
    <row r="25" spans="1:9" ht="12" customHeight="1">
      <c r="H25" s="133">
        <v>-2.5580717224440281</v>
      </c>
      <c r="I25" s="133">
        <v>3.0566850137489851E-4</v>
      </c>
    </row>
    <row r="26" spans="1:9" ht="12" customHeight="1">
      <c r="H26" s="133">
        <v>-2.5498702179894592</v>
      </c>
      <c r="I26" s="133">
        <v>3.1126424719496763E-4</v>
      </c>
    </row>
    <row r="27" spans="1:9" ht="12" customHeight="1">
      <c r="H27" s="133">
        <v>-2.5356639781214056</v>
      </c>
      <c r="I27" s="133">
        <v>3.2120032043800502E-4</v>
      </c>
    </row>
    <row r="28" spans="1:9" ht="12" customHeight="1">
      <c r="H28" s="133">
        <v>-2.5321834163190537</v>
      </c>
      <c r="I28" s="133">
        <v>3.2368265653740701E-4</v>
      </c>
    </row>
    <row r="29" spans="1:9" ht="12" customHeight="1">
      <c r="H29" s="133">
        <v>-2.4897614450779311</v>
      </c>
      <c r="I29" s="133">
        <v>3.5552461845076214E-4</v>
      </c>
    </row>
    <row r="30" spans="1:9" ht="12" customHeight="1">
      <c r="H30" s="133">
        <v>-2.4866179148812519</v>
      </c>
      <c r="I30" s="133">
        <v>3.5800515448347115E-4</v>
      </c>
    </row>
    <row r="31" spans="1:9" ht="12" customHeight="1">
      <c r="H31" s="133">
        <v>-2.480409049298435</v>
      </c>
      <c r="I31" s="133">
        <v>3.6295547045909652E-4</v>
      </c>
    </row>
    <row r="32" spans="1:9" ht="12" customHeight="1">
      <c r="H32" s="133">
        <v>-2.4745510381204356</v>
      </c>
      <c r="I32" s="133">
        <v>3.6768876927834764E-4</v>
      </c>
    </row>
    <row r="33" spans="8:9" ht="12" customHeight="1">
      <c r="H33" s="133">
        <v>-2.4704893581146301</v>
      </c>
      <c r="I33" s="133">
        <v>3.7100679971735289E-4</v>
      </c>
    </row>
    <row r="34" spans="8:9" ht="12" customHeight="1">
      <c r="H34" s="133">
        <v>-2.4423043905696717</v>
      </c>
      <c r="I34" s="133">
        <v>3.9487075961885324E-4</v>
      </c>
    </row>
    <row r="35" spans="8:9" ht="12" customHeight="1">
      <c r="H35" s="133">
        <v>-2.4398274967806777</v>
      </c>
      <c r="I35" s="133">
        <v>3.9703987673405034E-4</v>
      </c>
    </row>
    <row r="36" spans="8:9" ht="12" customHeight="1">
      <c r="H36" s="133">
        <v>-2.4395123894094111</v>
      </c>
      <c r="I36" s="133">
        <v>3.9731668179480414E-4</v>
      </c>
    </row>
    <row r="37" spans="8:9" ht="12" customHeight="1">
      <c r="H37" s="133">
        <v>-2.434041349927659</v>
      </c>
      <c r="I37" s="133">
        <v>4.0215356658217032E-4</v>
      </c>
    </row>
    <row r="38" spans="8:9" ht="12" customHeight="1">
      <c r="H38" s="133">
        <v>-2.4254285812657428</v>
      </c>
      <c r="I38" s="133">
        <v>4.0988756064779013E-4</v>
      </c>
    </row>
    <row r="39" spans="8:9" ht="12" customHeight="1">
      <c r="H39" s="133">
        <v>-2.4048620348372509</v>
      </c>
      <c r="I39" s="133">
        <v>4.2896241167410834E-4</v>
      </c>
    </row>
    <row r="40" spans="8:9" ht="12" customHeight="1">
      <c r="H40" s="133">
        <v>-2.4027412918630406</v>
      </c>
      <c r="I40" s="133">
        <v>4.3097911451534779E-4</v>
      </c>
    </row>
    <row r="41" spans="8:9" ht="12" customHeight="1">
      <c r="H41" s="133">
        <v>-2.3923188862894436</v>
      </c>
      <c r="I41" s="133">
        <v>4.4102879605722924E-4</v>
      </c>
    </row>
    <row r="42" spans="8:9" ht="12" customHeight="1">
      <c r="H42" s="133">
        <v>-2.3663935140964183</v>
      </c>
      <c r="I42" s="133">
        <v>4.670547832220746E-4</v>
      </c>
    </row>
    <row r="43" spans="8:9" ht="12" customHeight="1">
      <c r="H43" s="133">
        <v>-2.3649875711958641</v>
      </c>
      <c r="I43" s="133">
        <v>4.6850927134710552E-4</v>
      </c>
    </row>
    <row r="44" spans="8:9" ht="12" customHeight="1">
      <c r="H44" s="133">
        <v>-2.3648805748122204</v>
      </c>
      <c r="I44" s="133">
        <v>4.6862014737216341E-4</v>
      </c>
    </row>
    <row r="45" spans="8:9" ht="12" customHeight="1">
      <c r="H45" s="133">
        <v>-2.3635282819704115</v>
      </c>
      <c r="I45" s="133">
        <v>4.7002373628899659E-4</v>
      </c>
    </row>
    <row r="46" spans="8:9" ht="12" customHeight="1">
      <c r="H46" s="133">
        <v>-2.3421190200747781</v>
      </c>
      <c r="I46" s="133">
        <v>4.9281334207028154E-4</v>
      </c>
    </row>
    <row r="47" spans="8:9" ht="12" customHeight="1">
      <c r="H47" s="133">
        <v>-2.3397027707765776</v>
      </c>
      <c r="I47" s="133">
        <v>4.9545376147995589E-4</v>
      </c>
    </row>
    <row r="48" spans="8:9" ht="12" customHeight="1">
      <c r="H48" s="133">
        <v>-2.3296717149285162</v>
      </c>
      <c r="I48" s="133">
        <v>5.0656751270444658E-4</v>
      </c>
    </row>
    <row r="49" spans="8:9" ht="12" customHeight="1">
      <c r="H49" s="133">
        <v>-2.3254589051665824</v>
      </c>
      <c r="I49" s="133">
        <v>5.1130900709564313E-4</v>
      </c>
    </row>
    <row r="50" spans="8:9" ht="12" customHeight="1">
      <c r="H50" s="133">
        <v>-2.3095866033150663</v>
      </c>
      <c r="I50" s="133">
        <v>5.2957503594866658E-4</v>
      </c>
    </row>
    <row r="51" spans="8:9" ht="12" customHeight="1">
      <c r="H51" s="133">
        <v>-2.3071686756992951</v>
      </c>
      <c r="I51" s="133">
        <v>5.3241429007427606E-4</v>
      </c>
    </row>
    <row r="52" spans="8:9" ht="12" customHeight="1">
      <c r="H52" s="133">
        <v>-2.3046824718265486</v>
      </c>
      <c r="I52" s="133">
        <v>5.3534958312206741E-4</v>
      </c>
    </row>
    <row r="53" spans="8:9" ht="12" customHeight="1">
      <c r="H53" s="133">
        <v>-2.3040903438652558</v>
      </c>
      <c r="I53" s="133">
        <v>5.3605105007263176E-4</v>
      </c>
    </row>
    <row r="54" spans="8:9" ht="12" customHeight="1">
      <c r="H54" s="133">
        <v>-2.3004103820144461</v>
      </c>
      <c r="I54" s="133">
        <v>5.4043117490389775E-4</v>
      </c>
    </row>
    <row r="55" spans="8:9" ht="12" customHeight="1">
      <c r="H55" s="133">
        <v>-2.2990658138335838</v>
      </c>
      <c r="I55" s="133">
        <v>5.4204047279515224E-4</v>
      </c>
    </row>
    <row r="56" spans="8:9" ht="12" customHeight="1">
      <c r="H56" s="133">
        <v>-2.292367318036836</v>
      </c>
      <c r="I56" s="133">
        <v>5.5012947342847254E-4</v>
      </c>
    </row>
    <row r="57" spans="8:9" ht="12" customHeight="1">
      <c r="H57" s="133">
        <v>-2.2884121920688081</v>
      </c>
      <c r="I57" s="133">
        <v>5.5496215667380901E-4</v>
      </c>
    </row>
    <row r="58" spans="8:9" ht="12" customHeight="1">
      <c r="H58" s="133">
        <v>-2.2869704417079455</v>
      </c>
      <c r="I58" s="133">
        <v>5.5673433323553023E-4</v>
      </c>
    </row>
    <row r="59" spans="8:9" ht="12" customHeight="1">
      <c r="H59" s="133">
        <v>-2.2844211936203913</v>
      </c>
      <c r="I59" s="133">
        <v>5.5988168140784728E-4</v>
      </c>
    </row>
    <row r="60" spans="8:9" ht="12" customHeight="1">
      <c r="H60" s="133">
        <v>-2.2806430651201026</v>
      </c>
      <c r="I60" s="133">
        <v>5.6457896456036131E-4</v>
      </c>
    </row>
    <row r="61" spans="8:9" ht="12" customHeight="1">
      <c r="H61" s="133">
        <v>-2.2718693266776913</v>
      </c>
      <c r="I61" s="133">
        <v>5.756397016763974E-4</v>
      </c>
    </row>
    <row r="62" spans="8:9" ht="12" customHeight="1">
      <c r="H62" s="133">
        <v>-2.2656702445945172</v>
      </c>
      <c r="I62" s="133">
        <v>5.835849766986659E-4</v>
      </c>
    </row>
    <row r="63" spans="8:9" ht="12" customHeight="1">
      <c r="H63" s="133">
        <v>-2.2584238871910314</v>
      </c>
      <c r="I63" s="133">
        <v>5.9301157469132887E-4</v>
      </c>
    </row>
    <row r="64" spans="8:9" ht="12" customHeight="1">
      <c r="H64" s="133">
        <v>-2.2577995787675169</v>
      </c>
      <c r="I64" s="133">
        <v>5.9383080667232101E-4</v>
      </c>
    </row>
    <row r="65" spans="8:9" ht="12" customHeight="1">
      <c r="H65" s="133">
        <v>-2.2576587305602982</v>
      </c>
      <c r="I65" s="133">
        <v>5.9401578727252141E-4</v>
      </c>
    </row>
    <row r="66" spans="8:9" ht="12" customHeight="1">
      <c r="H66" s="133">
        <v>-2.234851177144177</v>
      </c>
      <c r="I66" s="133">
        <v>6.247422090056373E-4</v>
      </c>
    </row>
    <row r="67" spans="8:9" ht="12" customHeight="1">
      <c r="H67" s="133">
        <v>-2.2333265756831655</v>
      </c>
      <c r="I67" s="133">
        <v>6.2685190602616576E-4</v>
      </c>
    </row>
    <row r="68" spans="8:9" ht="12" customHeight="1">
      <c r="H68" s="133">
        <v>-2.2332655318123065</v>
      </c>
      <c r="I68" s="133">
        <v>6.2693652475600647E-4</v>
      </c>
    </row>
    <row r="69" spans="8:9" ht="12" customHeight="1">
      <c r="H69" s="133">
        <v>-2.2313772297475678</v>
      </c>
      <c r="I69" s="133">
        <v>6.295597260984327E-4</v>
      </c>
    </row>
    <row r="70" spans="8:9" ht="12" customHeight="1">
      <c r="H70" s="133">
        <v>-2.2301160358526899</v>
      </c>
      <c r="I70" s="133">
        <v>6.3131786484071982E-4</v>
      </c>
    </row>
    <row r="71" spans="8:9" ht="12" customHeight="1">
      <c r="H71" s="133">
        <v>-2.2296338998507896</v>
      </c>
      <c r="I71" s="133">
        <v>6.3199127128645081E-4</v>
      </c>
    </row>
    <row r="72" spans="8:9" ht="12" customHeight="1">
      <c r="H72" s="133">
        <v>-2.2217237895525113</v>
      </c>
      <c r="I72" s="133">
        <v>6.4314250106494299E-4</v>
      </c>
    </row>
    <row r="73" spans="8:9" ht="12" customHeight="1">
      <c r="H73" s="133">
        <v>-2.2108016592995208</v>
      </c>
      <c r="I73" s="133">
        <v>6.5886382273165308E-4</v>
      </c>
    </row>
    <row r="74" spans="8:9" ht="12" customHeight="1">
      <c r="H74" s="133">
        <v>-2.2098476487049976</v>
      </c>
      <c r="I74" s="133">
        <v>6.6025512976681882E-4</v>
      </c>
    </row>
    <row r="75" spans="8:9" ht="12" customHeight="1">
      <c r="H75" s="133">
        <v>-2.209360746333191</v>
      </c>
      <c r="I75" s="133">
        <v>6.609663481944014E-4</v>
      </c>
    </row>
    <row r="76" spans="8:9" ht="12" customHeight="1">
      <c r="H76" s="133">
        <v>-2.2064921596468023</v>
      </c>
      <c r="I76" s="133">
        <v>6.6517206317022589E-4</v>
      </c>
    </row>
    <row r="77" spans="8:9" ht="12" customHeight="1">
      <c r="H77" s="133">
        <v>-2.2032364544958774</v>
      </c>
      <c r="I77" s="133">
        <v>6.6997775251784056E-4</v>
      </c>
    </row>
    <row r="78" spans="8:9" ht="12" customHeight="1">
      <c r="H78" s="133">
        <v>-2.1949174223254602</v>
      </c>
      <c r="I78" s="133">
        <v>6.8241551679619613E-4</v>
      </c>
    </row>
    <row r="79" spans="8:9" ht="12" customHeight="1">
      <c r="H79" s="133">
        <v>-2.1859288629557523</v>
      </c>
      <c r="I79" s="133">
        <v>6.9611376007900803E-4</v>
      </c>
    </row>
    <row r="80" spans="8:9" ht="12" customHeight="1">
      <c r="H80" s="133">
        <v>-2.1634009522192277</v>
      </c>
      <c r="I80" s="133">
        <v>7.3166497825995441E-4</v>
      </c>
    </row>
    <row r="81" spans="8:9" ht="12" customHeight="1">
      <c r="H81" s="133">
        <v>-2.16272496321232</v>
      </c>
      <c r="I81" s="133">
        <v>7.3275933998273709E-4</v>
      </c>
    </row>
    <row r="82" spans="8:9" ht="12" customHeight="1">
      <c r="H82" s="133">
        <v>-2.1556168281689327</v>
      </c>
      <c r="I82" s="133">
        <v>7.4436622823674558E-4</v>
      </c>
    </row>
    <row r="83" spans="8:9" ht="12" customHeight="1">
      <c r="H83" s="133">
        <v>-2.1553564518609507</v>
      </c>
      <c r="I83" s="133">
        <v>7.4479486771596886E-4</v>
      </c>
    </row>
    <row r="84" spans="8:9" ht="12" customHeight="1">
      <c r="H84" s="133">
        <v>-2.1525442548572666</v>
      </c>
      <c r="I84" s="133">
        <v>7.4944014006824962E-4</v>
      </c>
    </row>
    <row r="85" spans="8:9" ht="12" customHeight="1">
      <c r="H85" s="133">
        <v>-2.1516287699459915</v>
      </c>
      <c r="I85" s="133">
        <v>7.5095860346157317E-4</v>
      </c>
    </row>
    <row r="86" spans="8:9" ht="12" customHeight="1">
      <c r="H86" s="133">
        <v>-2.1498264825679612</v>
      </c>
      <c r="I86" s="133">
        <v>7.5395694572902912E-4</v>
      </c>
    </row>
    <row r="87" spans="8:9" ht="12" customHeight="1">
      <c r="H87" s="133">
        <v>-2.1462943974477509</v>
      </c>
      <c r="I87" s="133">
        <v>7.598677723757184E-4</v>
      </c>
    </row>
    <row r="88" spans="8:9" ht="12" customHeight="1">
      <c r="H88" s="133">
        <v>-2.1369294919216433</v>
      </c>
      <c r="I88" s="133">
        <v>7.7576473415705597E-4</v>
      </c>
    </row>
    <row r="89" spans="8:9" ht="12" customHeight="1">
      <c r="H89" s="133">
        <v>-2.1347305760794515</v>
      </c>
      <c r="I89" s="133">
        <v>7.7954532251661311E-4</v>
      </c>
    </row>
    <row r="90" spans="8:9" ht="12" customHeight="1">
      <c r="H90" s="133">
        <v>-2.1314617043060484</v>
      </c>
      <c r="I90" s="133">
        <v>7.8519953516849458E-4</v>
      </c>
    </row>
    <row r="91" spans="8:9" ht="12" customHeight="1">
      <c r="H91" s="133">
        <v>-2.1301441271278572</v>
      </c>
      <c r="I91" s="133">
        <v>7.8749013737163421E-4</v>
      </c>
    </row>
    <row r="92" spans="8:9" ht="12" customHeight="1">
      <c r="H92" s="133">
        <v>-2.1276470615482626</v>
      </c>
      <c r="I92" s="133">
        <v>7.9184960892677984E-4</v>
      </c>
    </row>
    <row r="93" spans="8:9" ht="12" customHeight="1">
      <c r="H93" s="133">
        <v>-2.1137696060004831</v>
      </c>
      <c r="I93" s="133">
        <v>8.1652050537589504E-4</v>
      </c>
    </row>
    <row r="94" spans="8:9" ht="12" customHeight="1">
      <c r="H94" s="133">
        <v>-2.112948897637577</v>
      </c>
      <c r="I94" s="133">
        <v>8.1800335615315382E-4</v>
      </c>
    </row>
    <row r="95" spans="8:9" ht="12" customHeight="1">
      <c r="H95" s="133">
        <v>-2.1048239786983203</v>
      </c>
      <c r="I95" s="133">
        <v>8.3282936786802336E-4</v>
      </c>
    </row>
    <row r="96" spans="8:9" ht="12" customHeight="1">
      <c r="H96" s="133">
        <v>-2.1016982421087858</v>
      </c>
      <c r="I96" s="133">
        <v>8.3860433114351935E-4</v>
      </c>
    </row>
    <row r="97" spans="8:9" ht="12" customHeight="1">
      <c r="H97" s="133">
        <v>-2.0920015140724115</v>
      </c>
      <c r="I97" s="133">
        <v>8.5677537165734818E-4</v>
      </c>
    </row>
    <row r="98" spans="8:9" ht="12" customHeight="1">
      <c r="H98" s="133">
        <v>-2.0888222808690071</v>
      </c>
      <c r="I98" s="133">
        <v>8.628182713648992E-4</v>
      </c>
    </row>
    <row r="99" spans="8:9" ht="12" customHeight="1">
      <c r="H99" s="133">
        <v>-2.0800166155005817</v>
      </c>
      <c r="I99" s="133">
        <v>8.7977880108186231E-4</v>
      </c>
    </row>
    <row r="100" spans="8:9" ht="12" customHeight="1">
      <c r="H100" s="133">
        <v>-2.0768627553650725</v>
      </c>
      <c r="I100" s="133">
        <v>8.8593410777554815E-4</v>
      </c>
    </row>
    <row r="101" spans="8:9" ht="12" customHeight="1">
      <c r="H101" s="133">
        <v>-2.0746182160200748</v>
      </c>
      <c r="I101" s="133">
        <v>8.9034090610818099E-4</v>
      </c>
    </row>
    <row r="102" spans="8:9" ht="12" customHeight="1">
      <c r="H102" s="133">
        <v>-2.0581839922465388</v>
      </c>
      <c r="I102" s="133">
        <v>9.2328114812197332E-4</v>
      </c>
    </row>
    <row r="103" spans="8:9" ht="12" customHeight="1">
      <c r="H103" s="133">
        <v>-2.0561149649248849</v>
      </c>
      <c r="I103" s="133">
        <v>9.2751362089832032E-4</v>
      </c>
    </row>
    <row r="104" spans="8:9" ht="12" customHeight="1">
      <c r="H104" s="133">
        <v>-2.0524059286172771</v>
      </c>
      <c r="I104" s="133">
        <v>9.3514953155964518E-4</v>
      </c>
    </row>
    <row r="105" spans="8:9" ht="12" customHeight="1">
      <c r="H105" s="133">
        <v>-2.0519064591355658</v>
      </c>
      <c r="I105" s="133">
        <v>9.3618259207605954E-4</v>
      </c>
    </row>
    <row r="106" spans="8:9" ht="12" customHeight="1">
      <c r="H106" s="133">
        <v>-2.0504570045707573</v>
      </c>
      <c r="I106" s="133">
        <v>9.3918698133181339E-4</v>
      </c>
    </row>
    <row r="107" spans="8:9" ht="12" customHeight="1">
      <c r="H107" s="133">
        <v>-2.0392115559514719</v>
      </c>
      <c r="I107" s="133">
        <v>9.6282587797094556E-4</v>
      </c>
    </row>
    <row r="108" spans="8:9" ht="12" customHeight="1">
      <c r="H108" s="133">
        <v>-2.0370975254254837</v>
      </c>
      <c r="I108" s="133">
        <v>9.6733567832260506E-4</v>
      </c>
    </row>
    <row r="109" spans="8:9" ht="12" customHeight="1">
      <c r="H109" s="133">
        <v>-2.0344862911886499</v>
      </c>
      <c r="I109" s="133">
        <v>9.7293529122243394E-4</v>
      </c>
    </row>
    <row r="110" spans="8:9" ht="12" customHeight="1">
      <c r="H110" s="133">
        <v>-2.0260046652801775</v>
      </c>
      <c r="I110" s="133">
        <v>9.9134794082024165E-4</v>
      </c>
    </row>
    <row r="111" spans="8:9" ht="12" customHeight="1">
      <c r="H111" s="133">
        <v>-2.0216386889009135</v>
      </c>
      <c r="I111" s="133">
        <v>1.0009612839109974E-3</v>
      </c>
    </row>
    <row r="112" spans="8:9" ht="12" customHeight="1">
      <c r="H112" s="133">
        <v>-2.0169914572753469</v>
      </c>
      <c r="I112" s="133">
        <v>1.011296258512221E-3</v>
      </c>
    </row>
    <row r="113" spans="8:9" ht="12" customHeight="1">
      <c r="H113" s="133">
        <v>-2.0169759415322059</v>
      </c>
      <c r="I113" s="133">
        <v>1.0113309419003786E-3</v>
      </c>
    </row>
    <row r="114" spans="8:9" ht="12" customHeight="1">
      <c r="H114" s="133">
        <v>-2.0122046296853933</v>
      </c>
      <c r="I114" s="133">
        <v>1.0220531431587049E-3</v>
      </c>
    </row>
    <row r="115" spans="8:9" ht="12" customHeight="1">
      <c r="H115" s="133">
        <v>-2.0096345494225845</v>
      </c>
      <c r="I115" s="133">
        <v>1.027875669427202E-3</v>
      </c>
    </row>
    <row r="116" spans="8:9" ht="12" customHeight="1">
      <c r="H116" s="133">
        <v>-2.0041197242423685</v>
      </c>
      <c r="I116" s="133">
        <v>1.0404816051261306E-3</v>
      </c>
    </row>
    <row r="117" spans="8:9" ht="12" customHeight="1">
      <c r="H117" s="133">
        <v>-2.003956486635234</v>
      </c>
      <c r="I117" s="133">
        <v>1.0408570820935421E-3</v>
      </c>
    </row>
    <row r="118" spans="8:9" ht="12" customHeight="1">
      <c r="H118" s="133">
        <v>-2.0035257849257508</v>
      </c>
      <c r="I118" s="133">
        <v>1.0418484262725495E-3</v>
      </c>
    </row>
    <row r="119" spans="8:9" ht="12" customHeight="1">
      <c r="H119" s="133">
        <v>-2.0024353823794181</v>
      </c>
      <c r="I119" s="133">
        <v>1.04436241957508E-3</v>
      </c>
    </row>
    <row r="120" spans="8:9" ht="12" customHeight="1">
      <c r="H120" s="133">
        <v>-1.997652314100844</v>
      </c>
      <c r="I120" s="133">
        <v>1.0554618784891251E-3</v>
      </c>
    </row>
    <row r="121" spans="8:9" ht="12" customHeight="1">
      <c r="H121" s="133">
        <v>-1.9970733546690027</v>
      </c>
      <c r="I121" s="133">
        <v>1.0568133664714751E-3</v>
      </c>
    </row>
    <row r="122" spans="8:9" ht="12" customHeight="1">
      <c r="H122" s="133">
        <v>-1.9926748734266675</v>
      </c>
      <c r="I122" s="133">
        <v>1.0671375297910343E-3</v>
      </c>
    </row>
    <row r="123" spans="8:9" ht="12" customHeight="1">
      <c r="H123" s="133">
        <v>-1.9907496425639928</v>
      </c>
      <c r="I123" s="133">
        <v>1.0716880953173017E-3</v>
      </c>
    </row>
    <row r="124" spans="8:9" ht="12" customHeight="1">
      <c r="H124" s="133">
        <v>-1.983815818501987</v>
      </c>
      <c r="I124" s="133">
        <v>1.0882384211963483E-3</v>
      </c>
    </row>
    <row r="125" spans="8:9" ht="12" customHeight="1">
      <c r="H125" s="133">
        <v>-1.981415325063077</v>
      </c>
      <c r="I125" s="133">
        <v>1.0940274479423616E-3</v>
      </c>
    </row>
    <row r="126" spans="8:9" ht="12" customHeight="1">
      <c r="H126" s="133">
        <v>-1.9696412228203812</v>
      </c>
      <c r="I126" s="133">
        <v>1.1228704106727549E-3</v>
      </c>
    </row>
    <row r="127" spans="8:9" ht="12" customHeight="1">
      <c r="H127" s="133">
        <v>-1.9550250893353134</v>
      </c>
      <c r="I127" s="133">
        <v>1.1597343789263449E-3</v>
      </c>
    </row>
    <row r="128" spans="8:9" ht="12" customHeight="1">
      <c r="H128" s="133">
        <v>-1.9522482362147668</v>
      </c>
      <c r="I128" s="133">
        <v>1.1668734506271065E-3</v>
      </c>
    </row>
    <row r="129" spans="8:9" ht="12" customHeight="1">
      <c r="H129" s="133">
        <v>-1.9510805032079697</v>
      </c>
      <c r="I129" s="133">
        <v>1.16988869577864E-3</v>
      </c>
    </row>
    <row r="130" spans="8:9" ht="12" customHeight="1">
      <c r="H130" s="133">
        <v>-1.9469517800585254</v>
      </c>
      <c r="I130" s="133">
        <v>1.1806121569288186E-3</v>
      </c>
    </row>
    <row r="131" spans="8:9" ht="12" customHeight="1">
      <c r="H131" s="133">
        <v>-1.9402042380003774</v>
      </c>
      <c r="I131" s="133">
        <v>1.1983491736127334E-3</v>
      </c>
    </row>
    <row r="132" spans="8:9" ht="12" customHeight="1">
      <c r="H132" s="133">
        <v>-1.9392767210406532</v>
      </c>
      <c r="I132" s="133">
        <v>1.2008080214320012E-3</v>
      </c>
    </row>
    <row r="133" spans="8:9" ht="12" customHeight="1">
      <c r="H133" s="133">
        <v>-1.9375348200504485</v>
      </c>
      <c r="I133" s="133">
        <v>1.2054394280742184E-3</v>
      </c>
    </row>
    <row r="134" spans="8:9" ht="12" customHeight="1">
      <c r="H134" s="133">
        <v>-1.9353900168216276</v>
      </c>
      <c r="I134" s="133">
        <v>1.2111665963228325E-3</v>
      </c>
    </row>
    <row r="135" spans="8:9" ht="12" customHeight="1">
      <c r="H135" s="133">
        <v>-1.9325382414872923</v>
      </c>
      <c r="I135" s="133">
        <v>1.2188236720530011E-3</v>
      </c>
    </row>
    <row r="136" spans="8:9" ht="12" customHeight="1">
      <c r="H136" s="133">
        <v>-1.9258858358044157</v>
      </c>
      <c r="I136" s="133">
        <v>1.2368739858434653E-3</v>
      </c>
    </row>
    <row r="137" spans="8:9" ht="12" customHeight="1">
      <c r="H137" s="133">
        <v>-1.9228947336090936</v>
      </c>
      <c r="I137" s="133">
        <v>1.245076671218001E-3</v>
      </c>
    </row>
    <row r="138" spans="8:9" ht="12" customHeight="1">
      <c r="H138" s="133">
        <v>-1.9184961098169404</v>
      </c>
      <c r="I138" s="133">
        <v>1.2572380874331368E-3</v>
      </c>
    </row>
    <row r="139" spans="8:9" ht="12" customHeight="1">
      <c r="H139" s="133">
        <v>-1.9011794503884016</v>
      </c>
      <c r="I139" s="133">
        <v>1.3062795033415443E-3</v>
      </c>
    </row>
    <row r="140" spans="8:9" ht="12" customHeight="1">
      <c r="H140" s="133">
        <v>-1.8917254525231146</v>
      </c>
      <c r="I140" s="133">
        <v>1.333855082257665E-3</v>
      </c>
    </row>
    <row r="141" spans="8:9" ht="12" customHeight="1">
      <c r="H141" s="133">
        <v>-1.8835734481428772</v>
      </c>
      <c r="I141" s="133">
        <v>1.3580992873566142E-3</v>
      </c>
    </row>
    <row r="142" spans="8:9" ht="12" customHeight="1">
      <c r="H142" s="133">
        <v>-1.8826783112944354</v>
      </c>
      <c r="I142" s="133">
        <v>1.3607881104959723E-3</v>
      </c>
    </row>
    <row r="143" spans="8:9" ht="12" customHeight="1">
      <c r="H143" s="133">
        <v>-1.8803438471465412</v>
      </c>
      <c r="I143" s="133">
        <v>1.3678254399781017E-3</v>
      </c>
    </row>
    <row r="144" spans="8:9" ht="12" customHeight="1">
      <c r="H144" s="133">
        <v>-1.8763109940505853</v>
      </c>
      <c r="I144" s="133">
        <v>1.380068356555164E-3</v>
      </c>
    </row>
    <row r="145" spans="8:9" ht="12" customHeight="1">
      <c r="H145" s="133">
        <v>-1.8737719525355097</v>
      </c>
      <c r="I145" s="133">
        <v>1.3878324409734443E-3</v>
      </c>
    </row>
    <row r="146" spans="8:9" ht="12" customHeight="1">
      <c r="H146" s="133">
        <v>-1.8711033258161531</v>
      </c>
      <c r="I146" s="133">
        <v>1.3960398006208346E-3</v>
      </c>
    </row>
    <row r="147" spans="8:9" ht="12" customHeight="1">
      <c r="H147" s="133">
        <v>-1.8679902488008431</v>
      </c>
      <c r="I147" s="133">
        <v>1.4056753358169406E-3</v>
      </c>
    </row>
    <row r="148" spans="8:9" ht="12" customHeight="1">
      <c r="H148" s="133">
        <v>-1.864789431648195</v>
      </c>
      <c r="I148" s="133">
        <v>1.4156516917042988E-3</v>
      </c>
    </row>
    <row r="149" spans="8:9" ht="12" customHeight="1">
      <c r="H149" s="133">
        <v>-1.856162219007417</v>
      </c>
      <c r="I149" s="133">
        <v>1.4428946307592262E-3</v>
      </c>
    </row>
    <row r="150" spans="8:9" ht="12" customHeight="1">
      <c r="H150" s="133">
        <v>-1.8499167292249246</v>
      </c>
      <c r="I150" s="133">
        <v>1.4629426737353367E-3</v>
      </c>
    </row>
    <row r="151" spans="8:9" ht="12" customHeight="1">
      <c r="H151" s="133">
        <v>-1.8497451577977628</v>
      </c>
      <c r="I151" s="133">
        <v>1.4634973264859507E-3</v>
      </c>
    </row>
    <row r="152" spans="8:9" ht="12" customHeight="1">
      <c r="H152" s="133">
        <v>-1.8399415606242582</v>
      </c>
      <c r="I152" s="133">
        <v>1.4955414696549837E-3</v>
      </c>
    </row>
    <row r="153" spans="8:9" ht="12" customHeight="1">
      <c r="H153" s="133">
        <v>-1.8373173063000436</v>
      </c>
      <c r="I153" s="133">
        <v>1.5042373705854398E-3</v>
      </c>
    </row>
    <row r="154" spans="8:9" ht="12" customHeight="1">
      <c r="H154" s="133">
        <v>-1.8324975905970899</v>
      </c>
      <c r="I154" s="133">
        <v>1.520340017551977E-3</v>
      </c>
    </row>
    <row r="155" spans="8:9" ht="12" customHeight="1">
      <c r="H155" s="133">
        <v>-1.8288063415212983</v>
      </c>
      <c r="I155" s="133">
        <v>1.5327887492297446E-3</v>
      </c>
    </row>
    <row r="156" spans="8:9" ht="12" customHeight="1">
      <c r="H156" s="133">
        <v>-1.8244146990120738</v>
      </c>
      <c r="I156" s="133">
        <v>1.5477321975030363E-3</v>
      </c>
    </row>
    <row r="157" spans="8:9" ht="12" customHeight="1">
      <c r="H157" s="133">
        <v>-1.8242463004330227</v>
      </c>
      <c r="I157" s="133">
        <v>1.5483080943832833E-3</v>
      </c>
    </row>
    <row r="158" spans="8:9" ht="12" customHeight="1">
      <c r="H158" s="133">
        <v>-1.8236053776671555</v>
      </c>
      <c r="I158" s="133">
        <v>1.5505019077424785E-3</v>
      </c>
    </row>
    <row r="159" spans="8:9" ht="12" customHeight="1">
      <c r="H159" s="133">
        <v>-1.8226623198828382</v>
      </c>
      <c r="I159" s="133">
        <v>1.5537355427882814E-3</v>
      </c>
    </row>
    <row r="160" spans="8:9" ht="12" customHeight="1">
      <c r="H160" s="133">
        <v>-1.8216721549906094</v>
      </c>
      <c r="I160" s="133">
        <v>1.5571379491317024E-3</v>
      </c>
    </row>
    <row r="161" spans="8:9" ht="12" customHeight="1">
      <c r="H161" s="133">
        <v>-1.8208977687541594</v>
      </c>
      <c r="I161" s="133">
        <v>1.5598040796319845E-3</v>
      </c>
    </row>
    <row r="162" spans="8:9" ht="12" customHeight="1">
      <c r="H162" s="133">
        <v>-1.8132313977821819</v>
      </c>
      <c r="I162" s="133">
        <v>1.5864457503448389E-3</v>
      </c>
    </row>
    <row r="163" spans="8:9" ht="12" customHeight="1">
      <c r="H163" s="133">
        <v>-1.8078686433786377</v>
      </c>
      <c r="I163" s="133">
        <v>1.6053516361377558E-3</v>
      </c>
    </row>
    <row r="164" spans="8:9" ht="12" customHeight="1">
      <c r="H164" s="133">
        <v>-1.8061399764143045</v>
      </c>
      <c r="I164" s="133">
        <v>1.6114937012617712E-3</v>
      </c>
    </row>
    <row r="165" spans="8:9" ht="12" customHeight="1">
      <c r="H165" s="133">
        <v>-1.8057772106910421</v>
      </c>
      <c r="I165" s="133">
        <v>1.6127856065961664E-3</v>
      </c>
    </row>
    <row r="166" spans="8:9" ht="12" customHeight="1">
      <c r="H166" s="133">
        <v>-1.7999650896414381</v>
      </c>
      <c r="I166" s="133">
        <v>1.6336256795100811E-3</v>
      </c>
    </row>
    <row r="167" spans="8:9" ht="12" customHeight="1">
      <c r="H167" s="133">
        <v>-1.7973710960403884</v>
      </c>
      <c r="I167" s="133">
        <v>1.643013326197688E-3</v>
      </c>
    </row>
    <row r="168" spans="8:9" ht="12" customHeight="1">
      <c r="H168" s="133">
        <v>-1.796845624686159</v>
      </c>
      <c r="I168" s="133">
        <v>1.6449215537964138E-3</v>
      </c>
    </row>
    <row r="169" spans="8:9" ht="12" customHeight="1">
      <c r="H169" s="133">
        <v>-1.7964150423015752</v>
      </c>
      <c r="I169" s="133">
        <v>1.6464868452417862E-3</v>
      </c>
    </row>
    <row r="170" spans="8:9" ht="12" customHeight="1">
      <c r="H170" s="133">
        <v>-1.794964821085796</v>
      </c>
      <c r="I170" s="133">
        <v>1.6517697654144588E-3</v>
      </c>
    </row>
    <row r="171" spans="8:9" ht="12" customHeight="1">
      <c r="H171" s="133">
        <v>-1.7912814510440747</v>
      </c>
      <c r="I171" s="133">
        <v>1.6652638825530161E-3</v>
      </c>
    </row>
    <row r="172" spans="8:9" ht="12" customHeight="1">
      <c r="H172" s="133">
        <v>-1.7866366408472603</v>
      </c>
      <c r="I172" s="133">
        <v>1.6824372640783678E-3</v>
      </c>
    </row>
    <row r="173" spans="8:9" ht="12" customHeight="1">
      <c r="H173" s="133">
        <v>-1.7855262022582368</v>
      </c>
      <c r="I173" s="133">
        <v>1.6865690373900062E-3</v>
      </c>
    </row>
    <row r="174" spans="8:9" ht="12" customHeight="1">
      <c r="H174" s="133">
        <v>-1.7852277582024252</v>
      </c>
      <c r="I174" s="133">
        <v>1.6876812284564713E-3</v>
      </c>
    </row>
    <row r="175" spans="8:9" ht="12" customHeight="1">
      <c r="H175" s="133">
        <v>-1.7778210615509531</v>
      </c>
      <c r="I175" s="133">
        <v>1.7155190530006848E-3</v>
      </c>
    </row>
    <row r="176" spans="8:9" ht="12" customHeight="1">
      <c r="H176" s="133">
        <v>-1.777216996823116</v>
      </c>
      <c r="I176" s="133">
        <v>1.7178095257280881E-3</v>
      </c>
    </row>
    <row r="177" spans="8:9" ht="12" customHeight="1">
      <c r="H177" s="133">
        <v>-1.775040858798755</v>
      </c>
      <c r="I177" s="133">
        <v>1.7260862721576176E-3</v>
      </c>
    </row>
    <row r="178" spans="8:9" ht="12" customHeight="1">
      <c r="H178" s="133">
        <v>-1.7726063085665231</v>
      </c>
      <c r="I178" s="133">
        <v>1.7353930566493172E-3</v>
      </c>
    </row>
    <row r="179" spans="8:9" ht="12" customHeight="1">
      <c r="H179" s="133">
        <v>-1.7719550592735827</v>
      </c>
      <c r="I179" s="133">
        <v>1.7378911298550372E-3</v>
      </c>
    </row>
    <row r="180" spans="8:9" ht="12" customHeight="1">
      <c r="H180" s="133">
        <v>-1.7712742837960316</v>
      </c>
      <c r="I180" s="133">
        <v>1.7405062976708287E-3</v>
      </c>
    </row>
    <row r="181" spans="8:9" ht="12" customHeight="1">
      <c r="H181" s="133">
        <v>-1.7712122915389097</v>
      </c>
      <c r="I181" s="133">
        <v>1.7407446331494671E-3</v>
      </c>
    </row>
    <row r="182" spans="8:9" ht="12" customHeight="1">
      <c r="H182" s="133">
        <v>-1.7707849205699382</v>
      </c>
      <c r="I182" s="133">
        <v>1.742388590630148E-3</v>
      </c>
    </row>
    <row r="183" spans="8:9" ht="12" customHeight="1">
      <c r="H183" s="133">
        <v>-1.7633598262573695</v>
      </c>
      <c r="I183" s="133">
        <v>1.7711991670886743E-3</v>
      </c>
    </row>
    <row r="184" spans="8:9" ht="12" customHeight="1">
      <c r="H184" s="133">
        <v>-1.7610662756558433</v>
      </c>
      <c r="I184" s="133">
        <v>1.7801942847756893E-3</v>
      </c>
    </row>
    <row r="185" spans="8:9" ht="12" customHeight="1">
      <c r="H185" s="133">
        <v>-1.7605430277094467</v>
      </c>
      <c r="I185" s="133">
        <v>1.7822528003780249E-3</v>
      </c>
    </row>
    <row r="186" spans="8:9" ht="12" customHeight="1">
      <c r="H186" s="133">
        <v>-1.7605160689334307</v>
      </c>
      <c r="I186" s="133">
        <v>1.7823589235413735E-3</v>
      </c>
    </row>
    <row r="187" spans="8:9" ht="12" customHeight="1">
      <c r="H187" s="133">
        <v>-1.7602085066967943</v>
      </c>
      <c r="I187" s="133">
        <v>1.7835700881898766E-3</v>
      </c>
    </row>
    <row r="188" spans="8:9" ht="12" customHeight="1">
      <c r="H188" s="133">
        <v>-1.7524408499560189</v>
      </c>
      <c r="I188" s="133">
        <v>1.8144326092614218E-3</v>
      </c>
    </row>
    <row r="189" spans="8:9" ht="12" customHeight="1">
      <c r="H189" s="133">
        <v>-1.7514680620376735</v>
      </c>
      <c r="I189" s="133">
        <v>1.8183350703870537E-3</v>
      </c>
    </row>
    <row r="190" spans="8:9" ht="12" customHeight="1">
      <c r="H190" s="133">
        <v>-1.7480313248159298</v>
      </c>
      <c r="I190" s="133">
        <v>1.8321891787177499E-3</v>
      </c>
    </row>
    <row r="191" spans="8:9" ht="12" customHeight="1">
      <c r="H191" s="133">
        <v>-1.7472966767595068</v>
      </c>
      <c r="I191" s="133">
        <v>1.8351643189973427E-3</v>
      </c>
    </row>
    <row r="192" spans="8:9" ht="12" customHeight="1">
      <c r="H192" s="133">
        <v>-1.7442272151155382</v>
      </c>
      <c r="I192" s="133">
        <v>1.8476471217089398E-3</v>
      </c>
    </row>
    <row r="193" spans="8:9" ht="12" customHeight="1">
      <c r="H193" s="133">
        <v>-1.7441695455749455</v>
      </c>
      <c r="I193" s="133">
        <v>1.8478824599372607E-3</v>
      </c>
    </row>
    <row r="194" spans="8:9" ht="12" customHeight="1">
      <c r="H194" s="133">
        <v>-1.7414748233910318</v>
      </c>
      <c r="I194" s="133">
        <v>1.8589125266674613E-3</v>
      </c>
    </row>
    <row r="195" spans="8:9" ht="12" customHeight="1">
      <c r="H195" s="133">
        <v>-1.7386862702547758</v>
      </c>
      <c r="I195" s="133">
        <v>1.8703958556928529E-3</v>
      </c>
    </row>
    <row r="196" spans="8:9" ht="12" customHeight="1">
      <c r="H196" s="133">
        <v>-1.7378682777652581</v>
      </c>
      <c r="I196" s="133">
        <v>1.8737777801471321E-3</v>
      </c>
    </row>
    <row r="197" spans="8:9" ht="12" customHeight="1">
      <c r="H197" s="133">
        <v>-1.7365454889145124</v>
      </c>
      <c r="I197" s="133">
        <v>1.879259665007192E-3</v>
      </c>
    </row>
    <row r="198" spans="8:9" ht="12" customHeight="1">
      <c r="H198" s="133">
        <v>-1.7356128269046176</v>
      </c>
      <c r="I198" s="133">
        <v>1.8831344104355482E-3</v>
      </c>
    </row>
    <row r="199" spans="8:9" ht="12" customHeight="1">
      <c r="H199" s="133">
        <v>-1.7316216535728892</v>
      </c>
      <c r="I199" s="133">
        <v>1.8998060216678942E-3</v>
      </c>
    </row>
    <row r="200" spans="8:9" ht="12" customHeight="1">
      <c r="H200" s="133">
        <v>-1.731603649054773</v>
      </c>
      <c r="I200" s="133">
        <v>1.8998815615038052E-3</v>
      </c>
    </row>
    <row r="201" spans="8:9" ht="12" customHeight="1">
      <c r="H201" s="133">
        <v>-1.730835063783513</v>
      </c>
      <c r="I201" s="133">
        <v>1.9031090383272405E-3</v>
      </c>
    </row>
    <row r="202" spans="8:9" ht="12" customHeight="1">
      <c r="H202" s="133">
        <v>-1.7280307151091567</v>
      </c>
      <c r="I202" s="133">
        <v>1.9149316610429048E-3</v>
      </c>
    </row>
    <row r="203" spans="8:9" ht="12" customHeight="1">
      <c r="H203" s="133">
        <v>-1.7274977186102092</v>
      </c>
      <c r="I203" s="133">
        <v>1.9171869533529959E-3</v>
      </c>
    </row>
    <row r="204" spans="8:9" ht="12" customHeight="1">
      <c r="H204" s="133">
        <v>-1.7270713451129682</v>
      </c>
      <c r="I204" s="133">
        <v>1.9189929953571268E-3</v>
      </c>
    </row>
    <row r="205" spans="8:9" ht="12" customHeight="1">
      <c r="H205" s="133">
        <v>-1.7259538007746262</v>
      </c>
      <c r="I205" s="133">
        <v>1.9237347758220154E-3</v>
      </c>
    </row>
    <row r="206" spans="8:9" ht="12" customHeight="1">
      <c r="H206" s="133">
        <v>-1.7254564998409407</v>
      </c>
      <c r="I206" s="133">
        <v>1.925848599464676E-3</v>
      </c>
    </row>
    <row r="207" spans="8:9" ht="12" customHeight="1">
      <c r="H207" s="133">
        <v>-1.723484418563894</v>
      </c>
      <c r="I207" s="133">
        <v>1.9342539623889439E-3</v>
      </c>
    </row>
    <row r="208" spans="8:9" ht="12" customHeight="1">
      <c r="H208" s="133">
        <v>-1.7219778987581822</v>
      </c>
      <c r="I208" s="133">
        <v>1.9406996792887088E-3</v>
      </c>
    </row>
    <row r="209" spans="8:9" ht="12" customHeight="1">
      <c r="H209" s="133">
        <v>-1.7194348812234861</v>
      </c>
      <c r="I209" s="133">
        <v>1.9516287739235983E-3</v>
      </c>
    </row>
    <row r="210" spans="8:9" ht="12" customHeight="1">
      <c r="H210" s="133">
        <v>-1.717955143978092</v>
      </c>
      <c r="I210" s="133">
        <v>1.9580164707262084E-3</v>
      </c>
    </row>
    <row r="211" spans="8:9" ht="12" customHeight="1">
      <c r="H211" s="133">
        <v>-1.7163642752752244</v>
      </c>
      <c r="I211" s="133">
        <v>1.9649071745067108E-3</v>
      </c>
    </row>
    <row r="212" spans="8:9" ht="12" customHeight="1">
      <c r="H212" s="133">
        <v>-1.7150522681247558</v>
      </c>
      <c r="I212" s="133">
        <v>1.9706082213320716E-3</v>
      </c>
    </row>
    <row r="213" spans="8:9" ht="12" customHeight="1">
      <c r="H213" s="133">
        <v>-1.7125430602895459</v>
      </c>
      <c r="I213" s="133">
        <v>1.981557465489025E-3</v>
      </c>
    </row>
    <row r="214" spans="8:9" ht="12" customHeight="1">
      <c r="H214" s="133">
        <v>-1.7125006143415946</v>
      </c>
      <c r="I214" s="133">
        <v>1.9817432050034242E-3</v>
      </c>
    </row>
    <row r="215" spans="8:9" ht="12" customHeight="1">
      <c r="H215" s="133">
        <v>-1.710470396500289</v>
      </c>
      <c r="I215" s="133">
        <v>1.9906475699037322E-3</v>
      </c>
    </row>
    <row r="216" spans="8:9" ht="12" customHeight="1">
      <c r="H216" s="133">
        <v>-1.7101809327028226</v>
      </c>
      <c r="I216" s="133">
        <v>1.9919203819916669E-3</v>
      </c>
    </row>
    <row r="217" spans="8:9" ht="12" customHeight="1">
      <c r="H217" s="133">
        <v>-1.709352979513804</v>
      </c>
      <c r="I217" s="133">
        <v>1.995565491716836E-3</v>
      </c>
    </row>
    <row r="218" spans="8:9" ht="12" customHeight="1">
      <c r="H218" s="133">
        <v>-1.7048718452382203</v>
      </c>
      <c r="I218" s="133">
        <v>2.0154097594834264E-3</v>
      </c>
    </row>
    <row r="219" spans="8:9" ht="12" customHeight="1">
      <c r="H219" s="133">
        <v>-1.7026013751242051</v>
      </c>
      <c r="I219" s="133">
        <v>2.0255393623133727E-3</v>
      </c>
    </row>
    <row r="220" spans="8:9" ht="12" customHeight="1">
      <c r="H220" s="133">
        <v>-1.6954441685801029</v>
      </c>
      <c r="I220" s="133">
        <v>2.0578046415012374E-3</v>
      </c>
    </row>
    <row r="221" spans="8:9" ht="12" customHeight="1">
      <c r="H221" s="133">
        <v>-1.6940024659741615</v>
      </c>
      <c r="I221" s="133">
        <v>2.0643657578320357E-3</v>
      </c>
    </row>
    <row r="222" spans="8:9" ht="12" customHeight="1">
      <c r="H222" s="133">
        <v>-1.6918349558177681</v>
      </c>
      <c r="I222" s="133">
        <v>2.0742692951681574E-3</v>
      </c>
    </row>
    <row r="223" spans="8:9" ht="12" customHeight="1">
      <c r="H223" s="133">
        <v>-1.691054968803122</v>
      </c>
      <c r="I223" s="133">
        <v>2.0778447105112186E-3</v>
      </c>
    </row>
    <row r="224" spans="8:9" ht="12" customHeight="1">
      <c r="H224" s="133">
        <v>-1.6899094383662538</v>
      </c>
      <c r="I224" s="133">
        <v>2.0831069075923493E-3</v>
      </c>
    </row>
    <row r="225" spans="8:9" ht="12" customHeight="1">
      <c r="H225" s="133">
        <v>-1.6877296851485517</v>
      </c>
      <c r="I225" s="133">
        <v>2.0931567466999051E-3</v>
      </c>
    </row>
    <row r="226" spans="8:9" ht="12" customHeight="1">
      <c r="H226" s="133">
        <v>-1.6827281876924318</v>
      </c>
      <c r="I226" s="133">
        <v>2.1163995999493035E-3</v>
      </c>
    </row>
    <row r="227" spans="8:9" ht="12" customHeight="1">
      <c r="H227" s="133">
        <v>-1.68261104769086</v>
      </c>
      <c r="I227" s="133">
        <v>2.1169470460201682E-3</v>
      </c>
    </row>
    <row r="228" spans="8:9" ht="12" customHeight="1">
      <c r="H228" s="133">
        <v>-1.6805990856163442</v>
      </c>
      <c r="I228" s="133">
        <v>2.1263719052500157E-3</v>
      </c>
    </row>
    <row r="229" spans="8:9" ht="12" customHeight="1">
      <c r="H229" s="133">
        <v>-1.6784216440954711</v>
      </c>
      <c r="I229" s="133">
        <v>2.1366191219650992E-3</v>
      </c>
    </row>
    <row r="230" spans="8:9" ht="12" customHeight="1">
      <c r="H230" s="133">
        <v>-1.6713838502353238</v>
      </c>
      <c r="I230" s="133">
        <v>2.1700777752534507E-3</v>
      </c>
    </row>
    <row r="231" spans="8:9" ht="12" customHeight="1">
      <c r="H231" s="133">
        <v>-1.6705844786102684</v>
      </c>
      <c r="I231" s="133">
        <v>2.1739110109338868E-3</v>
      </c>
    </row>
    <row r="232" spans="8:9" ht="12" customHeight="1">
      <c r="H232" s="133">
        <v>-1.6705396409508422</v>
      </c>
      <c r="I232" s="133">
        <v>2.1741262214641493E-3</v>
      </c>
    </row>
    <row r="233" spans="8:9" ht="12" customHeight="1">
      <c r="H233" s="133">
        <v>-1.6681000029758861</v>
      </c>
      <c r="I233" s="133">
        <v>2.1858680296510235E-3</v>
      </c>
    </row>
    <row r="234" spans="8:9" ht="12" customHeight="1">
      <c r="H234" s="133">
        <v>-1.6667128764161976</v>
      </c>
      <c r="I234" s="133">
        <v>2.1925723676970367E-3</v>
      </c>
    </row>
    <row r="235" spans="8:9" ht="12" customHeight="1">
      <c r="H235" s="133">
        <v>-1.6666939361307946</v>
      </c>
      <c r="I235" s="133">
        <v>2.1926640527975827E-3</v>
      </c>
    </row>
    <row r="236" spans="8:9" ht="12" customHeight="1">
      <c r="H236" s="133">
        <v>-1.6646901380350194</v>
      </c>
      <c r="I236" s="133">
        <v>2.2023855719176546E-3</v>
      </c>
    </row>
    <row r="237" spans="8:9" ht="12" customHeight="1">
      <c r="H237" s="133">
        <v>-1.6626802707530413</v>
      </c>
      <c r="I237" s="133">
        <v>2.2121797380719572E-3</v>
      </c>
    </row>
    <row r="238" spans="8:9" ht="12" customHeight="1">
      <c r="H238" s="133">
        <v>-1.6624972540336471</v>
      </c>
      <c r="I238" s="133">
        <v>2.2130737420232019E-3</v>
      </c>
    </row>
    <row r="239" spans="8:9" ht="12" customHeight="1">
      <c r="H239" s="133">
        <v>-1.6617989082728211</v>
      </c>
      <c r="I239" s="133">
        <v>2.2164883495795571E-3</v>
      </c>
    </row>
    <row r="240" spans="8:9" ht="12" customHeight="1">
      <c r="H240" s="133">
        <v>-1.6601650351357353</v>
      </c>
      <c r="I240" s="133">
        <v>2.2244978307742751E-3</v>
      </c>
    </row>
    <row r="241" spans="8:9" ht="12" customHeight="1">
      <c r="H241" s="133">
        <v>-1.6585620863187538</v>
      </c>
      <c r="I241" s="133">
        <v>2.2323837793980141E-3</v>
      </c>
    </row>
    <row r="242" spans="8:9" ht="12" customHeight="1">
      <c r="H242" s="133">
        <v>-1.6563565643580784</v>
      </c>
      <c r="I242" s="133">
        <v>2.2432797900416965E-3</v>
      </c>
    </row>
    <row r="243" spans="8:9" ht="12" customHeight="1">
      <c r="H243" s="133">
        <v>-1.6557543628639635</v>
      </c>
      <c r="I243" s="133">
        <v>2.2462640765679972E-3</v>
      </c>
    </row>
    <row r="244" spans="8:9" ht="12" customHeight="1">
      <c r="H244" s="133">
        <v>-1.6555824901137735</v>
      </c>
      <c r="I244" s="133">
        <v>2.2471165403324567E-3</v>
      </c>
    </row>
    <row r="245" spans="8:9" ht="12" customHeight="1">
      <c r="H245" s="133">
        <v>-1.6532665277150773</v>
      </c>
      <c r="I245" s="133">
        <v>2.2586349042908846E-3</v>
      </c>
    </row>
    <row r="246" spans="8:9" ht="12" customHeight="1">
      <c r="H246" s="133">
        <v>-1.6520123864785956</v>
      </c>
      <c r="I246" s="133">
        <v>2.2648969027477279E-3</v>
      </c>
    </row>
    <row r="247" spans="8:9" ht="12" customHeight="1">
      <c r="H247" s="133">
        <v>-1.6500300259069147</v>
      </c>
      <c r="I247" s="133">
        <v>2.274830289093541E-3</v>
      </c>
    </row>
    <row r="248" spans="8:9" ht="12" customHeight="1">
      <c r="H248" s="133">
        <v>-1.6489193238722561</v>
      </c>
      <c r="I248" s="133">
        <v>2.2804148796972544E-3</v>
      </c>
    </row>
    <row r="249" spans="8:9" ht="12" customHeight="1">
      <c r="H249" s="133">
        <v>-1.6440498019941001</v>
      </c>
      <c r="I249" s="133">
        <v>2.3050606378968012E-3</v>
      </c>
    </row>
    <row r="250" spans="8:9" ht="12" customHeight="1">
      <c r="H250" s="133">
        <v>-1.6405508159269324</v>
      </c>
      <c r="I250" s="133">
        <v>2.3229337129991108E-3</v>
      </c>
    </row>
    <row r="251" spans="8:9" ht="12" customHeight="1">
      <c r="H251" s="133">
        <v>-1.6392741197700882</v>
      </c>
      <c r="I251" s="133">
        <v>2.3294895412308099E-3</v>
      </c>
    </row>
    <row r="252" spans="8:9" ht="12" customHeight="1">
      <c r="H252" s="133">
        <v>-1.6383655106745563</v>
      </c>
      <c r="I252" s="133">
        <v>2.334166484315598E-3</v>
      </c>
    </row>
    <row r="253" spans="8:9" ht="12" customHeight="1">
      <c r="H253" s="133">
        <v>-1.6374697604778461</v>
      </c>
      <c r="I253" s="133">
        <v>2.3387864078735546E-3</v>
      </c>
    </row>
    <row r="254" spans="8:9" ht="12" customHeight="1">
      <c r="H254" s="133">
        <v>-1.6337664210037626</v>
      </c>
      <c r="I254" s="133">
        <v>2.3579837831305302E-3</v>
      </c>
    </row>
    <row r="255" spans="8:9" ht="12" customHeight="1">
      <c r="H255" s="133">
        <v>-1.6335522680929604</v>
      </c>
      <c r="I255" s="133">
        <v>2.3590987050533746E-3</v>
      </c>
    </row>
    <row r="256" spans="8:9" ht="12" customHeight="1">
      <c r="H256" s="133">
        <v>-1.6324973645566436</v>
      </c>
      <c r="I256" s="133">
        <v>2.3645984198293248E-3</v>
      </c>
    </row>
    <row r="257" spans="8:9" ht="12" customHeight="1">
      <c r="H257" s="133">
        <v>-1.6316569804223757</v>
      </c>
      <c r="I257" s="133">
        <v>2.3689888950560382E-3</v>
      </c>
    </row>
    <row r="258" spans="8:9" ht="12" customHeight="1">
      <c r="H258" s="133">
        <v>-1.6307794769431738</v>
      </c>
      <c r="I258" s="133">
        <v>2.373581974991872E-3</v>
      </c>
    </row>
    <row r="259" spans="8:9" ht="12" customHeight="1">
      <c r="H259" s="133">
        <v>-1.6305076650897106</v>
      </c>
      <c r="I259" s="133">
        <v>2.3750065098043275E-3</v>
      </c>
    </row>
    <row r="260" spans="8:9" ht="12" customHeight="1">
      <c r="H260" s="133">
        <v>-1.6276068312962713</v>
      </c>
      <c r="I260" s="133">
        <v>2.3902626730173278E-3</v>
      </c>
    </row>
    <row r="261" spans="8:9" ht="12" customHeight="1">
      <c r="H261" s="133">
        <v>-1.627536632798563</v>
      </c>
      <c r="I261" s="133">
        <v>2.3906330723633645E-3</v>
      </c>
    </row>
    <row r="262" spans="8:9" ht="12" customHeight="1">
      <c r="H262" s="133">
        <v>-1.6264434763842353</v>
      </c>
      <c r="I262" s="133">
        <v>2.3964084591583715E-3</v>
      </c>
    </row>
    <row r="263" spans="8:9" ht="12" customHeight="1">
      <c r="H263" s="133">
        <v>-1.6260796797920096</v>
      </c>
      <c r="I263" s="133">
        <v>2.3983335620894573E-3</v>
      </c>
    </row>
    <row r="264" spans="8:9" ht="12" customHeight="1">
      <c r="H264" s="133">
        <v>-1.6253876625909274</v>
      </c>
      <c r="I264" s="133">
        <v>2.4019997700043217E-3</v>
      </c>
    </row>
    <row r="265" spans="8:9" ht="12" customHeight="1">
      <c r="H265" s="133">
        <v>-1.62218530102697</v>
      </c>
      <c r="I265" s="133">
        <v>2.4190383543885442E-3</v>
      </c>
    </row>
    <row r="266" spans="8:9" ht="12" customHeight="1">
      <c r="H266" s="133">
        <v>-1.6219011279734472</v>
      </c>
      <c r="I266" s="133">
        <v>2.4205561461737865E-3</v>
      </c>
    </row>
    <row r="267" spans="8:9" ht="12" customHeight="1">
      <c r="H267" s="133">
        <v>-1.6214914109151692</v>
      </c>
      <c r="I267" s="133">
        <v>2.4227461512907481E-3</v>
      </c>
    </row>
    <row r="268" spans="8:9" ht="12" customHeight="1">
      <c r="H268" s="133">
        <v>-1.6185299739645436</v>
      </c>
      <c r="I268" s="133">
        <v>2.438634405117717E-3</v>
      </c>
    </row>
    <row r="269" spans="8:9" ht="12" customHeight="1">
      <c r="H269" s="133">
        <v>-1.6173896146760225</v>
      </c>
      <c r="I269" s="133">
        <v>2.4447801690691993E-3</v>
      </c>
    </row>
    <row r="270" spans="8:9" ht="12" customHeight="1">
      <c r="H270" s="133">
        <v>-1.6171660214688568</v>
      </c>
      <c r="I270" s="133">
        <v>2.4459869954329455E-3</v>
      </c>
    </row>
    <row r="271" spans="8:9" ht="12" customHeight="1">
      <c r="H271" s="133">
        <v>-1.6161591326629221</v>
      </c>
      <c r="I271" s="133">
        <v>2.4514289646874123E-3</v>
      </c>
    </row>
    <row r="272" spans="8:9" ht="12" customHeight="1">
      <c r="H272" s="133">
        <v>-1.6132636648474104</v>
      </c>
      <c r="I272" s="133">
        <v>2.4671456037223117E-3</v>
      </c>
    </row>
    <row r="273" spans="8:9" ht="12" customHeight="1">
      <c r="H273" s="133">
        <v>-1.6110399722688113</v>
      </c>
      <c r="I273" s="133">
        <v>2.4792840416333157E-3</v>
      </c>
    </row>
    <row r="274" spans="8:9" ht="12" customHeight="1">
      <c r="H274" s="133">
        <v>-1.6086956758615958</v>
      </c>
      <c r="I274" s="133">
        <v>2.4921453299784936E-3</v>
      </c>
    </row>
    <row r="275" spans="8:9" ht="12" customHeight="1">
      <c r="H275" s="133">
        <v>-1.6083888215320696</v>
      </c>
      <c r="I275" s="133">
        <v>2.4938337137377026E-3</v>
      </c>
    </row>
    <row r="276" spans="8:9" ht="12" customHeight="1">
      <c r="H276" s="133">
        <v>-1.6066936616014902</v>
      </c>
      <c r="I276" s="133">
        <v>2.5031814600373504E-3</v>
      </c>
    </row>
    <row r="277" spans="8:9" ht="12" customHeight="1">
      <c r="H277" s="133">
        <v>-1.6040079139656558</v>
      </c>
      <c r="I277" s="133">
        <v>2.5180632827023785E-3</v>
      </c>
    </row>
    <row r="278" spans="8:9" ht="12" customHeight="1">
      <c r="H278" s="133">
        <v>-1.6013936620419527</v>
      </c>
      <c r="I278" s="133">
        <v>2.5326336982452171E-3</v>
      </c>
    </row>
    <row r="279" spans="8:9" ht="12" customHeight="1">
      <c r="H279" s="133">
        <v>-1.5992499590313081</v>
      </c>
      <c r="I279" s="133">
        <v>2.5446442608902512E-3</v>
      </c>
    </row>
    <row r="280" spans="8:9" ht="12" customHeight="1">
      <c r="H280" s="133">
        <v>-1.5961782642560978</v>
      </c>
      <c r="I280" s="133">
        <v>2.5619531918052523E-3</v>
      </c>
    </row>
    <row r="281" spans="8:9" ht="12" customHeight="1">
      <c r="H281" s="133">
        <v>-1.5953679131371976</v>
      </c>
      <c r="I281" s="133">
        <v>2.5665390463635888E-3</v>
      </c>
    </row>
    <row r="282" spans="8:9" ht="12" customHeight="1">
      <c r="H282" s="133">
        <v>-1.5912918376609877</v>
      </c>
      <c r="I282" s="133">
        <v>2.5897304111572456E-3</v>
      </c>
    </row>
    <row r="283" spans="8:9" ht="12" customHeight="1">
      <c r="H283" s="133">
        <v>-1.5894285580826661</v>
      </c>
      <c r="I283" s="133">
        <v>2.6004012810699187E-3</v>
      </c>
    </row>
    <row r="284" spans="8:9" ht="12" customHeight="1">
      <c r="H284" s="133">
        <v>-1.5879905361438049</v>
      </c>
      <c r="I284" s="133">
        <v>2.6086667040882161E-3</v>
      </c>
    </row>
    <row r="285" spans="8:9" ht="12" customHeight="1">
      <c r="H285" s="133">
        <v>-1.5867287768188589</v>
      </c>
      <c r="I285" s="133">
        <v>2.6159405889751926E-3</v>
      </c>
    </row>
    <row r="286" spans="8:9" ht="12" customHeight="1">
      <c r="H286" s="133">
        <v>-1.5849642286749477</v>
      </c>
      <c r="I286" s="133">
        <v>2.6261469271622062E-3</v>
      </c>
    </row>
    <row r="287" spans="8:9" ht="12" customHeight="1">
      <c r="H287" s="133">
        <v>-1.5847485607346978</v>
      </c>
      <c r="I287" s="133">
        <v>2.6273970946101327E-3</v>
      </c>
    </row>
    <row r="288" spans="8:9" ht="12" customHeight="1">
      <c r="H288" s="133">
        <v>-1.5841404046184149</v>
      </c>
      <c r="I288" s="133">
        <v>2.6309256052934123E-3</v>
      </c>
    </row>
    <row r="289" spans="8:9" ht="12" customHeight="1">
      <c r="H289" s="133">
        <v>-1.5827803562269906</v>
      </c>
      <c r="I289" s="133">
        <v>2.6388336936455721E-3</v>
      </c>
    </row>
    <row r="290" spans="8:9" ht="12" customHeight="1">
      <c r="H290" s="133">
        <v>-1.5793433043345237</v>
      </c>
      <c r="I290" s="133">
        <v>2.6589244711511389E-3</v>
      </c>
    </row>
    <row r="291" spans="8:9" ht="12" customHeight="1">
      <c r="H291" s="133">
        <v>-1.5793418260345615</v>
      </c>
      <c r="I291" s="133">
        <v>2.6589331450728245E-3</v>
      </c>
    </row>
    <row r="292" spans="8:9" ht="12" customHeight="1">
      <c r="H292" s="133">
        <v>-1.5777136207403797</v>
      </c>
      <c r="I292" s="133">
        <v>2.6685037888941341E-3</v>
      </c>
    </row>
    <row r="293" spans="8:9" ht="12" customHeight="1">
      <c r="H293" s="133">
        <v>-1.5738483287239964</v>
      </c>
      <c r="I293" s="133">
        <v>2.6913619174910278E-3</v>
      </c>
    </row>
    <row r="294" spans="8:9" ht="12" customHeight="1">
      <c r="H294" s="133">
        <v>-1.5729009999288146</v>
      </c>
      <c r="I294" s="133">
        <v>2.6969938536030918E-3</v>
      </c>
    </row>
    <row r="295" spans="8:9" ht="12" customHeight="1">
      <c r="H295" s="133">
        <v>-1.5703172944520061</v>
      </c>
      <c r="I295" s="133">
        <v>2.7124139770479854E-3</v>
      </c>
    </row>
    <row r="296" spans="8:9" ht="12" customHeight="1">
      <c r="H296" s="133">
        <v>-1.5702032816813876</v>
      </c>
      <c r="I296" s="133">
        <v>2.7130964522664989E-3</v>
      </c>
    </row>
    <row r="297" spans="8:9" ht="12" customHeight="1">
      <c r="H297" s="133">
        <v>-1.5687256365816871</v>
      </c>
      <c r="I297" s="133">
        <v>2.721957075870128E-3</v>
      </c>
    </row>
    <row r="298" spans="8:9" ht="12" customHeight="1">
      <c r="H298" s="133">
        <v>-1.5683747104122823</v>
      </c>
      <c r="I298" s="133">
        <v>2.7240656239158195E-3</v>
      </c>
    </row>
    <row r="299" spans="8:9" ht="12" customHeight="1">
      <c r="H299" s="133">
        <v>-1.5658872391815932</v>
      </c>
      <c r="I299" s="133">
        <v>2.739058420099813E-3</v>
      </c>
    </row>
    <row r="300" spans="8:9" ht="12" customHeight="1">
      <c r="H300" s="133">
        <v>-1.5656994105079094</v>
      </c>
      <c r="I300" s="133">
        <v>2.7401938603022779E-3</v>
      </c>
    </row>
    <row r="301" spans="8:9" ht="12" customHeight="1">
      <c r="H301" s="133">
        <v>-1.5626492386270707</v>
      </c>
      <c r="I301" s="133">
        <v>2.75869824654094E-3</v>
      </c>
    </row>
    <row r="302" spans="8:9" ht="12" customHeight="1">
      <c r="H302" s="133">
        <v>-1.558509767477569</v>
      </c>
      <c r="I302" s="133">
        <v>2.7840105213148177E-3</v>
      </c>
    </row>
    <row r="303" spans="8:9" ht="12" customHeight="1">
      <c r="H303" s="133">
        <v>-1.5579900821886745</v>
      </c>
      <c r="I303" s="133">
        <v>2.7872046423351648E-3</v>
      </c>
    </row>
    <row r="304" spans="8:9" ht="12" customHeight="1">
      <c r="H304" s="133">
        <v>-1.5572422249384528</v>
      </c>
      <c r="I304" s="133">
        <v>2.7918075820291053E-3</v>
      </c>
    </row>
    <row r="305" spans="8:9" ht="12" customHeight="1">
      <c r="H305" s="133">
        <v>-1.5563419668747953</v>
      </c>
      <c r="I305" s="133">
        <v>2.7973585797564063E-3</v>
      </c>
    </row>
    <row r="306" spans="8:9" ht="12" customHeight="1">
      <c r="H306" s="133">
        <v>-1.5537378547863725</v>
      </c>
      <c r="I306" s="133">
        <v>2.8134775948700204E-3</v>
      </c>
    </row>
    <row r="307" spans="8:9" ht="12" customHeight="1">
      <c r="H307" s="133">
        <v>-1.5534033387087629</v>
      </c>
      <c r="I307" s="133">
        <v>2.8155548947740791E-3</v>
      </c>
    </row>
    <row r="308" spans="8:9" ht="12" customHeight="1">
      <c r="H308" s="133">
        <v>-1.5526903390249547</v>
      </c>
      <c r="I308" s="133">
        <v>2.819987632453004E-3</v>
      </c>
    </row>
    <row r="309" spans="8:9" ht="12" customHeight="1">
      <c r="H309" s="133">
        <v>-1.552362107167284</v>
      </c>
      <c r="I309" s="133">
        <v>2.8220305970401626E-3</v>
      </c>
    </row>
    <row r="310" spans="8:9" ht="12" customHeight="1">
      <c r="H310" s="133">
        <v>-1.5501963978830884</v>
      </c>
      <c r="I310" s="133">
        <v>2.8355473424349878E-3</v>
      </c>
    </row>
    <row r="311" spans="8:9" ht="12" customHeight="1">
      <c r="H311" s="133">
        <v>-1.5488279613431142</v>
      </c>
      <c r="I311" s="133">
        <v>2.8441213681283822E-3</v>
      </c>
    </row>
    <row r="312" spans="8:9" ht="12" customHeight="1">
      <c r="H312" s="133">
        <v>-1.5417793490060838</v>
      </c>
      <c r="I312" s="133">
        <v>2.8886961146927419E-3</v>
      </c>
    </row>
    <row r="313" spans="8:9" ht="12" customHeight="1">
      <c r="H313" s="133">
        <v>-1.5416150078378843</v>
      </c>
      <c r="I313" s="133">
        <v>2.8897436601785921E-3</v>
      </c>
    </row>
    <row r="314" spans="8:9" ht="12" customHeight="1">
      <c r="H314" s="133">
        <v>-1.5381938069923455</v>
      </c>
      <c r="I314" s="133">
        <v>2.9116373439443304E-3</v>
      </c>
    </row>
    <row r="315" spans="8:9" ht="12" customHeight="1">
      <c r="H315" s="133">
        <v>-1.5367831595855141</v>
      </c>
      <c r="I315" s="133">
        <v>2.9207127466058767E-3</v>
      </c>
    </row>
    <row r="316" spans="8:9" ht="12" customHeight="1">
      <c r="H316" s="133">
        <v>-1.5363409686252987</v>
      </c>
      <c r="I316" s="133">
        <v>2.9235633851209209E-3</v>
      </c>
    </row>
    <row r="317" spans="8:9" ht="12" customHeight="1">
      <c r="H317" s="133">
        <v>-1.535363323654906</v>
      </c>
      <c r="I317" s="133">
        <v>2.929875744391196E-3</v>
      </c>
    </row>
    <row r="318" spans="8:9" ht="12" customHeight="1">
      <c r="H318" s="133">
        <v>-1.5343841088740158</v>
      </c>
      <c r="I318" s="133">
        <v>2.9362118612999595E-3</v>
      </c>
    </row>
    <row r="319" spans="8:9" ht="12" customHeight="1">
      <c r="H319" s="133">
        <v>-1.5340132543165907</v>
      </c>
      <c r="I319" s="133">
        <v>2.9386150817795609E-3</v>
      </c>
    </row>
    <row r="320" spans="8:9" ht="12" customHeight="1">
      <c r="H320" s="133">
        <v>-1.5296589881263418</v>
      </c>
      <c r="I320" s="133">
        <v>2.9669788198752587E-3</v>
      </c>
    </row>
    <row r="321" spans="8:9" ht="12" customHeight="1">
      <c r="H321" s="133">
        <v>-1.5293344866449234</v>
      </c>
      <c r="I321" s="133">
        <v>2.9691035226407018E-3</v>
      </c>
    </row>
    <row r="322" spans="8:9" ht="12" customHeight="1">
      <c r="H322" s="133">
        <v>-1.5274129591239043</v>
      </c>
      <c r="I322" s="133">
        <v>2.981716021293697E-3</v>
      </c>
    </row>
    <row r="323" spans="8:9" ht="12" customHeight="1">
      <c r="H323" s="133">
        <v>-1.5253833334746882</v>
      </c>
      <c r="I323" s="133">
        <v>2.9950960655954601E-3</v>
      </c>
    </row>
    <row r="324" spans="8:9" ht="12" customHeight="1">
      <c r="H324" s="133">
        <v>-1.5231739273960654</v>
      </c>
      <c r="I324" s="133">
        <v>3.0097293462310057E-3</v>
      </c>
    </row>
    <row r="325" spans="8:9" ht="12" customHeight="1">
      <c r="H325" s="133">
        <v>-1.5229120466107766</v>
      </c>
      <c r="I325" s="133">
        <v>3.0114685464710076E-3</v>
      </c>
    </row>
    <row r="326" spans="8:9" ht="12" customHeight="1">
      <c r="H326" s="133">
        <v>-1.5224581321164761</v>
      </c>
      <c r="I326" s="133">
        <v>3.0144854529934296E-3</v>
      </c>
    </row>
    <row r="327" spans="8:9" ht="12" customHeight="1">
      <c r="H327" s="133">
        <v>-1.5210247410896589</v>
      </c>
      <c r="I327" s="133">
        <v>3.0240321678137506E-3</v>
      </c>
    </row>
    <row r="328" spans="8:9" ht="12" customHeight="1">
      <c r="H328" s="133">
        <v>-1.5210189324962651</v>
      </c>
      <c r="I328" s="133">
        <v>3.0240709156418482E-3</v>
      </c>
    </row>
    <row r="329" spans="8:9" ht="12" customHeight="1">
      <c r="H329" s="133">
        <v>-1.5196268524382446</v>
      </c>
      <c r="I329" s="133">
        <v>3.0333714592237901E-3</v>
      </c>
    </row>
    <row r="330" spans="8:9" ht="12" customHeight="1">
      <c r="H330" s="133">
        <v>-1.5186907181381273</v>
      </c>
      <c r="I330" s="133">
        <v>3.0396418414353368E-3</v>
      </c>
    </row>
    <row r="331" spans="8:9" ht="12" customHeight="1">
      <c r="H331" s="133">
        <v>-1.5184548213969629</v>
      </c>
      <c r="I331" s="133">
        <v>3.0412239541375372E-3</v>
      </c>
    </row>
    <row r="332" spans="8:9" ht="12" customHeight="1">
      <c r="H332" s="133">
        <v>-1.5181006901503884</v>
      </c>
      <c r="I332" s="133">
        <v>3.0436005836756959E-3</v>
      </c>
    </row>
    <row r="333" spans="8:9" ht="12" customHeight="1">
      <c r="H333" s="133">
        <v>-1.5170337206736881</v>
      </c>
      <c r="I333" s="133">
        <v>3.0507723800363485E-3</v>
      </c>
    </row>
    <row r="334" spans="8:9" ht="12" customHeight="1">
      <c r="H334" s="133">
        <v>-1.5165935034380915</v>
      </c>
      <c r="I334" s="133">
        <v>3.053736273844448E-3</v>
      </c>
    </row>
    <row r="335" spans="8:9" ht="12" customHeight="1">
      <c r="H335" s="133">
        <v>-1.5102350346515481</v>
      </c>
      <c r="I335" s="133">
        <v>3.0968681270207789E-3</v>
      </c>
    </row>
    <row r="336" spans="8:9" ht="12" customHeight="1">
      <c r="H336" s="133">
        <v>-1.5085776222935907</v>
      </c>
      <c r="I336" s="133">
        <v>3.1082104075530093E-3</v>
      </c>
    </row>
    <row r="337" spans="8:9" ht="12" customHeight="1">
      <c r="H337" s="133">
        <v>-1.5082258191606213</v>
      </c>
      <c r="I337" s="133">
        <v>3.1106232481791711E-3</v>
      </c>
    </row>
    <row r="338" spans="8:9" ht="12" customHeight="1">
      <c r="H338" s="133">
        <v>-1.5081524949668075</v>
      </c>
      <c r="I338" s="133">
        <v>3.1111263770121395E-3</v>
      </c>
    </row>
    <row r="339" spans="8:9" ht="12" customHeight="1">
      <c r="H339" s="133">
        <v>-1.5072981817387676</v>
      </c>
      <c r="I339" s="133">
        <v>3.1169944029034746E-3</v>
      </c>
    </row>
    <row r="340" spans="8:9" ht="12" customHeight="1">
      <c r="H340" s="133">
        <v>-1.5025907126576628</v>
      </c>
      <c r="I340" s="133">
        <v>3.1495270758362011E-3</v>
      </c>
    </row>
    <row r="341" spans="8:9" ht="12" customHeight="1">
      <c r="H341" s="133">
        <v>-1.5024143860255426</v>
      </c>
      <c r="I341" s="133">
        <v>3.1507521996515706E-3</v>
      </c>
    </row>
    <row r="342" spans="8:9" ht="12" customHeight="1">
      <c r="H342" s="133">
        <v>-1.5022756125576948</v>
      </c>
      <c r="I342" s="133">
        <v>3.1517167367776495E-3</v>
      </c>
    </row>
    <row r="343" spans="8:9" ht="12" customHeight="1">
      <c r="H343" s="133">
        <v>-1.5004019715870334</v>
      </c>
      <c r="I343" s="133">
        <v>3.1647682229862745E-3</v>
      </c>
    </row>
    <row r="344" spans="8:9" ht="12" customHeight="1">
      <c r="H344" s="133">
        <v>-1.4979806893143073</v>
      </c>
      <c r="I344" s="133">
        <v>3.1817143201731358E-3</v>
      </c>
    </row>
    <row r="345" spans="8:9" ht="12" customHeight="1">
      <c r="H345" s="133">
        <v>-1.4949184155078454</v>
      </c>
      <c r="I345" s="133">
        <v>3.2032761915520209E-3</v>
      </c>
    </row>
    <row r="346" spans="8:9" ht="12" customHeight="1">
      <c r="H346" s="133">
        <v>-1.4942546138537236</v>
      </c>
      <c r="I346" s="133">
        <v>3.2079692802213428E-3</v>
      </c>
    </row>
    <row r="347" spans="8:9" ht="12" customHeight="1">
      <c r="H347" s="133">
        <v>-1.4929580720457096</v>
      </c>
      <c r="I347" s="133">
        <v>3.2171556280070806E-3</v>
      </c>
    </row>
    <row r="348" spans="8:9" ht="12" customHeight="1">
      <c r="H348" s="133">
        <v>-1.4925466537323839</v>
      </c>
      <c r="I348" s="133">
        <v>3.2200761143129672E-3</v>
      </c>
    </row>
    <row r="349" spans="8:9" ht="12" customHeight="1">
      <c r="H349" s="133">
        <v>-1.4910740151250512</v>
      </c>
      <c r="I349" s="133">
        <v>3.2305514341150134E-3</v>
      </c>
    </row>
    <row r="350" spans="8:9" ht="12" customHeight="1">
      <c r="H350" s="133">
        <v>-1.4889629628147549</v>
      </c>
      <c r="I350" s="133">
        <v>3.2456272557976271E-3</v>
      </c>
    </row>
    <row r="351" spans="8:9" ht="12" customHeight="1">
      <c r="H351" s="133">
        <v>-1.4880621990363185</v>
      </c>
      <c r="I351" s="133">
        <v>3.2520812751485298E-3</v>
      </c>
    </row>
    <row r="352" spans="8:9" ht="12" customHeight="1">
      <c r="H352" s="133">
        <v>-1.4877815181551195</v>
      </c>
      <c r="I352" s="133">
        <v>3.2540949811413903E-3</v>
      </c>
    </row>
    <row r="353" spans="8:9" ht="12" customHeight="1">
      <c r="H353" s="133">
        <v>-1.4857776977408901</v>
      </c>
      <c r="I353" s="133">
        <v>3.2685072657591091E-3</v>
      </c>
    </row>
    <row r="354" spans="8:9" ht="12" customHeight="1">
      <c r="H354" s="133">
        <v>-1.484998122757702</v>
      </c>
      <c r="I354" s="133">
        <v>3.2741314586123135E-3</v>
      </c>
    </row>
    <row r="355" spans="8:9" ht="12" customHeight="1">
      <c r="H355" s="133">
        <v>-1.4847375008734898</v>
      </c>
      <c r="I355" s="133">
        <v>3.2760138487741884E-3</v>
      </c>
    </row>
    <row r="356" spans="8:9" ht="12" customHeight="1">
      <c r="H356" s="133">
        <v>-1.4827991864385244</v>
      </c>
      <c r="I356" s="133">
        <v>3.2900475713147632E-3</v>
      </c>
    </row>
    <row r="357" spans="8:9" ht="12" customHeight="1">
      <c r="H357" s="133">
        <v>-1.4819935825754997</v>
      </c>
      <c r="I357" s="133">
        <v>3.2958978909999261E-3</v>
      </c>
    </row>
    <row r="358" spans="8:9" ht="12" customHeight="1">
      <c r="H358" s="133">
        <v>-1.4805029000109136</v>
      </c>
      <c r="I358" s="133">
        <v>3.3067506301376112E-3</v>
      </c>
    </row>
    <row r="359" spans="8:9" ht="12" customHeight="1">
      <c r="H359" s="133">
        <v>-1.4779404530435789</v>
      </c>
      <c r="I359" s="133">
        <v>3.3254895232400989E-3</v>
      </c>
    </row>
    <row r="360" spans="8:9" ht="12" customHeight="1">
      <c r="H360" s="133">
        <v>-1.4776329038228964</v>
      </c>
      <c r="I360" s="133">
        <v>3.3277456987150641E-3</v>
      </c>
    </row>
    <row r="361" spans="8:9" ht="12" customHeight="1">
      <c r="H361" s="133">
        <v>-1.4763380749049917</v>
      </c>
      <c r="I361" s="133">
        <v>3.3372612843454875E-3</v>
      </c>
    </row>
    <row r="362" spans="8:9" ht="12" customHeight="1">
      <c r="H362" s="133">
        <v>-1.4757465643338392</v>
      </c>
      <c r="I362" s="133">
        <v>3.341617263472279E-3</v>
      </c>
    </row>
    <row r="363" spans="8:9" ht="12" customHeight="1">
      <c r="H363" s="133">
        <v>-1.4755510552894215</v>
      </c>
      <c r="I363" s="133">
        <v>3.3430582692097416E-3</v>
      </c>
    </row>
    <row r="364" spans="8:9" ht="12" customHeight="1">
      <c r="H364" s="133">
        <v>-1.4745327883732153</v>
      </c>
      <c r="I364" s="133">
        <v>3.3505734571623704E-3</v>
      </c>
    </row>
    <row r="365" spans="8:9" ht="12" customHeight="1">
      <c r="H365" s="133">
        <v>-1.4732028749298707</v>
      </c>
      <c r="I365" s="133">
        <v>3.36041407342499E-3</v>
      </c>
    </row>
    <row r="366" spans="8:9" ht="12" customHeight="1">
      <c r="H366" s="133">
        <v>-1.4723401564710277</v>
      </c>
      <c r="I366" s="133">
        <v>3.3668131059061499E-3</v>
      </c>
    </row>
    <row r="367" spans="8:9" ht="12" customHeight="1">
      <c r="H367" s="133">
        <v>-1.470905901064901</v>
      </c>
      <c r="I367" s="133">
        <v>3.3774782813290106E-3</v>
      </c>
    </row>
    <row r="368" spans="8:9" ht="12" customHeight="1">
      <c r="H368" s="133">
        <v>-1.4685035352903146</v>
      </c>
      <c r="I368" s="133">
        <v>3.3954178437261956E-3</v>
      </c>
    </row>
    <row r="369" spans="8:9" ht="12" customHeight="1">
      <c r="H369" s="133">
        <v>-1.4665432726573024</v>
      </c>
      <c r="I369" s="133">
        <v>3.4101263524635985E-3</v>
      </c>
    </row>
    <row r="370" spans="8:9" ht="12" customHeight="1">
      <c r="H370" s="133">
        <v>-1.4663154894586226</v>
      </c>
      <c r="I370" s="133">
        <v>3.4118395989279249E-3</v>
      </c>
    </row>
    <row r="371" spans="8:9" ht="12" customHeight="1">
      <c r="H371" s="133">
        <v>-1.4656659273182442</v>
      </c>
      <c r="I371" s="133">
        <v>3.4167299219326638E-3</v>
      </c>
    </row>
    <row r="372" spans="8:9" ht="12" customHeight="1">
      <c r="H372" s="133">
        <v>-1.4655036105528474</v>
      </c>
      <c r="I372" s="133">
        <v>3.4179530377889894E-3</v>
      </c>
    </row>
    <row r="373" spans="8:9" ht="12" customHeight="1">
      <c r="H373" s="133">
        <v>-1.4614829478261073</v>
      </c>
      <c r="I373" s="133">
        <v>3.4483898556704378E-3</v>
      </c>
    </row>
    <row r="374" spans="8:9" ht="12" customHeight="1">
      <c r="H374" s="133">
        <v>-1.4603146413032648</v>
      </c>
      <c r="I374" s="133">
        <v>3.4572845912408698E-3</v>
      </c>
    </row>
    <row r="375" spans="8:9" ht="12" customHeight="1">
      <c r="H375" s="133">
        <v>-1.4571063894729117</v>
      </c>
      <c r="I375" s="133">
        <v>3.4818279315142584E-3</v>
      </c>
    </row>
    <row r="376" spans="8:9" ht="12" customHeight="1">
      <c r="H376" s="133">
        <v>-1.453698096202342</v>
      </c>
      <c r="I376" s="133">
        <v>3.5080918264298565E-3</v>
      </c>
    </row>
    <row r="377" spans="8:9" ht="12" customHeight="1">
      <c r="H377" s="133">
        <v>-1.4503541814590999</v>
      </c>
      <c r="I377" s="133">
        <v>3.5340514705946829E-3</v>
      </c>
    </row>
    <row r="378" spans="8:9" ht="12" customHeight="1">
      <c r="H378" s="133">
        <v>-1.4494128175004795</v>
      </c>
      <c r="I378" s="133">
        <v>3.5413939812046517E-3</v>
      </c>
    </row>
    <row r="379" spans="8:9" ht="12" customHeight="1">
      <c r="H379" s="133">
        <v>-1.4488590159351309</v>
      </c>
      <c r="I379" s="133">
        <v>3.5457206577002537E-3</v>
      </c>
    </row>
    <row r="380" spans="8:9" ht="12" customHeight="1">
      <c r="H380" s="133">
        <v>-1.4484981471247786</v>
      </c>
      <c r="I380" s="133">
        <v>3.5485428455904254E-3</v>
      </c>
    </row>
    <row r="381" spans="8:9" ht="12" customHeight="1">
      <c r="H381" s="133">
        <v>-1.4451732419021788</v>
      </c>
      <c r="I381" s="133">
        <v>3.5746509337326406E-3</v>
      </c>
    </row>
    <row r="382" spans="8:9" ht="12" customHeight="1">
      <c r="H382" s="133">
        <v>-1.4432895308523856</v>
      </c>
      <c r="I382" s="133">
        <v>3.5895272049239774E-3</v>
      </c>
    </row>
    <row r="383" spans="8:9" ht="12" customHeight="1">
      <c r="H383" s="133">
        <v>-1.442760492893217</v>
      </c>
      <c r="I383" s="133">
        <v>3.5937162715221644E-3</v>
      </c>
    </row>
    <row r="384" spans="8:9" ht="12" customHeight="1">
      <c r="H384" s="133">
        <v>-1.442541854247545</v>
      </c>
      <c r="I384" s="133">
        <v>3.5954489340609746E-3</v>
      </c>
    </row>
    <row r="385" spans="8:9" ht="12" customHeight="1">
      <c r="H385" s="133">
        <v>-1.4424679664120161</v>
      </c>
      <c r="I385" s="133">
        <v>3.5960346668478397E-3</v>
      </c>
    </row>
    <row r="386" spans="8:9" ht="12" customHeight="1">
      <c r="H386" s="133">
        <v>-1.4415493176712006</v>
      </c>
      <c r="I386" s="133">
        <v>3.6033250371697123E-3</v>
      </c>
    </row>
    <row r="387" spans="8:9" ht="12" customHeight="1">
      <c r="H387" s="133">
        <v>-1.4403902734901053</v>
      </c>
      <c r="I387" s="133">
        <v>3.612544193765208E-3</v>
      </c>
    </row>
    <row r="388" spans="8:9" ht="12" customHeight="1">
      <c r="H388" s="133">
        <v>-1.4390293781953372</v>
      </c>
      <c r="I388" s="133">
        <v>3.6233988965880177E-3</v>
      </c>
    </row>
    <row r="389" spans="8:9" ht="12" customHeight="1">
      <c r="H389" s="133">
        <v>-1.4374834849443441</v>
      </c>
      <c r="I389" s="133">
        <v>3.6357685988306094E-3</v>
      </c>
    </row>
    <row r="390" spans="8:9" ht="12" customHeight="1">
      <c r="H390" s="133">
        <v>-1.4368668204355195</v>
      </c>
      <c r="I390" s="133">
        <v>3.6407146658233246E-3</v>
      </c>
    </row>
    <row r="391" spans="8:9" ht="12" customHeight="1">
      <c r="H391" s="133">
        <v>-1.4359205878969705</v>
      </c>
      <c r="I391" s="133">
        <v>3.6483171303687677E-3</v>
      </c>
    </row>
    <row r="392" spans="8:9" ht="12" customHeight="1">
      <c r="H392" s="133">
        <v>-1.4350685810606227</v>
      </c>
      <c r="I392" s="133">
        <v>3.6551760745328235E-3</v>
      </c>
    </row>
    <row r="393" spans="8:9" ht="12" customHeight="1">
      <c r="H393" s="133">
        <v>-1.433846377997039</v>
      </c>
      <c r="I393" s="133">
        <v>3.6650376637853083E-3</v>
      </c>
    </row>
    <row r="394" spans="8:9" ht="12" customHeight="1">
      <c r="H394" s="133">
        <v>-1.4277685108648768</v>
      </c>
      <c r="I394" s="133">
        <v>3.7144732199436451E-3</v>
      </c>
    </row>
    <row r="395" spans="8:9" ht="12" customHeight="1">
      <c r="H395" s="133">
        <v>-1.4232978884767638</v>
      </c>
      <c r="I395" s="133">
        <v>3.7512594469825203E-3</v>
      </c>
    </row>
    <row r="396" spans="8:9" ht="12" customHeight="1">
      <c r="H396" s="133">
        <v>-1.4226989346173113</v>
      </c>
      <c r="I396" s="133">
        <v>3.7562153912877828E-3</v>
      </c>
    </row>
    <row r="397" spans="8:9" ht="12" customHeight="1">
      <c r="H397" s="133">
        <v>-1.4209864769538769</v>
      </c>
      <c r="I397" s="133">
        <v>3.7704208514801833E-3</v>
      </c>
    </row>
    <row r="398" spans="8:9" ht="12" customHeight="1">
      <c r="H398" s="133">
        <v>-1.4198935792382399</v>
      </c>
      <c r="I398" s="133">
        <v>3.7795148008306404E-3</v>
      </c>
    </row>
    <row r="399" spans="8:9" ht="12" customHeight="1">
      <c r="H399" s="133">
        <v>-1.4183445356108539</v>
      </c>
      <c r="I399" s="133">
        <v>3.7924417641093224E-3</v>
      </c>
    </row>
    <row r="400" spans="8:9" ht="12" customHeight="1">
      <c r="H400" s="133">
        <v>-1.4170555688150051</v>
      </c>
      <c r="I400" s="133">
        <v>3.8032319205181879E-3</v>
      </c>
    </row>
    <row r="401" spans="8:9" ht="12" customHeight="1">
      <c r="H401" s="133">
        <v>-1.4168512160466984</v>
      </c>
      <c r="I401" s="133">
        <v>3.8049453980759916E-3</v>
      </c>
    </row>
    <row r="402" spans="8:9" ht="12" customHeight="1">
      <c r="H402" s="133">
        <v>-1.4146013752737232</v>
      </c>
      <c r="I402" s="133">
        <v>3.8238610045575822E-3</v>
      </c>
    </row>
    <row r="403" spans="8:9" ht="12" customHeight="1">
      <c r="H403" s="133">
        <v>-1.4145345842542498</v>
      </c>
      <c r="I403" s="133">
        <v>3.8244239815774955E-3</v>
      </c>
    </row>
    <row r="404" spans="8:9" ht="12" customHeight="1">
      <c r="H404" s="133">
        <v>-1.4143053035166928</v>
      </c>
      <c r="I404" s="133">
        <v>3.8263572018114081E-3</v>
      </c>
    </row>
    <row r="405" spans="8:9" ht="12" customHeight="1">
      <c r="H405" s="133">
        <v>-1.4135295154716025</v>
      </c>
      <c r="I405" s="133">
        <v>3.8329056152426482E-3</v>
      </c>
    </row>
    <row r="406" spans="8:9" ht="12" customHeight="1">
      <c r="H406" s="133">
        <v>-1.410997564593897</v>
      </c>
      <c r="I406" s="133">
        <v>3.8543555426344654E-3</v>
      </c>
    </row>
    <row r="407" spans="8:9" ht="12" customHeight="1">
      <c r="H407" s="133">
        <v>-1.4109018104666051</v>
      </c>
      <c r="I407" s="133">
        <v>3.8551690852096578E-3</v>
      </c>
    </row>
    <row r="408" spans="8:9" ht="12" customHeight="1">
      <c r="H408" s="133">
        <v>-1.4101707803955761</v>
      </c>
      <c r="I408" s="133">
        <v>3.861385675466223E-3</v>
      </c>
    </row>
    <row r="409" spans="8:9" ht="12" customHeight="1">
      <c r="H409" s="133">
        <v>-1.408996158960131</v>
      </c>
      <c r="I409" s="133">
        <v>3.8713954319528694E-3</v>
      </c>
    </row>
    <row r="410" spans="8:9" ht="12" customHeight="1">
      <c r="H410" s="133">
        <v>-1.4088750435459976</v>
      </c>
      <c r="I410" s="133">
        <v>3.8724290084433304E-3</v>
      </c>
    </row>
    <row r="411" spans="8:9" ht="12" customHeight="1">
      <c r="H411" s="133">
        <v>-1.40771547522697</v>
      </c>
      <c r="I411" s="133">
        <v>3.8823384734586047E-3</v>
      </c>
    </row>
    <row r="412" spans="8:9" ht="12" customHeight="1">
      <c r="H412" s="133">
        <v>-1.4064274953981484</v>
      </c>
      <c r="I412" s="133">
        <v>3.8933749329237342E-3</v>
      </c>
    </row>
    <row r="413" spans="8:9" ht="12" customHeight="1">
      <c r="H413" s="133">
        <v>-1.4062072820166349</v>
      </c>
      <c r="I413" s="133">
        <v>3.8952650263174107E-3</v>
      </c>
    </row>
    <row r="414" spans="8:9" ht="12" customHeight="1">
      <c r="H414" s="133">
        <v>-1.4016939847453873</v>
      </c>
      <c r="I414" s="133">
        <v>3.9342046505920708E-3</v>
      </c>
    </row>
    <row r="415" spans="8:9" ht="12" customHeight="1">
      <c r="H415" s="133">
        <v>-1.3975945344526937</v>
      </c>
      <c r="I415" s="133">
        <v>3.9699096193456154E-3</v>
      </c>
    </row>
    <row r="416" spans="8:9" ht="12" customHeight="1">
      <c r="H416" s="133">
        <v>-1.39759097958212</v>
      </c>
      <c r="I416" s="133">
        <v>3.9699407208276085E-3</v>
      </c>
    </row>
    <row r="417" spans="8:9" ht="12" customHeight="1">
      <c r="H417" s="133">
        <v>-1.396532362520287</v>
      </c>
      <c r="I417" s="133">
        <v>3.9792133427573977E-3</v>
      </c>
    </row>
    <row r="418" spans="8:9" ht="12" customHeight="1">
      <c r="H418" s="133">
        <v>-1.396260790317323</v>
      </c>
      <c r="I418" s="133">
        <v>3.9815955684612027E-3</v>
      </c>
    </row>
    <row r="419" spans="8:9" ht="12" customHeight="1">
      <c r="H419" s="133">
        <v>-1.394043129964361</v>
      </c>
      <c r="I419" s="133">
        <v>4.0011020743780865E-3</v>
      </c>
    </row>
    <row r="420" spans="8:9" ht="12" customHeight="1">
      <c r="H420" s="133">
        <v>-1.3917309150651223</v>
      </c>
      <c r="I420" s="133">
        <v>4.0215416412498787E-3</v>
      </c>
    </row>
    <row r="421" spans="8:9" ht="12" customHeight="1">
      <c r="H421" s="133">
        <v>-1.3902565399866418</v>
      </c>
      <c r="I421" s="133">
        <v>4.0346291166243999E-3</v>
      </c>
    </row>
    <row r="422" spans="8:9" ht="12" customHeight="1">
      <c r="H422" s="133">
        <v>-1.3879972076207938</v>
      </c>
      <c r="I422" s="133">
        <v>4.054766715557297E-3</v>
      </c>
    </row>
    <row r="423" spans="8:9" ht="12" customHeight="1">
      <c r="H423" s="133">
        <v>-1.3871405595786095</v>
      </c>
      <c r="I423" s="133">
        <v>4.0624282292694037E-3</v>
      </c>
    </row>
    <row r="424" spans="8:9" ht="12" customHeight="1">
      <c r="H424" s="133">
        <v>-1.3852257955101346</v>
      </c>
      <c r="I424" s="133">
        <v>4.0796052723769422E-3</v>
      </c>
    </row>
    <row r="425" spans="8:9" ht="12" customHeight="1">
      <c r="H425" s="133">
        <v>-1.3845381083212589</v>
      </c>
      <c r="I425" s="133">
        <v>4.0857920423868141E-3</v>
      </c>
    </row>
    <row r="426" spans="8:9" ht="12" customHeight="1">
      <c r="H426" s="133">
        <v>-1.3823662815103352</v>
      </c>
      <c r="I426" s="133">
        <v>4.1053922756326376E-3</v>
      </c>
    </row>
    <row r="427" spans="8:9" ht="12" customHeight="1">
      <c r="H427" s="133">
        <v>-1.3814217343955846</v>
      </c>
      <c r="I427" s="133">
        <v>4.1139457853011287E-3</v>
      </c>
    </row>
    <row r="428" spans="8:9" ht="12" customHeight="1">
      <c r="H428" s="133">
        <v>-1.3797892547224009</v>
      </c>
      <c r="I428" s="133">
        <v>4.1287708509866114E-3</v>
      </c>
    </row>
    <row r="429" spans="8:9" ht="12" customHeight="1">
      <c r="H429" s="133">
        <v>-1.3796641010932251</v>
      </c>
      <c r="I429" s="133">
        <v>4.1299096040726332E-3</v>
      </c>
    </row>
    <row r="430" spans="8:9" ht="12" customHeight="1">
      <c r="H430" s="133">
        <v>-1.3791481386662146</v>
      </c>
      <c r="I430" s="133">
        <v>4.1346075682762882E-3</v>
      </c>
    </row>
    <row r="431" spans="8:9" ht="12" customHeight="1">
      <c r="H431" s="133">
        <v>-1.3782785720962345</v>
      </c>
      <c r="I431" s="133">
        <v>4.1425372305083996E-3</v>
      </c>
    </row>
    <row r="432" spans="8:9" ht="12" customHeight="1">
      <c r="H432" s="133">
        <v>-1.3777058420780324</v>
      </c>
      <c r="I432" s="133">
        <v>4.147768281910295E-3</v>
      </c>
    </row>
    <row r="433" spans="8:9" ht="12" customHeight="1">
      <c r="H433" s="133">
        <v>-1.376062122231311</v>
      </c>
      <c r="I433" s="133">
        <v>4.1628178182748525E-3</v>
      </c>
    </row>
    <row r="434" spans="8:9" ht="12" customHeight="1">
      <c r="H434" s="133">
        <v>-1.3757243891494193</v>
      </c>
      <c r="I434" s="133">
        <v>4.1659167555712362E-3</v>
      </c>
    </row>
    <row r="435" spans="8:9" ht="12" customHeight="1">
      <c r="H435" s="133">
        <v>-1.3743199369320176</v>
      </c>
      <c r="I435" s="133">
        <v>4.1788282462411992E-3</v>
      </c>
    </row>
    <row r="436" spans="8:9" ht="12" customHeight="1">
      <c r="H436" s="133">
        <v>-1.3733502528200796</v>
      </c>
      <c r="I436" s="133">
        <v>4.1877660487397465E-3</v>
      </c>
    </row>
    <row r="437" spans="8:9" ht="12" customHeight="1">
      <c r="H437" s="133">
        <v>-1.3731071329536551</v>
      </c>
      <c r="I437" s="133">
        <v>4.1900099237966934E-3</v>
      </c>
    </row>
    <row r="438" spans="8:9" ht="12" customHeight="1">
      <c r="H438" s="133">
        <v>-1.3729144848134469</v>
      </c>
      <c r="I438" s="133">
        <v>4.1917888201949138E-3</v>
      </c>
    </row>
    <row r="439" spans="8:9" ht="12" customHeight="1">
      <c r="H439" s="133">
        <v>-1.3696157727457725</v>
      </c>
      <c r="I439" s="133">
        <v>4.2223657975061276E-3</v>
      </c>
    </row>
    <row r="440" spans="8:9" ht="12" customHeight="1">
      <c r="H440" s="133">
        <v>-1.3694019240599693</v>
      </c>
      <c r="I440" s="133">
        <v>4.2243556881382356E-3</v>
      </c>
    </row>
    <row r="441" spans="8:9" ht="12" customHeight="1">
      <c r="H441" s="133">
        <v>-1.3659198812622633</v>
      </c>
      <c r="I441" s="133">
        <v>4.2568882651252068E-3</v>
      </c>
    </row>
    <row r="442" spans="8:9" ht="12" customHeight="1">
      <c r="H442" s="133">
        <v>-1.3643595255102017</v>
      </c>
      <c r="I442" s="133">
        <v>4.2715474295229715E-3</v>
      </c>
    </row>
    <row r="443" spans="8:9" ht="12" customHeight="1">
      <c r="H443" s="133">
        <v>-1.3615233399857063</v>
      </c>
      <c r="I443" s="133">
        <v>4.2983215375182651E-3</v>
      </c>
    </row>
    <row r="444" spans="8:9" ht="12" customHeight="1">
      <c r="H444" s="133">
        <v>-1.3614968893344528</v>
      </c>
      <c r="I444" s="133">
        <v>4.2985720213080001E-3</v>
      </c>
    </row>
    <row r="445" spans="8:9" ht="12" customHeight="1">
      <c r="H445" s="133">
        <v>-1.3609914308854922</v>
      </c>
      <c r="I445" s="133">
        <v>4.3033614322428079E-3</v>
      </c>
    </row>
    <row r="446" spans="8:9" ht="12" customHeight="1">
      <c r="H446" s="133">
        <v>-1.3596686986937527</v>
      </c>
      <c r="I446" s="133">
        <v>4.3159199823173755E-3</v>
      </c>
    </row>
    <row r="447" spans="8:9" ht="12" customHeight="1">
      <c r="H447" s="133">
        <v>-1.3563122970195689</v>
      </c>
      <c r="I447" s="133">
        <v>4.3479510220246036E-3</v>
      </c>
    </row>
    <row r="448" spans="8:9" ht="12" customHeight="1">
      <c r="H448" s="133">
        <v>-1.3525422482230838</v>
      </c>
      <c r="I448" s="133">
        <v>4.3842119172651881E-3</v>
      </c>
    </row>
    <row r="449" spans="8:9" ht="12" customHeight="1">
      <c r="H449" s="133">
        <v>-1.3513331305738423</v>
      </c>
      <c r="I449" s="133">
        <v>4.3959050357972066E-3</v>
      </c>
    </row>
    <row r="450" spans="8:9" ht="12" customHeight="1">
      <c r="H450" s="133">
        <v>-1.3494613411369816</v>
      </c>
      <c r="I450" s="133">
        <v>4.4140679776318824E-3</v>
      </c>
    </row>
    <row r="451" spans="8:9" ht="12" customHeight="1">
      <c r="H451" s="133">
        <v>-1.3488118173189347</v>
      </c>
      <c r="I451" s="133">
        <v>4.4203880888007913E-3</v>
      </c>
    </row>
    <row r="452" spans="8:9" ht="12" customHeight="1">
      <c r="H452" s="133">
        <v>-1.3473488747801212</v>
      </c>
      <c r="I452" s="133">
        <v>4.4346560864899354E-3</v>
      </c>
    </row>
    <row r="453" spans="8:9" ht="12" customHeight="1">
      <c r="H453" s="133">
        <v>-1.344274328301035</v>
      </c>
      <c r="I453" s="133">
        <v>4.4647915712792245E-3</v>
      </c>
    </row>
    <row r="454" spans="8:9" ht="12" customHeight="1">
      <c r="H454" s="133">
        <v>-1.342372212195869</v>
      </c>
      <c r="I454" s="133">
        <v>4.4835373456964377E-3</v>
      </c>
    </row>
    <row r="455" spans="8:9" ht="12" customHeight="1">
      <c r="H455" s="133">
        <v>-1.3419613753783382</v>
      </c>
      <c r="I455" s="133">
        <v>4.487596511080702E-3</v>
      </c>
    </row>
    <row r="456" spans="8:9" ht="12" customHeight="1">
      <c r="H456" s="133">
        <v>-1.339097290063723</v>
      </c>
      <c r="I456" s="133">
        <v>4.5159961853787336E-3</v>
      </c>
    </row>
    <row r="457" spans="8:9" ht="12" customHeight="1">
      <c r="H457" s="133">
        <v>-1.3388559755032428</v>
      </c>
      <c r="I457" s="133">
        <v>4.5183971667837209E-3</v>
      </c>
    </row>
    <row r="458" spans="8:9" ht="12" customHeight="1">
      <c r="H458" s="133">
        <v>-1.3384283386500684</v>
      </c>
      <c r="I458" s="133">
        <v>4.5226551005787671E-3</v>
      </c>
    </row>
    <row r="459" spans="8:9" ht="12" customHeight="1">
      <c r="H459" s="133">
        <v>-1.3382030596855703</v>
      </c>
      <c r="I459" s="133">
        <v>4.5248997848927166E-3</v>
      </c>
    </row>
    <row r="460" spans="8:9" ht="12" customHeight="1">
      <c r="H460" s="133">
        <v>-1.3378803360515341</v>
      </c>
      <c r="I460" s="133">
        <v>4.528117342390967E-3</v>
      </c>
    </row>
    <row r="461" spans="8:9" ht="12" customHeight="1">
      <c r="H461" s="133">
        <v>-1.3363048155656001</v>
      </c>
      <c r="I461" s="133">
        <v>4.5438580252546894E-3</v>
      </c>
    </row>
    <row r="462" spans="8:9" ht="12" customHeight="1">
      <c r="H462" s="133">
        <v>-1.3357988954471789</v>
      </c>
      <c r="I462" s="133">
        <v>4.5489241075196921E-3</v>
      </c>
    </row>
    <row r="463" spans="8:9" ht="12" customHeight="1">
      <c r="H463" s="133">
        <v>-1.3338086627556132</v>
      </c>
      <c r="I463" s="133">
        <v>4.5689081269505516E-3</v>
      </c>
    </row>
    <row r="464" spans="8:9" ht="12" customHeight="1">
      <c r="H464" s="133">
        <v>-1.3331634104647643</v>
      </c>
      <c r="I464" s="133">
        <v>4.5754058757705622E-3</v>
      </c>
    </row>
    <row r="465" spans="8:9" ht="12" customHeight="1">
      <c r="H465" s="133">
        <v>-1.3328531589340105</v>
      </c>
      <c r="I465" s="133">
        <v>4.5785334105653986E-3</v>
      </c>
    </row>
    <row r="466" spans="8:9" ht="12" customHeight="1">
      <c r="H466" s="133">
        <v>-1.3315728636541833</v>
      </c>
      <c r="I466" s="133">
        <v>4.591462135219734E-3</v>
      </c>
    </row>
    <row r="467" spans="8:9" ht="12" customHeight="1">
      <c r="H467" s="133">
        <v>-1.3295493710140214</v>
      </c>
      <c r="I467" s="133">
        <v>4.6119699854305952E-3</v>
      </c>
    </row>
    <row r="468" spans="8:9" ht="12" customHeight="1">
      <c r="H468" s="133">
        <v>-1.3289958374023163</v>
      </c>
      <c r="I468" s="133">
        <v>4.6175958454748294E-3</v>
      </c>
    </row>
    <row r="469" spans="8:9" ht="12" customHeight="1">
      <c r="H469" s="133">
        <v>-1.32651210563912</v>
      </c>
      <c r="I469" s="133">
        <v>4.6429235548983679E-3</v>
      </c>
    </row>
    <row r="470" spans="8:9" ht="12" customHeight="1">
      <c r="H470" s="133">
        <v>-1.3261131543857547</v>
      </c>
      <c r="I470" s="133">
        <v>4.6470047062975722E-3</v>
      </c>
    </row>
    <row r="471" spans="8:9" ht="12" customHeight="1">
      <c r="H471" s="133">
        <v>-1.3236142028882603</v>
      </c>
      <c r="I471" s="133">
        <v>4.672649581690785E-3</v>
      </c>
    </row>
    <row r="472" spans="8:9" ht="12" customHeight="1">
      <c r="H472" s="133">
        <v>-1.3215453453953354</v>
      </c>
      <c r="I472" s="133">
        <v>4.693987267515503E-3</v>
      </c>
    </row>
    <row r="473" spans="8:9" ht="12" customHeight="1">
      <c r="H473" s="133">
        <v>-1.32038371526578</v>
      </c>
      <c r="I473" s="133">
        <v>4.7060105184120581E-3</v>
      </c>
    </row>
    <row r="474" spans="8:9" ht="12" customHeight="1">
      <c r="H474" s="133">
        <v>-1.3192614238934466</v>
      </c>
      <c r="I474" s="133">
        <v>4.717655710657344E-3</v>
      </c>
    </row>
    <row r="475" spans="8:9" ht="12" customHeight="1">
      <c r="H475" s="133">
        <v>-1.3189264402460019</v>
      </c>
      <c r="I475" s="133">
        <v>4.7211371441639814E-3</v>
      </c>
    </row>
    <row r="476" spans="8:9" ht="12" customHeight="1">
      <c r="H476" s="133">
        <v>-1.3158209530276923</v>
      </c>
      <c r="I476" s="133">
        <v>4.7535339683858263E-3</v>
      </c>
    </row>
    <row r="477" spans="8:9" ht="12" customHeight="1">
      <c r="H477" s="133">
        <v>-1.315328157104499</v>
      </c>
      <c r="I477" s="133">
        <v>4.7586951769291964E-3</v>
      </c>
    </row>
    <row r="478" spans="8:9" ht="12" customHeight="1">
      <c r="H478" s="133">
        <v>-1.3140934543627851</v>
      </c>
      <c r="I478" s="133">
        <v>4.7716511165273E-3</v>
      </c>
    </row>
    <row r="479" spans="8:9" ht="12" customHeight="1">
      <c r="H479" s="133">
        <v>-1.3108667586538891</v>
      </c>
      <c r="I479" s="133">
        <v>4.8056753477537916E-3</v>
      </c>
    </row>
    <row r="480" spans="8:9" ht="12" customHeight="1">
      <c r="H480" s="133">
        <v>-1.3083977550095311</v>
      </c>
      <c r="I480" s="133">
        <v>4.831872973357478E-3</v>
      </c>
    </row>
    <row r="481" spans="8:9" ht="12" customHeight="1">
      <c r="H481" s="133">
        <v>-1.3052905454852728</v>
      </c>
      <c r="I481" s="133">
        <v>4.8650444107539298E-3</v>
      </c>
    </row>
    <row r="482" spans="8:9" ht="12" customHeight="1">
      <c r="H482" s="133">
        <v>-1.3050190214857686</v>
      </c>
      <c r="I482" s="133">
        <v>4.8679538461861831E-3</v>
      </c>
    </row>
    <row r="483" spans="8:9" ht="12" customHeight="1">
      <c r="H483" s="133">
        <v>-1.304658855871544</v>
      </c>
      <c r="I483" s="133">
        <v>4.8718157664254793E-3</v>
      </c>
    </row>
    <row r="484" spans="8:9" ht="12" customHeight="1">
      <c r="H484" s="133">
        <v>-1.3044622042491179</v>
      </c>
      <c r="I484" s="133">
        <v>4.8739256743351184E-3</v>
      </c>
    </row>
    <row r="485" spans="8:9" ht="12" customHeight="1">
      <c r="H485" s="133">
        <v>-1.3043816342765968</v>
      </c>
      <c r="I485" s="133">
        <v>4.8747903855162989E-3</v>
      </c>
    </row>
    <row r="486" spans="8:9" ht="12" customHeight="1">
      <c r="H486" s="133">
        <v>-1.301075838556377</v>
      </c>
      <c r="I486" s="133">
        <v>4.9104015300797119E-3</v>
      </c>
    </row>
    <row r="487" spans="8:9" ht="12" customHeight="1">
      <c r="H487" s="133">
        <v>-1.2983921769190523</v>
      </c>
      <c r="I487" s="133">
        <v>4.9395011151960972E-3</v>
      </c>
    </row>
    <row r="488" spans="8:9" ht="12" customHeight="1">
      <c r="H488" s="133">
        <v>-1.2975866730938592</v>
      </c>
      <c r="I488" s="133">
        <v>4.9482688204492932E-3</v>
      </c>
    </row>
    <row r="489" spans="8:9" ht="12" customHeight="1">
      <c r="H489" s="133">
        <v>-1.2973796692528821</v>
      </c>
      <c r="I489" s="133">
        <v>4.950524504882552E-3</v>
      </c>
    </row>
    <row r="490" spans="8:9" ht="12" customHeight="1">
      <c r="H490" s="133">
        <v>-1.2964591500261331</v>
      </c>
      <c r="I490" s="133">
        <v>4.9605676383696513E-3</v>
      </c>
    </row>
    <row r="491" spans="8:9" ht="12" customHeight="1">
      <c r="H491" s="133">
        <v>-1.2960409171680702</v>
      </c>
      <c r="I491" s="133">
        <v>4.9651373763544039E-3</v>
      </c>
    </row>
    <row r="492" spans="8:9" ht="12" customHeight="1">
      <c r="H492" s="133">
        <v>-1.2938252815314113</v>
      </c>
      <c r="I492" s="133">
        <v>4.989416040476191E-3</v>
      </c>
    </row>
    <row r="493" spans="8:9" ht="12" customHeight="1">
      <c r="H493" s="133">
        <v>-1.2921246904667982</v>
      </c>
      <c r="I493" s="133">
        <v>5.0081310038887451E-3</v>
      </c>
    </row>
    <row r="494" spans="8:9" ht="12" customHeight="1">
      <c r="H494" s="133">
        <v>-1.2902803610714904</v>
      </c>
      <c r="I494" s="133">
        <v>5.0285067608339786E-3</v>
      </c>
    </row>
    <row r="495" spans="8:9" ht="12" customHeight="1">
      <c r="H495" s="133">
        <v>-1.2889608571705069</v>
      </c>
      <c r="I495" s="133">
        <v>5.0431349514136227E-3</v>
      </c>
    </row>
    <row r="496" spans="8:9" ht="12" customHeight="1">
      <c r="H496" s="133">
        <v>-1.2888254228951761</v>
      </c>
      <c r="I496" s="133">
        <v>5.0446387870234305E-3</v>
      </c>
    </row>
    <row r="497" spans="8:9" ht="12" customHeight="1">
      <c r="H497" s="133">
        <v>-1.2877753332198789</v>
      </c>
      <c r="I497" s="133">
        <v>5.0563139272189689E-3</v>
      </c>
    </row>
    <row r="498" spans="8:9" ht="12" customHeight="1">
      <c r="H498" s="133">
        <v>-1.287114488159375</v>
      </c>
      <c r="I498" s="133">
        <v>5.0636751342224597E-3</v>
      </c>
    </row>
    <row r="499" spans="8:9" ht="12" customHeight="1">
      <c r="H499" s="133">
        <v>-1.2858328830584802</v>
      </c>
      <c r="I499" s="133">
        <v>5.0779814407906475E-3</v>
      </c>
    </row>
    <row r="500" spans="8:9" ht="12" customHeight="1">
      <c r="H500" s="133">
        <v>-1.2851826982863896</v>
      </c>
      <c r="I500" s="133">
        <v>5.0852546940936506E-3</v>
      </c>
    </row>
    <row r="501" spans="8:9" ht="12" customHeight="1">
      <c r="H501" s="133">
        <v>-1.2838437372606335</v>
      </c>
      <c r="I501" s="133">
        <v>5.1002655671786024E-3</v>
      </c>
    </row>
    <row r="502" spans="8:9" ht="12" customHeight="1">
      <c r="H502" s="133">
        <v>-1.2833519073408854</v>
      </c>
      <c r="I502" s="133">
        <v>5.105790455216753E-3</v>
      </c>
    </row>
    <row r="503" spans="8:9" ht="12" customHeight="1">
      <c r="H503" s="133">
        <v>-1.2826405464662229</v>
      </c>
      <c r="I503" s="133">
        <v>5.1137919424186556E-3</v>
      </c>
    </row>
    <row r="504" spans="8:9" ht="12" customHeight="1">
      <c r="H504" s="133">
        <v>-1.2825146652319643</v>
      </c>
      <c r="I504" s="133">
        <v>5.1152091707920011E-3</v>
      </c>
    </row>
    <row r="505" spans="8:9" ht="12" customHeight="1">
      <c r="H505" s="133">
        <v>-1.2785809744920877</v>
      </c>
      <c r="I505" s="133">
        <v>5.1596938897377435E-3</v>
      </c>
    </row>
    <row r="506" spans="8:9" ht="12" customHeight="1">
      <c r="H506" s="133">
        <v>-1.2771547115354298</v>
      </c>
      <c r="I506" s="133">
        <v>5.1759178841795242E-3</v>
      </c>
    </row>
    <row r="507" spans="8:9" ht="12" customHeight="1">
      <c r="H507" s="133">
        <v>-1.276889755046297</v>
      </c>
      <c r="I507" s="133">
        <v>5.1789373960018275E-3</v>
      </c>
    </row>
    <row r="508" spans="8:9" ht="12" customHeight="1">
      <c r="H508" s="133">
        <v>-1.2766097418562798</v>
      </c>
      <c r="I508" s="133">
        <v>5.1821304023919176E-3</v>
      </c>
    </row>
    <row r="509" spans="8:9" ht="12" customHeight="1">
      <c r="H509" s="133">
        <v>-1.2757214577317748</v>
      </c>
      <c r="I509" s="133">
        <v>5.1922725227446917E-3</v>
      </c>
    </row>
    <row r="510" spans="8:9" ht="12" customHeight="1">
      <c r="H510" s="133">
        <v>-1.274312630816518</v>
      </c>
      <c r="I510" s="133">
        <v>5.2083985283616898E-3</v>
      </c>
    </row>
    <row r="511" spans="8:9" ht="12" customHeight="1">
      <c r="H511" s="133">
        <v>-1.2737757976990471</v>
      </c>
      <c r="I511" s="133">
        <v>5.214556439232622E-3</v>
      </c>
    </row>
    <row r="512" spans="8:9" ht="12" customHeight="1">
      <c r="H512" s="133">
        <v>-1.2730496578617811</v>
      </c>
      <c r="I512" s="133">
        <v>5.2228973766224067E-3</v>
      </c>
    </row>
    <row r="513" spans="8:9" ht="12" customHeight="1">
      <c r="H513" s="133">
        <v>-1.2724755956026654</v>
      </c>
      <c r="I513" s="133">
        <v>5.2295008395816115E-3</v>
      </c>
    </row>
    <row r="514" spans="8:9" ht="12" customHeight="1">
      <c r="H514" s="133">
        <v>-1.2679643909951999</v>
      </c>
      <c r="I514" s="133">
        <v>5.2816833116112504E-3</v>
      </c>
    </row>
    <row r="515" spans="8:9" ht="12" customHeight="1">
      <c r="H515" s="133">
        <v>-1.2673089643608182</v>
      </c>
      <c r="I515" s="133">
        <v>5.2893077997112035E-3</v>
      </c>
    </row>
    <row r="516" spans="8:9" ht="12" customHeight="1">
      <c r="H516" s="133">
        <v>-1.2671375673455392</v>
      </c>
      <c r="I516" s="133">
        <v>5.2913034428336437E-3</v>
      </c>
    </row>
    <row r="517" spans="8:9" ht="12" customHeight="1">
      <c r="H517" s="133">
        <v>-1.2665449445031844</v>
      </c>
      <c r="I517" s="133">
        <v>5.2982093579306902E-3</v>
      </c>
    </row>
    <row r="518" spans="8:9" ht="12" customHeight="1">
      <c r="H518" s="133">
        <v>-1.2656404981121234</v>
      </c>
      <c r="I518" s="133">
        <v>5.3087662814654485E-3</v>
      </c>
    </row>
    <row r="519" spans="8:9" ht="12" customHeight="1">
      <c r="H519" s="133">
        <v>-1.2648891498933243</v>
      </c>
      <c r="I519" s="133">
        <v>5.3175521132015954E-3</v>
      </c>
    </row>
    <row r="520" spans="8:9" ht="12" customHeight="1">
      <c r="H520" s="133">
        <v>-1.2632360563567273</v>
      </c>
      <c r="I520" s="133">
        <v>5.3369333808480426E-3</v>
      </c>
    </row>
    <row r="521" spans="8:9" ht="12" customHeight="1">
      <c r="H521" s="133">
        <v>-1.263191060454731</v>
      </c>
      <c r="I521" s="133">
        <v>5.337461904761062E-3</v>
      </c>
    </row>
    <row r="522" spans="8:9" ht="12" customHeight="1">
      <c r="H522" s="133">
        <v>-1.2608023273770983</v>
      </c>
      <c r="I522" s="133">
        <v>5.3655949407687914E-3</v>
      </c>
    </row>
    <row r="523" spans="8:9" ht="12" customHeight="1">
      <c r="H523" s="133">
        <v>-1.2597397935586598</v>
      </c>
      <c r="I523" s="133">
        <v>5.3781561589908216E-3</v>
      </c>
    </row>
    <row r="524" spans="8:9" ht="12" customHeight="1">
      <c r="H524" s="133">
        <v>-1.2596314186155171</v>
      </c>
      <c r="I524" s="133">
        <v>5.3794390043632526E-3</v>
      </c>
    </row>
    <row r="525" spans="8:9" ht="12" customHeight="1">
      <c r="H525" s="133">
        <v>-1.2575472665761527</v>
      </c>
      <c r="I525" s="133">
        <v>5.4041686146814056E-3</v>
      </c>
    </row>
    <row r="526" spans="8:9" ht="12" customHeight="1">
      <c r="H526" s="133">
        <v>-1.2572696638767986</v>
      </c>
      <c r="I526" s="133">
        <v>5.4074710450516079E-3</v>
      </c>
    </row>
    <row r="527" spans="8:9" ht="12" customHeight="1">
      <c r="H527" s="133">
        <v>-1.2557599247677911</v>
      </c>
      <c r="I527" s="133">
        <v>5.4254664461376983E-3</v>
      </c>
    </row>
    <row r="528" spans="8:9" ht="12" customHeight="1">
      <c r="H528" s="133">
        <v>-1.2549580347390072</v>
      </c>
      <c r="I528" s="133">
        <v>5.4350488152490077E-3</v>
      </c>
    </row>
    <row r="529" spans="8:9" ht="12" customHeight="1">
      <c r="H529" s="133">
        <v>-1.2543001761226982</v>
      </c>
      <c r="I529" s="133">
        <v>5.4429226148796708E-3</v>
      </c>
    </row>
    <row r="530" spans="8:9" ht="12" customHeight="1">
      <c r="H530" s="133">
        <v>-1.2512538379407268</v>
      </c>
      <c r="I530" s="133">
        <v>5.4795318774787357E-3</v>
      </c>
    </row>
    <row r="531" spans="8:9" ht="12" customHeight="1">
      <c r="H531" s="133">
        <v>-1.2512414784270049</v>
      </c>
      <c r="I531" s="133">
        <v>5.4796809051647841E-3</v>
      </c>
    </row>
    <row r="532" spans="8:9" ht="12" customHeight="1">
      <c r="H532" s="133">
        <v>-1.25115849410118</v>
      </c>
      <c r="I532" s="133">
        <v>5.4806816121969384E-3</v>
      </c>
    </row>
    <row r="533" spans="8:9" ht="12" customHeight="1">
      <c r="H533" s="133">
        <v>-1.2504485609758693</v>
      </c>
      <c r="I533" s="133">
        <v>5.4892501191273549E-3</v>
      </c>
    </row>
    <row r="534" spans="8:9" ht="12" customHeight="1">
      <c r="H534" s="133">
        <v>-1.2494116084921236</v>
      </c>
      <c r="I534" s="133">
        <v>5.5017895177487857E-3</v>
      </c>
    </row>
    <row r="535" spans="8:9" ht="12" customHeight="1">
      <c r="H535" s="133">
        <v>-1.2482299559554693</v>
      </c>
      <c r="I535" s="133">
        <v>5.5161134378981704E-3</v>
      </c>
    </row>
    <row r="536" spans="8:9" ht="12" customHeight="1">
      <c r="H536" s="133">
        <v>-1.2469464485177195</v>
      </c>
      <c r="I536" s="133">
        <v>5.5317140577082575E-3</v>
      </c>
    </row>
    <row r="537" spans="8:9" ht="12" customHeight="1">
      <c r="H537" s="133">
        <v>-1.2462735822065854</v>
      </c>
      <c r="I537" s="133">
        <v>5.5399100531579775E-3</v>
      </c>
    </row>
    <row r="538" spans="8:9" ht="12" customHeight="1">
      <c r="H538" s="133">
        <v>-1.246142465943108</v>
      </c>
      <c r="I538" s="133">
        <v>5.5415085487880702E-3</v>
      </c>
    </row>
    <row r="539" spans="8:9" ht="12" customHeight="1">
      <c r="H539" s="133">
        <v>-1.2442456501153358</v>
      </c>
      <c r="I539" s="133">
        <v>5.5646848374227833E-3</v>
      </c>
    </row>
    <row r="540" spans="8:9" ht="12" customHeight="1">
      <c r="H540" s="133">
        <v>-1.2431749118532578</v>
      </c>
      <c r="I540" s="133">
        <v>5.5778102138313726E-3</v>
      </c>
    </row>
    <row r="541" spans="8:9" ht="12" customHeight="1">
      <c r="H541" s="133">
        <v>-1.24154346655506</v>
      </c>
      <c r="I541" s="133">
        <v>5.5978680875774824E-3</v>
      </c>
    </row>
    <row r="542" spans="8:9" ht="12" customHeight="1">
      <c r="H542" s="133">
        <v>-1.2415184054643666</v>
      </c>
      <c r="I542" s="133">
        <v>5.5981767609014372E-3</v>
      </c>
    </row>
    <row r="543" spans="8:9" ht="12" customHeight="1">
      <c r="H543" s="133">
        <v>-1.2407463561327441</v>
      </c>
      <c r="I543" s="133">
        <v>5.6076942617105082E-3</v>
      </c>
    </row>
    <row r="544" spans="8:9" ht="12" customHeight="1">
      <c r="H544" s="133">
        <v>-1.2392180959431471</v>
      </c>
      <c r="I544" s="133">
        <v>5.6265814854628317E-3</v>
      </c>
    </row>
    <row r="545" spans="8:9" ht="12" customHeight="1">
      <c r="H545" s="133">
        <v>-1.2387461280885672</v>
      </c>
      <c r="I545" s="133">
        <v>5.6324271418665703E-3</v>
      </c>
    </row>
    <row r="546" spans="8:9" ht="12" customHeight="1">
      <c r="H546" s="133">
        <v>-1.2335767066310537</v>
      </c>
      <c r="I546" s="133">
        <v>5.696850731769721E-3</v>
      </c>
    </row>
    <row r="547" spans="8:9" ht="12" customHeight="1">
      <c r="H547" s="133">
        <v>-1.2333237945341451</v>
      </c>
      <c r="I547" s="133">
        <v>5.7000213642911428E-3</v>
      </c>
    </row>
    <row r="548" spans="8:9" ht="12" customHeight="1">
      <c r="H548" s="133">
        <v>-1.2328460360346458</v>
      </c>
      <c r="I548" s="133">
        <v>5.7060155721503471E-3</v>
      </c>
    </row>
    <row r="549" spans="8:9" ht="12" customHeight="1">
      <c r="H549" s="133">
        <v>-1.2320088875018751</v>
      </c>
      <c r="I549" s="133">
        <v>5.7165339916157246E-3</v>
      </c>
    </row>
    <row r="550" spans="8:9" ht="12" customHeight="1">
      <c r="H550" s="133">
        <v>-1.2296331361278112</v>
      </c>
      <c r="I550" s="133">
        <v>5.7464894094956922E-3</v>
      </c>
    </row>
    <row r="551" spans="8:9" ht="12" customHeight="1">
      <c r="H551" s="133">
        <v>-1.228261581302144</v>
      </c>
      <c r="I551" s="133">
        <v>5.7638540977934241E-3</v>
      </c>
    </row>
    <row r="552" spans="8:9" ht="12" customHeight="1">
      <c r="H552" s="133">
        <v>-1.2277096977536297</v>
      </c>
      <c r="I552" s="133">
        <v>5.7708559770714152E-3</v>
      </c>
    </row>
    <row r="553" spans="8:9" ht="12" customHeight="1">
      <c r="H553" s="133">
        <v>-1.2256155054666833</v>
      </c>
      <c r="I553" s="133">
        <v>5.7975025107656151E-3</v>
      </c>
    </row>
    <row r="554" spans="8:9" ht="12" customHeight="1">
      <c r="H554" s="133">
        <v>-1.2253427115261886</v>
      </c>
      <c r="I554" s="133">
        <v>5.8009825375355522E-3</v>
      </c>
    </row>
    <row r="555" spans="8:9" ht="12" customHeight="1">
      <c r="H555" s="133">
        <v>-1.2219868110422536</v>
      </c>
      <c r="I555" s="133">
        <v>5.8439639887875915E-3</v>
      </c>
    </row>
    <row r="556" spans="8:9" ht="12" customHeight="1">
      <c r="H556" s="133">
        <v>-1.2204377946307414</v>
      </c>
      <c r="I556" s="133">
        <v>5.8639100138383011E-3</v>
      </c>
    </row>
    <row r="557" spans="8:9" ht="12" customHeight="1">
      <c r="H557" s="133">
        <v>-1.2201689758637788</v>
      </c>
      <c r="I557" s="133">
        <v>5.8673783636028791E-3</v>
      </c>
    </row>
    <row r="558" spans="8:9" ht="12" customHeight="1">
      <c r="H558" s="133">
        <v>-1.2176081238844578</v>
      </c>
      <c r="I558" s="133">
        <v>5.9005213700786584E-3</v>
      </c>
    </row>
    <row r="559" spans="8:9" ht="12" customHeight="1">
      <c r="H559" s="133">
        <v>-1.2171547612581042</v>
      </c>
      <c r="I559" s="133">
        <v>5.9064082304555879E-3</v>
      </c>
    </row>
    <row r="560" spans="8:9" ht="12" customHeight="1">
      <c r="H560" s="133">
        <v>-1.215616622795076</v>
      </c>
      <c r="I560" s="133">
        <v>5.92642431666918E-3</v>
      </c>
    </row>
    <row r="561" spans="8:9" ht="12" customHeight="1">
      <c r="H561" s="133">
        <v>-1.213951328109109</v>
      </c>
      <c r="I561" s="133">
        <v>5.9481711355471667E-3</v>
      </c>
    </row>
    <row r="562" spans="8:9" ht="12" customHeight="1">
      <c r="H562" s="133">
        <v>-1.2133137963473786</v>
      </c>
      <c r="I562" s="133">
        <v>5.9565175419047213E-3</v>
      </c>
    </row>
    <row r="563" spans="8:9" ht="12" customHeight="1">
      <c r="H563" s="133">
        <v>-1.212768013257256</v>
      </c>
      <c r="I563" s="133">
        <v>5.9636720458575137E-3</v>
      </c>
    </row>
    <row r="564" spans="8:9" ht="12" customHeight="1">
      <c r="H564" s="133">
        <v>-1.2124687111912162</v>
      </c>
      <c r="I564" s="133">
        <v>5.9675991311699634E-3</v>
      </c>
    </row>
    <row r="565" spans="8:9" ht="12" customHeight="1">
      <c r="H565" s="133">
        <v>-1.2119912451165877</v>
      </c>
      <c r="I565" s="133">
        <v>5.973869194150749E-3</v>
      </c>
    </row>
    <row r="566" spans="8:9" ht="12" customHeight="1">
      <c r="H566" s="133">
        <v>-1.2108759706888845</v>
      </c>
      <c r="I566" s="133">
        <v>5.9885404508664801E-3</v>
      </c>
    </row>
    <row r="567" spans="8:9" ht="12" customHeight="1">
      <c r="H567" s="133">
        <v>-1.2103591362508481</v>
      </c>
      <c r="I567" s="133">
        <v>5.9953514638189567E-3</v>
      </c>
    </row>
    <row r="568" spans="8:9" ht="12" customHeight="1">
      <c r="H568" s="133">
        <v>-1.2097728354262884</v>
      </c>
      <c r="I568" s="133">
        <v>6.0030872495143777E-3</v>
      </c>
    </row>
    <row r="569" spans="8:9" ht="12" customHeight="1">
      <c r="H569" s="133">
        <v>-1.2089773905747261</v>
      </c>
      <c r="I569" s="133">
        <v>6.0135983920746074E-3</v>
      </c>
    </row>
    <row r="570" spans="8:9" ht="12" customHeight="1">
      <c r="H570" s="133">
        <v>-1.2086555090765312</v>
      </c>
      <c r="I570" s="133">
        <v>6.0178569856564534E-3</v>
      </c>
    </row>
    <row r="571" spans="8:9" ht="12" customHeight="1">
      <c r="H571" s="133">
        <v>-1.2078963128163376</v>
      </c>
      <c r="I571" s="133">
        <v>6.0279132676406867E-3</v>
      </c>
    </row>
    <row r="572" spans="8:9" ht="12" customHeight="1">
      <c r="H572" s="133">
        <v>-1.2062668624483608</v>
      </c>
      <c r="I572" s="133">
        <v>6.0495533297269437E-3</v>
      </c>
    </row>
    <row r="573" spans="8:9" ht="12" customHeight="1">
      <c r="H573" s="133">
        <v>-1.2062569904198268</v>
      </c>
      <c r="I573" s="133">
        <v>6.0496846711289923E-3</v>
      </c>
    </row>
    <row r="574" spans="8:9" ht="12" customHeight="1">
      <c r="H574" s="133">
        <v>-1.2058353589821593</v>
      </c>
      <c r="I574" s="133">
        <v>6.0552968700691989E-3</v>
      </c>
    </row>
    <row r="575" spans="8:9" ht="12" customHeight="1">
      <c r="H575" s="133">
        <v>-1.2048835006623069</v>
      </c>
      <c r="I575" s="133">
        <v>6.0679857812283404E-3</v>
      </c>
    </row>
    <row r="576" spans="8:9" ht="12" customHeight="1">
      <c r="H576" s="133">
        <v>-1.2046580012818002</v>
      </c>
      <c r="I576" s="133">
        <v>6.0709957094362936E-3</v>
      </c>
    </row>
    <row r="577" spans="8:9" ht="12" customHeight="1">
      <c r="H577" s="133">
        <v>-1.2042787394448486</v>
      </c>
      <c r="I577" s="133">
        <v>6.0760613803290233E-3</v>
      </c>
    </row>
    <row r="578" spans="8:9" ht="12" customHeight="1">
      <c r="H578" s="133">
        <v>-1.2036573655986922</v>
      </c>
      <c r="I578" s="133">
        <v>6.0843699399205009E-3</v>
      </c>
    </row>
    <row r="579" spans="8:9" ht="12" customHeight="1">
      <c r="H579" s="133">
        <v>-1.2017495938558553</v>
      </c>
      <c r="I579" s="133">
        <v>6.1099498971429701E-3</v>
      </c>
    </row>
    <row r="580" spans="8:9" ht="12" customHeight="1">
      <c r="H580" s="133">
        <v>-1.2008642743525793</v>
      </c>
      <c r="I580" s="133">
        <v>6.1218567988290586E-3</v>
      </c>
    </row>
    <row r="581" spans="8:9" ht="12" customHeight="1">
      <c r="H581" s="133">
        <v>-1.2001586402140194</v>
      </c>
      <c r="I581" s="133">
        <v>6.1313635762550722E-3</v>
      </c>
    </row>
    <row r="582" spans="8:9" ht="12" customHeight="1">
      <c r="H582" s="133">
        <v>-1.1983507208353268</v>
      </c>
      <c r="I582" s="133">
        <v>6.1557880874747797E-3</v>
      </c>
    </row>
    <row r="583" spans="8:9" ht="12" customHeight="1">
      <c r="H583" s="133">
        <v>-1.1983290922147798</v>
      </c>
      <c r="I583" s="133">
        <v>6.1560808689376028E-3</v>
      </c>
    </row>
    <row r="584" spans="8:9" ht="12" customHeight="1">
      <c r="H584" s="133">
        <v>-1.1978575589705374</v>
      </c>
      <c r="I584" s="133">
        <v>6.1624673424765858E-3</v>
      </c>
    </row>
    <row r="585" spans="8:9" ht="12" customHeight="1">
      <c r="H585" s="133">
        <v>-1.1976105431646311</v>
      </c>
      <c r="I585" s="133">
        <v>6.1658155665082915E-3</v>
      </c>
    </row>
    <row r="586" spans="8:9" ht="12" customHeight="1">
      <c r="H586" s="133">
        <v>-1.1959006229311402</v>
      </c>
      <c r="I586" s="133">
        <v>6.1890426395694604E-3</v>
      </c>
    </row>
    <row r="587" spans="8:9" ht="12" customHeight="1">
      <c r="H587" s="133">
        <v>-1.1955924088741994</v>
      </c>
      <c r="I587" s="133">
        <v>6.1932385718877145E-3</v>
      </c>
    </row>
    <row r="588" spans="8:9" ht="12" customHeight="1">
      <c r="H588" s="133">
        <v>-1.1946425366476849</v>
      </c>
      <c r="I588" s="133">
        <v>6.2061876323999138E-3</v>
      </c>
    </row>
    <row r="589" spans="8:9" ht="12" customHeight="1">
      <c r="H589" s="133">
        <v>-1.1945273225838451</v>
      </c>
      <c r="I589" s="133">
        <v>6.2077601078449557E-3</v>
      </c>
    </row>
    <row r="590" spans="8:9" ht="12" customHeight="1">
      <c r="H590" s="133">
        <v>-1.1942523074378428</v>
      </c>
      <c r="I590" s="133">
        <v>6.2115151961667555E-3</v>
      </c>
    </row>
    <row r="591" spans="8:9" ht="12" customHeight="1">
      <c r="H591" s="133">
        <v>-1.1935097877111749</v>
      </c>
      <c r="I591" s="133">
        <v>6.2216649238393757E-3</v>
      </c>
    </row>
    <row r="592" spans="8:9" ht="12" customHeight="1">
      <c r="H592" s="133">
        <v>-1.1934355272692787</v>
      </c>
      <c r="I592" s="133">
        <v>6.2226809184983047E-3</v>
      </c>
    </row>
    <row r="593" spans="8:9" ht="12" customHeight="1">
      <c r="H593" s="133">
        <v>-1.1932525110111125</v>
      </c>
      <c r="I593" s="133">
        <v>6.2251855604030194E-3</v>
      </c>
    </row>
    <row r="594" spans="8:9" ht="12" customHeight="1">
      <c r="H594" s="133">
        <v>-1.1929298928467769</v>
      </c>
      <c r="I594" s="133">
        <v>6.2296031432645844E-3</v>
      </c>
    </row>
    <row r="595" spans="8:9" ht="12" customHeight="1">
      <c r="H595" s="133">
        <v>-1.1915772925038022</v>
      </c>
      <c r="I595" s="133">
        <v>6.2481581181120386E-3</v>
      </c>
    </row>
    <row r="596" spans="8:9" ht="12" customHeight="1">
      <c r="H596" s="133">
        <v>-1.190429471979477</v>
      </c>
      <c r="I596" s="133">
        <v>6.2639469921336064E-3</v>
      </c>
    </row>
    <row r="597" spans="8:9" ht="12" customHeight="1">
      <c r="H597" s="133">
        <v>-1.188846421220092</v>
      </c>
      <c r="I597" s="133">
        <v>6.2857877521494895E-3</v>
      </c>
    </row>
    <row r="598" spans="8:9" ht="12" customHeight="1">
      <c r="H598" s="133">
        <v>-1.1887328445011334</v>
      </c>
      <c r="I598" s="133">
        <v>6.287357633873723E-3</v>
      </c>
    </row>
    <row r="599" spans="8:9" ht="12" customHeight="1">
      <c r="H599" s="133">
        <v>-1.1857515721433007</v>
      </c>
      <c r="I599" s="133">
        <v>6.3287050378719317E-3</v>
      </c>
    </row>
    <row r="600" spans="8:9" ht="12" customHeight="1">
      <c r="H600" s="133">
        <v>-1.1844930212110623</v>
      </c>
      <c r="I600" s="133">
        <v>6.3462409383129147E-3</v>
      </c>
    </row>
    <row r="601" spans="8:9" ht="12" customHeight="1">
      <c r="H601" s="133">
        <v>-1.184014719129036</v>
      </c>
      <c r="I601" s="133">
        <v>6.3529179683772139E-3</v>
      </c>
    </row>
    <row r="602" spans="8:9" ht="12" customHeight="1">
      <c r="H602" s="133">
        <v>-1.1828480850926593</v>
      </c>
      <c r="I602" s="133">
        <v>6.3692333065271528E-3</v>
      </c>
    </row>
    <row r="603" spans="8:9" ht="12" customHeight="1">
      <c r="H603" s="133">
        <v>-1.1812994471959573</v>
      </c>
      <c r="I603" s="133">
        <v>6.3909552842602562E-3</v>
      </c>
    </row>
    <row r="604" spans="8:9" ht="12" customHeight="1">
      <c r="H604" s="133">
        <v>-1.1799471840518723</v>
      </c>
      <c r="I604" s="133">
        <v>6.4099829974689276E-3</v>
      </c>
    </row>
    <row r="605" spans="8:9" ht="12" customHeight="1">
      <c r="H605" s="133">
        <v>-1.1798435443447917</v>
      </c>
      <c r="I605" s="133">
        <v>6.4114436332941014E-3</v>
      </c>
    </row>
    <row r="606" spans="8:9" ht="12" customHeight="1">
      <c r="H606" s="133">
        <v>-1.1794616037048329</v>
      </c>
      <c r="I606" s="133">
        <v>6.4168293308878603E-3</v>
      </c>
    </row>
    <row r="607" spans="8:9" ht="12" customHeight="1">
      <c r="H607" s="133">
        <v>-1.1786698217637508</v>
      </c>
      <c r="I607" s="133">
        <v>6.4280084713575388E-3</v>
      </c>
    </row>
    <row r="608" spans="8:9" ht="12" customHeight="1">
      <c r="H608" s="133">
        <v>-1.1780552217391203</v>
      </c>
      <c r="I608" s="133">
        <v>6.4366993242084567E-3</v>
      </c>
    </row>
    <row r="609" spans="8:9" ht="12" customHeight="1">
      <c r="H609" s="133">
        <v>-1.1773261115448297</v>
      </c>
      <c r="I609" s="133">
        <v>6.4470245675053326E-3</v>
      </c>
    </row>
    <row r="610" spans="8:9" ht="12" customHeight="1">
      <c r="H610" s="133">
        <v>-1.1750432626716016</v>
      </c>
      <c r="I610" s="133">
        <v>6.4794595100496413E-3</v>
      </c>
    </row>
    <row r="611" spans="8:9" ht="12" customHeight="1">
      <c r="H611" s="133">
        <v>-1.1736854702543063</v>
      </c>
      <c r="I611" s="133">
        <v>6.4988279922236431E-3</v>
      </c>
    </row>
    <row r="612" spans="8:9" ht="12" customHeight="1">
      <c r="H612" s="133">
        <v>-1.1732290511931673</v>
      </c>
      <c r="I612" s="133">
        <v>6.505351574958078E-3</v>
      </c>
    </row>
    <row r="613" spans="8:9" ht="12" customHeight="1">
      <c r="H613" s="133">
        <v>-1.1722048808304286</v>
      </c>
      <c r="I613" s="133">
        <v>6.5200136953823254E-3</v>
      </c>
    </row>
    <row r="614" spans="8:9" ht="12" customHeight="1">
      <c r="H614" s="133">
        <v>-1.1720652717918061</v>
      </c>
      <c r="I614" s="133">
        <v>6.5220148925888982E-3</v>
      </c>
    </row>
    <row r="615" spans="8:9" ht="12" customHeight="1">
      <c r="H615" s="133">
        <v>-1.1717744008358078</v>
      </c>
      <c r="I615" s="133">
        <v>6.5261862830675059E-3</v>
      </c>
    </row>
    <row r="616" spans="8:9" ht="12" customHeight="1">
      <c r="H616" s="133">
        <v>-1.1710624546412396</v>
      </c>
      <c r="I616" s="133">
        <v>6.5364075144328567E-3</v>
      </c>
    </row>
    <row r="617" spans="8:9" ht="12" customHeight="1">
      <c r="H617" s="133">
        <v>-1.170370857015415</v>
      </c>
      <c r="I617" s="133">
        <v>6.5463518338992948E-3</v>
      </c>
    </row>
    <row r="618" spans="8:9" ht="12" customHeight="1">
      <c r="H618" s="133">
        <v>-1.1697588702050832</v>
      </c>
      <c r="I618" s="133">
        <v>6.5551639811830065E-3</v>
      </c>
    </row>
    <row r="619" spans="8:9" ht="12" customHeight="1">
      <c r="H619" s="133">
        <v>-1.1694771747189314</v>
      </c>
      <c r="I619" s="133">
        <v>6.5592241425801836E-3</v>
      </c>
    </row>
    <row r="620" spans="8:9" ht="12" customHeight="1">
      <c r="H620" s="133">
        <v>-1.1692096059059236</v>
      </c>
      <c r="I620" s="133">
        <v>6.5630830053871152E-3</v>
      </c>
    </row>
    <row r="621" spans="8:9" ht="12" customHeight="1">
      <c r="H621" s="133">
        <v>-1.1686074487861728</v>
      </c>
      <c r="I621" s="133">
        <v>6.5717755330023343E-3</v>
      </c>
    </row>
    <row r="622" spans="8:9" ht="12" customHeight="1">
      <c r="H622" s="133">
        <v>-1.1685588584301283</v>
      </c>
      <c r="I622" s="133">
        <v>6.5724774646985186E-3</v>
      </c>
    </row>
    <row r="623" spans="8:9" ht="12" customHeight="1">
      <c r="H623" s="133">
        <v>-1.1685530690073287</v>
      </c>
      <c r="I623" s="133">
        <v>6.5725611031191115E-3</v>
      </c>
    </row>
    <row r="624" spans="8:9" ht="12" customHeight="1">
      <c r="H624" s="133">
        <v>-1.1680892244570551</v>
      </c>
      <c r="I624" s="133">
        <v>6.5792655924816141E-3</v>
      </c>
    </row>
    <row r="625" spans="8:9" ht="12" customHeight="1">
      <c r="H625" s="133">
        <v>-1.1677962176552499</v>
      </c>
      <c r="I625" s="133">
        <v>6.5835042642838617E-3</v>
      </c>
    </row>
    <row r="626" spans="8:9" ht="12" customHeight="1">
      <c r="H626" s="133">
        <v>-1.1658554429785728</v>
      </c>
      <c r="I626" s="133">
        <v>6.6116483157433034E-3</v>
      </c>
    </row>
    <row r="627" spans="8:9" ht="12" customHeight="1">
      <c r="H627" s="133">
        <v>-1.165425833614091</v>
      </c>
      <c r="I627" s="133">
        <v>6.6178944132604537E-3</v>
      </c>
    </row>
    <row r="628" spans="8:9" ht="12" customHeight="1">
      <c r="H628" s="133">
        <v>-1.1652023816872099</v>
      </c>
      <c r="I628" s="133">
        <v>6.6211455013015638E-3</v>
      </c>
    </row>
    <row r="629" spans="8:9" ht="12" customHeight="1">
      <c r="H629" s="133">
        <v>-1.1615261405288211</v>
      </c>
      <c r="I629" s="133">
        <v>6.6748608688087996E-3</v>
      </c>
    </row>
    <row r="630" spans="8:9" ht="12" customHeight="1">
      <c r="H630" s="133">
        <v>-1.1608826488241086</v>
      </c>
      <c r="I630" s="133">
        <v>6.6843076573216966E-3</v>
      </c>
    </row>
    <row r="631" spans="8:9" ht="12" customHeight="1">
      <c r="H631" s="133">
        <v>-1.1597328627365919</v>
      </c>
      <c r="I631" s="133">
        <v>6.7012201819687785E-3</v>
      </c>
    </row>
    <row r="632" spans="8:9" ht="12" customHeight="1">
      <c r="H632" s="133">
        <v>-1.1568479746765126</v>
      </c>
      <c r="I632" s="133">
        <v>6.743842144902013E-3</v>
      </c>
    </row>
    <row r="633" spans="8:9" ht="12" customHeight="1">
      <c r="H633" s="133">
        <v>-1.1566270074886398</v>
      </c>
      <c r="I633" s="133">
        <v>6.7471178417764328E-3</v>
      </c>
    </row>
    <row r="634" spans="8:9" ht="12" customHeight="1">
      <c r="H634" s="133">
        <v>-1.1542765546590801</v>
      </c>
      <c r="I634" s="133">
        <v>6.7820597561580641E-3</v>
      </c>
    </row>
    <row r="635" spans="8:9" ht="12" customHeight="1">
      <c r="H635" s="133">
        <v>-1.1542095311208345</v>
      </c>
      <c r="I635" s="133">
        <v>6.7830587614795875E-3</v>
      </c>
    </row>
    <row r="636" spans="8:9" ht="12" customHeight="1">
      <c r="H636" s="133">
        <v>-1.1541075110050798</v>
      </c>
      <c r="I636" s="133">
        <v>6.7845796815112439E-3</v>
      </c>
    </row>
    <row r="637" spans="8:9" ht="12" customHeight="1">
      <c r="H637" s="133">
        <v>-1.153318443026077</v>
      </c>
      <c r="I637" s="133">
        <v>6.7963545851016305E-3</v>
      </c>
    </row>
    <row r="638" spans="8:9" ht="12" customHeight="1">
      <c r="H638" s="133">
        <v>-1.1527124278661953</v>
      </c>
      <c r="I638" s="133">
        <v>6.8054116520496347E-3</v>
      </c>
    </row>
    <row r="639" spans="8:9" ht="12" customHeight="1">
      <c r="H639" s="133">
        <v>-1.1492568255720192</v>
      </c>
      <c r="I639" s="133">
        <v>6.8572861214155258E-3</v>
      </c>
    </row>
    <row r="640" spans="8:9" ht="12" customHeight="1">
      <c r="H640" s="133">
        <v>-1.1488264577600797</v>
      </c>
      <c r="I640" s="133">
        <v>6.8637741116097765E-3</v>
      </c>
    </row>
    <row r="641" spans="8:9" ht="12" customHeight="1">
      <c r="H641" s="133">
        <v>-1.1479731745374764</v>
      </c>
      <c r="I641" s="133">
        <v>6.8766557744953504E-3</v>
      </c>
    </row>
    <row r="642" spans="8:9" ht="12" customHeight="1">
      <c r="H642" s="133">
        <v>-1.14766849821344</v>
      </c>
      <c r="I642" s="133">
        <v>6.8812611609510663E-3</v>
      </c>
    </row>
    <row r="643" spans="8:9" ht="12" customHeight="1">
      <c r="H643" s="133">
        <v>-1.1461741266166252</v>
      </c>
      <c r="I643" s="133">
        <v>6.9038939786114561E-3</v>
      </c>
    </row>
    <row r="644" spans="8:9" ht="12" customHeight="1">
      <c r="H644" s="133">
        <v>-1.1436316083080371</v>
      </c>
      <c r="I644" s="133">
        <v>6.9425713752549701E-3</v>
      </c>
    </row>
    <row r="645" spans="8:9" ht="12" customHeight="1">
      <c r="H645" s="133">
        <v>-1.1432302672427233</v>
      </c>
      <c r="I645" s="133">
        <v>6.9486963034022173E-3</v>
      </c>
    </row>
    <row r="646" spans="8:9" ht="12" customHeight="1">
      <c r="H646" s="133">
        <v>-1.1421752533455629</v>
      </c>
      <c r="I646" s="133">
        <v>6.9648226374708529E-3</v>
      </c>
    </row>
    <row r="647" spans="8:9" ht="12" customHeight="1">
      <c r="H647" s="133">
        <v>-1.134417259310275</v>
      </c>
      <c r="I647" s="133">
        <v>7.0845537509095311E-3</v>
      </c>
    </row>
    <row r="648" spans="8:9" ht="12" customHeight="1">
      <c r="H648" s="133">
        <v>-1.1342696483945254</v>
      </c>
      <c r="I648" s="133">
        <v>7.0868515691703479E-3</v>
      </c>
    </row>
    <row r="649" spans="8:9" ht="12" customHeight="1">
      <c r="H649" s="133">
        <v>-1.1342299729506202</v>
      </c>
      <c r="I649" s="133">
        <v>7.0874693119855432E-3</v>
      </c>
    </row>
    <row r="650" spans="8:9" ht="12" customHeight="1">
      <c r="H650" s="133">
        <v>-1.1313158658474245</v>
      </c>
      <c r="I650" s="133">
        <v>7.1329881495533461E-3</v>
      </c>
    </row>
    <row r="651" spans="8:9" ht="12" customHeight="1">
      <c r="H651" s="133">
        <v>-1.1296942739992988</v>
      </c>
      <c r="I651" s="133">
        <v>7.1584432527220703E-3</v>
      </c>
    </row>
    <row r="652" spans="8:9" ht="12" customHeight="1">
      <c r="H652" s="133">
        <v>-1.1292207757718618</v>
      </c>
      <c r="I652" s="133">
        <v>7.1658930364705995E-3</v>
      </c>
    </row>
    <row r="653" spans="8:9" ht="12" customHeight="1">
      <c r="H653" s="133">
        <v>-1.1275824099848202</v>
      </c>
      <c r="I653" s="133">
        <v>7.1917297042938646E-3</v>
      </c>
    </row>
    <row r="654" spans="8:9" ht="12" customHeight="1">
      <c r="H654" s="133">
        <v>-1.1271061887374962</v>
      </c>
      <c r="I654" s="133">
        <v>7.1992569407821191E-3</v>
      </c>
    </row>
    <row r="655" spans="8:9" ht="12" customHeight="1">
      <c r="H655" s="133">
        <v>-1.1266234662314145</v>
      </c>
      <c r="I655" s="133">
        <v>7.2068949194374326E-3</v>
      </c>
    </row>
    <row r="656" spans="8:9" ht="12" customHeight="1">
      <c r="H656" s="133">
        <v>-1.1241236574033713</v>
      </c>
      <c r="I656" s="133">
        <v>7.2465775549805577E-3</v>
      </c>
    </row>
    <row r="657" spans="8:9" ht="12" customHeight="1">
      <c r="H657" s="133">
        <v>-1.1215935423920567</v>
      </c>
      <c r="I657" s="133">
        <v>7.2869621410746139E-3</v>
      </c>
    </row>
    <row r="658" spans="8:9" ht="12" customHeight="1">
      <c r="H658" s="133">
        <v>-1.1215553680793455</v>
      </c>
      <c r="I658" s="133">
        <v>7.2875731704045155E-3</v>
      </c>
    </row>
    <row r="659" spans="8:9" ht="12" customHeight="1">
      <c r="H659" s="133">
        <v>-1.1211422553644217</v>
      </c>
      <c r="I659" s="133">
        <v>7.2941888287861587E-3</v>
      </c>
    </row>
    <row r="660" spans="8:9" ht="12" customHeight="1">
      <c r="H660" s="133">
        <v>-1.1209227086518472</v>
      </c>
      <c r="I660" s="133">
        <v>7.2977071134117093E-3</v>
      </c>
    </row>
    <row r="661" spans="8:9" ht="12" customHeight="1">
      <c r="H661" s="133">
        <v>-1.1191141891048251</v>
      </c>
      <c r="I661" s="133">
        <v>7.3267532036148534E-3</v>
      </c>
    </row>
    <row r="662" spans="8:9" ht="12" customHeight="1">
      <c r="H662" s="133">
        <v>-1.1187241678425703</v>
      </c>
      <c r="I662" s="133">
        <v>7.3330322448804212E-3</v>
      </c>
    </row>
    <row r="663" spans="8:9" ht="12" customHeight="1">
      <c r="H663" s="133">
        <v>-1.1184679074847441</v>
      </c>
      <c r="I663" s="133">
        <v>7.3371607462514171E-3</v>
      </c>
    </row>
    <row r="664" spans="8:9" ht="12" customHeight="1">
      <c r="H664" s="133">
        <v>-1.1183027428145007</v>
      </c>
      <c r="I664" s="133">
        <v>7.3398228664639641E-3</v>
      </c>
    </row>
    <row r="665" spans="8:9" ht="12" customHeight="1">
      <c r="H665" s="133">
        <v>-1.1175398008544366</v>
      </c>
      <c r="I665" s="133">
        <v>7.3521323951759934E-3</v>
      </c>
    </row>
    <row r="666" spans="8:9" ht="12" customHeight="1">
      <c r="H666" s="133">
        <v>-1.1173813381948194</v>
      </c>
      <c r="I666" s="133">
        <v>7.3546916469251723E-3</v>
      </c>
    </row>
    <row r="667" spans="8:9" ht="12" customHeight="1">
      <c r="H667" s="133">
        <v>-1.1169496123787186</v>
      </c>
      <c r="I667" s="133">
        <v>7.3616687235218397E-3</v>
      </c>
    </row>
    <row r="668" spans="8:9" ht="12" customHeight="1">
      <c r="H668" s="133">
        <v>-1.1165016918664845</v>
      </c>
      <c r="I668" s="133">
        <v>7.3689144650193683E-3</v>
      </c>
    </row>
    <row r="669" spans="8:9" ht="12" customHeight="1">
      <c r="H669" s="133">
        <v>-1.1133980866234601</v>
      </c>
      <c r="I669" s="133">
        <v>7.41931444222323E-3</v>
      </c>
    </row>
    <row r="670" spans="8:9" ht="12" customHeight="1">
      <c r="H670" s="133">
        <v>-1.1115205474412682</v>
      </c>
      <c r="I670" s="133">
        <v>7.4499700622779452E-3</v>
      </c>
    </row>
    <row r="671" spans="8:9" ht="12" customHeight="1">
      <c r="H671" s="133">
        <v>-1.1107055318542096</v>
      </c>
      <c r="I671" s="133">
        <v>7.4633163710304054E-3</v>
      </c>
    </row>
    <row r="672" spans="8:9" ht="12" customHeight="1">
      <c r="H672" s="133">
        <v>-1.1104023099766371</v>
      </c>
      <c r="I672" s="133">
        <v>7.4682878429142164E-3</v>
      </c>
    </row>
    <row r="673" spans="8:9" ht="12" customHeight="1">
      <c r="H673" s="133">
        <v>-1.1092545274741128</v>
      </c>
      <c r="I673" s="133">
        <v>7.4871360866673549E-3</v>
      </c>
    </row>
    <row r="674" spans="8:9" ht="12" customHeight="1">
      <c r="H674" s="133">
        <v>-1.1090552558020643</v>
      </c>
      <c r="I674" s="133">
        <v>7.4904132211610769E-3</v>
      </c>
    </row>
    <row r="675" spans="8:9" ht="12" customHeight="1">
      <c r="H675" s="133">
        <v>-1.1090041096005854</v>
      </c>
      <c r="I675" s="133">
        <v>7.4912545787099039E-3</v>
      </c>
    </row>
    <row r="676" spans="8:9" ht="12" customHeight="1">
      <c r="H676" s="133">
        <v>-1.1082635083816901</v>
      </c>
      <c r="I676" s="133">
        <v>7.5034480224921967E-3</v>
      </c>
    </row>
    <row r="677" spans="8:9" ht="12" customHeight="1">
      <c r="H677" s="133">
        <v>-1.1071934629288949</v>
      </c>
      <c r="I677" s="133">
        <v>7.5211003151528259E-3</v>
      </c>
    </row>
    <row r="678" spans="8:9" ht="12" customHeight="1">
      <c r="H678" s="133">
        <v>-1.1062776501733425</v>
      </c>
      <c r="I678" s="133">
        <v>7.5362409933553403E-3</v>
      </c>
    </row>
    <row r="679" spans="8:9" ht="12" customHeight="1">
      <c r="H679" s="133">
        <v>-1.1053063937792893</v>
      </c>
      <c r="I679" s="133">
        <v>7.5523313449871775E-3</v>
      </c>
    </row>
    <row r="680" spans="8:9" ht="12" customHeight="1">
      <c r="H680" s="133">
        <v>-1.1047905685207431</v>
      </c>
      <c r="I680" s="133">
        <v>7.560890637817114E-3</v>
      </c>
    </row>
    <row r="681" spans="8:9" ht="12" customHeight="1">
      <c r="H681" s="133">
        <v>-1.1036495706254297</v>
      </c>
      <c r="I681" s="133">
        <v>7.5798578807190946E-3</v>
      </c>
    </row>
    <row r="682" spans="8:9" ht="12" customHeight="1">
      <c r="H682" s="133">
        <v>-1.1032169051337311</v>
      </c>
      <c r="I682" s="133">
        <v>7.587062584851075E-3</v>
      </c>
    </row>
    <row r="683" spans="8:9" ht="12" customHeight="1">
      <c r="H683" s="133">
        <v>-1.1029709044127609</v>
      </c>
      <c r="I683" s="133">
        <v>7.5911619951322092E-3</v>
      </c>
    </row>
    <row r="684" spans="8:9" ht="12" customHeight="1">
      <c r="H684" s="133">
        <v>-1.1029562957600341</v>
      </c>
      <c r="I684" s="133">
        <v>7.5914055060725145E-3</v>
      </c>
    </row>
    <row r="685" spans="8:9" ht="12" customHeight="1">
      <c r="H685" s="133">
        <v>-1.1024385554175851</v>
      </c>
      <c r="I685" s="133">
        <v>7.6000407026674934E-3</v>
      </c>
    </row>
    <row r="686" spans="8:9" ht="12" customHeight="1">
      <c r="H686" s="133">
        <v>-1.1018377766814655</v>
      </c>
      <c r="I686" s="133">
        <v>7.6100730836865405E-3</v>
      </c>
    </row>
    <row r="687" spans="8:9" ht="12" customHeight="1">
      <c r="H687" s="133">
        <v>-1.1017677407572077</v>
      </c>
      <c r="I687" s="133">
        <v>7.6112434658498285E-3</v>
      </c>
    </row>
    <row r="688" spans="8:9" ht="12" customHeight="1">
      <c r="H688" s="133">
        <v>-1.101598791709858</v>
      </c>
      <c r="I688" s="133">
        <v>7.614067537128769E-3</v>
      </c>
    </row>
    <row r="689" spans="8:9" ht="12" customHeight="1">
      <c r="H689" s="133">
        <v>-1.1013793475932214</v>
      </c>
      <c r="I689" s="133">
        <v>7.6177372122334863E-3</v>
      </c>
    </row>
    <row r="690" spans="8:9" ht="12" customHeight="1">
      <c r="H690" s="133">
        <v>-1.1008530094917783</v>
      </c>
      <c r="I690" s="133">
        <v>7.6265461057648913E-3</v>
      </c>
    </row>
    <row r="691" spans="8:9" ht="12" customHeight="1">
      <c r="H691" s="133">
        <v>-1.100412187846358</v>
      </c>
      <c r="I691" s="133">
        <v>7.6339315572441944E-3</v>
      </c>
    </row>
    <row r="692" spans="8:9" ht="12" customHeight="1">
      <c r="H692" s="133">
        <v>-1.0975753027389539</v>
      </c>
      <c r="I692" s="133">
        <v>7.6816303381457215E-3</v>
      </c>
    </row>
    <row r="693" spans="8:9" ht="12" customHeight="1">
      <c r="H693" s="133">
        <v>-1.0974076241396904</v>
      </c>
      <c r="I693" s="133">
        <v>7.6844588885165623E-3</v>
      </c>
    </row>
    <row r="694" spans="8:9" ht="12" customHeight="1">
      <c r="H694" s="133">
        <v>-1.0973584182880176</v>
      </c>
      <c r="I694" s="133">
        <v>7.6852891323019833E-3</v>
      </c>
    </row>
    <row r="695" spans="8:9" ht="12" customHeight="1">
      <c r="H695" s="133">
        <v>-1.0972238521555762</v>
      </c>
      <c r="I695" s="133">
        <v>7.6875601033106009E-3</v>
      </c>
    </row>
    <row r="696" spans="8:9" ht="12" customHeight="1">
      <c r="H696" s="133">
        <v>-1.0918100604435543</v>
      </c>
      <c r="I696" s="133">
        <v>7.7794789346047038E-3</v>
      </c>
    </row>
    <row r="697" spans="8:9" ht="12" customHeight="1">
      <c r="H697" s="133">
        <v>-1.0912982841410972</v>
      </c>
      <c r="I697" s="133">
        <v>7.7882244113001127E-3</v>
      </c>
    </row>
    <row r="698" spans="8:9" ht="12" customHeight="1">
      <c r="H698" s="133">
        <v>-1.0897193244475629</v>
      </c>
      <c r="I698" s="133">
        <v>7.8152679428871458E-3</v>
      </c>
    </row>
    <row r="699" spans="8:9" ht="12" customHeight="1">
      <c r="H699" s="133">
        <v>-1.0884132916787983</v>
      </c>
      <c r="I699" s="133">
        <v>7.837707321582451E-3</v>
      </c>
    </row>
    <row r="700" spans="8:9" ht="12" customHeight="1">
      <c r="H700" s="133">
        <v>-1.0871904236304031</v>
      </c>
      <c r="I700" s="133">
        <v>7.8587757588536051E-3</v>
      </c>
    </row>
    <row r="701" spans="8:9" ht="12" customHeight="1">
      <c r="H701" s="133">
        <v>-1.0871574393308465</v>
      </c>
      <c r="I701" s="133">
        <v>7.8593448132385658E-3</v>
      </c>
    </row>
    <row r="702" spans="8:9" ht="12" customHeight="1">
      <c r="H702" s="133">
        <v>-1.0864472552377675</v>
      </c>
      <c r="I702" s="133">
        <v>7.8716070285915676E-3</v>
      </c>
    </row>
    <row r="703" spans="8:9" ht="12" customHeight="1">
      <c r="H703" s="133">
        <v>-1.0861363505308155</v>
      </c>
      <c r="I703" s="133">
        <v>7.8769811581389463E-3</v>
      </c>
    </row>
    <row r="704" spans="8:9" ht="12" customHeight="1">
      <c r="H704" s="133">
        <v>-1.0853286177480819</v>
      </c>
      <c r="I704" s="133">
        <v>7.8909602056592889E-3</v>
      </c>
    </row>
    <row r="705" spans="8:9" ht="12" customHeight="1">
      <c r="H705" s="133">
        <v>-1.0852278656607637</v>
      </c>
      <c r="I705" s="133">
        <v>7.8927055996405541E-3</v>
      </c>
    </row>
    <row r="706" spans="8:9" ht="12" customHeight="1">
      <c r="H706" s="133">
        <v>-1.083655611580697</v>
      </c>
      <c r="I706" s="133">
        <v>7.9199924540047165E-3</v>
      </c>
    </row>
    <row r="707" spans="8:9" ht="12" customHeight="1">
      <c r="H707" s="133">
        <v>-1.0828180465683974</v>
      </c>
      <c r="I707" s="133">
        <v>7.9345667843268748E-3</v>
      </c>
    </row>
    <row r="708" spans="8:9" ht="12" customHeight="1">
      <c r="H708" s="133">
        <v>-1.0817315302912935</v>
      </c>
      <c r="I708" s="133">
        <v>7.9535127231065688E-3</v>
      </c>
    </row>
    <row r="709" spans="8:9" ht="12" customHeight="1">
      <c r="H709" s="133">
        <v>-1.0817193091925985</v>
      </c>
      <c r="I709" s="133">
        <v>7.9537260814108585E-3</v>
      </c>
    </row>
    <row r="710" spans="8:9" ht="12" customHeight="1">
      <c r="H710" s="133">
        <v>-1.0787072585695985</v>
      </c>
      <c r="I710" s="133">
        <v>8.0064845547368375E-3</v>
      </c>
    </row>
    <row r="711" spans="8:9" ht="12" customHeight="1">
      <c r="H711" s="133">
        <v>-1.0782808499538801</v>
      </c>
      <c r="I711" s="133">
        <v>8.0139814388595285E-3</v>
      </c>
    </row>
    <row r="712" spans="8:9" ht="12" customHeight="1">
      <c r="H712" s="133">
        <v>-1.0755328943002953</v>
      </c>
      <c r="I712" s="133">
        <v>8.0624617999363827E-3</v>
      </c>
    </row>
    <row r="713" spans="8:9" ht="12" customHeight="1">
      <c r="H713" s="133">
        <v>-1.074770640411117</v>
      </c>
      <c r="I713" s="133">
        <v>8.0759612020874245E-3</v>
      </c>
    </row>
    <row r="714" spans="8:9" ht="12" customHeight="1">
      <c r="H714" s="133">
        <v>-1.0746548412888857</v>
      </c>
      <c r="I714" s="133">
        <v>8.0780139478453077E-3</v>
      </c>
    </row>
    <row r="715" spans="8:9" ht="12" customHeight="1">
      <c r="H715" s="133">
        <v>-1.0744816162025992</v>
      </c>
      <c r="I715" s="133">
        <v>8.0810856372840485E-3</v>
      </c>
    </row>
    <row r="716" spans="8:9" ht="12" customHeight="1">
      <c r="H716" s="133">
        <v>-1.0742105727309021</v>
      </c>
      <c r="I716" s="133">
        <v>8.0858942021206758E-3</v>
      </c>
    </row>
    <row r="717" spans="8:9" ht="12" customHeight="1">
      <c r="H717" s="133">
        <v>-1.0741903301676707</v>
      </c>
      <c r="I717" s="133">
        <v>8.0862534380044381E-3</v>
      </c>
    </row>
    <row r="718" spans="8:9" ht="12" customHeight="1">
      <c r="H718" s="133">
        <v>-1.0720438715128457</v>
      </c>
      <c r="I718" s="133">
        <v>8.1244356671522997E-3</v>
      </c>
    </row>
    <row r="719" spans="8:9" ht="12" customHeight="1">
      <c r="H719" s="133">
        <v>-1.0713648311315949</v>
      </c>
      <c r="I719" s="133">
        <v>8.1365519527475151E-3</v>
      </c>
    </row>
    <row r="720" spans="8:9" ht="12" customHeight="1">
      <c r="H720" s="133">
        <v>-1.0701236403158421</v>
      </c>
      <c r="I720" s="133">
        <v>8.1587451625907519E-3</v>
      </c>
    </row>
    <row r="721" spans="8:9" ht="12" customHeight="1">
      <c r="H721" s="133">
        <v>-1.0689011995607689</v>
      </c>
      <c r="I721" s="133">
        <v>8.1806617909658593E-3</v>
      </c>
    </row>
    <row r="722" spans="8:9" ht="12" customHeight="1">
      <c r="H722" s="133">
        <v>-1.0668100824647164</v>
      </c>
      <c r="I722" s="133">
        <v>8.2182880021515331E-3</v>
      </c>
    </row>
    <row r="723" spans="8:9" ht="12" customHeight="1">
      <c r="H723" s="133">
        <v>-1.0662187075010561</v>
      </c>
      <c r="I723" s="133">
        <v>8.2289599180453716E-3</v>
      </c>
    </row>
    <row r="724" spans="8:9" ht="12" customHeight="1">
      <c r="H724" s="133">
        <v>-1.0660326601668255</v>
      </c>
      <c r="I724" s="133">
        <v>8.2323201577455818E-3</v>
      </c>
    </row>
    <row r="725" spans="8:9" ht="12" customHeight="1">
      <c r="H725" s="133">
        <v>-1.0611426581266226</v>
      </c>
      <c r="I725" s="133">
        <v>8.3211290466085955E-3</v>
      </c>
    </row>
    <row r="726" spans="8:9" ht="12" customHeight="1">
      <c r="H726" s="133">
        <v>-1.060716208284203</v>
      </c>
      <c r="I726" s="133">
        <v>8.328918828352171E-3</v>
      </c>
    </row>
    <row r="727" spans="8:9" ht="12" customHeight="1">
      <c r="H727" s="133">
        <v>-1.0603285100062863</v>
      </c>
      <c r="I727" s="133">
        <v>8.3360070265083835E-3</v>
      </c>
    </row>
    <row r="728" spans="8:9" ht="12" customHeight="1">
      <c r="H728" s="133">
        <v>-1.0576199580060892</v>
      </c>
      <c r="I728" s="133">
        <v>8.3856940007557192E-3</v>
      </c>
    </row>
    <row r="729" spans="8:9" ht="12" customHeight="1">
      <c r="H729" s="133">
        <v>-1.0570592152000735</v>
      </c>
      <c r="I729" s="133">
        <v>8.3960171675232943E-3</v>
      </c>
    </row>
    <row r="730" spans="8:9" ht="12" customHeight="1">
      <c r="H730" s="133">
        <v>-1.0564526097868365</v>
      </c>
      <c r="I730" s="133">
        <v>8.4071988450711756E-3</v>
      </c>
    </row>
    <row r="731" spans="8:9" ht="12" customHeight="1">
      <c r="H731" s="133">
        <v>-1.0560632201633933</v>
      </c>
      <c r="I731" s="133">
        <v>8.4143843208288327E-3</v>
      </c>
    </row>
    <row r="732" spans="8:9" ht="12" customHeight="1">
      <c r="H732" s="133">
        <v>-1.0555947183055028</v>
      </c>
      <c r="I732" s="133">
        <v>8.4230377396302732E-3</v>
      </c>
    </row>
    <row r="733" spans="8:9" ht="12" customHeight="1">
      <c r="H733" s="133">
        <v>-1.0549605052681394</v>
      </c>
      <c r="I733" s="133">
        <v>8.4347659695190608E-3</v>
      </c>
    </row>
    <row r="734" spans="8:9" ht="12" customHeight="1">
      <c r="H734" s="133">
        <v>-1.0542980366771868</v>
      </c>
      <c r="I734" s="133">
        <v>8.44703400697157E-3</v>
      </c>
    </row>
    <row r="735" spans="8:9" ht="12" customHeight="1">
      <c r="H735" s="133">
        <v>-1.0539162919337086</v>
      </c>
      <c r="I735" s="133">
        <v>8.4541114449082962E-3</v>
      </c>
    </row>
    <row r="736" spans="8:9" ht="12" customHeight="1">
      <c r="H736" s="133">
        <v>-1.0526550655633591</v>
      </c>
      <c r="I736" s="133">
        <v>8.4775360455708829E-3</v>
      </c>
    </row>
    <row r="737" spans="8:9" ht="12" customHeight="1">
      <c r="H737" s="133">
        <v>-1.0525506491700025</v>
      </c>
      <c r="I737" s="133">
        <v>8.4794782401018728E-3</v>
      </c>
    </row>
    <row r="738" spans="8:9" ht="12" customHeight="1">
      <c r="H738" s="133">
        <v>-1.0511162938903602</v>
      </c>
      <c r="I738" s="133">
        <v>8.5062026249647735E-3</v>
      </c>
    </row>
    <row r="739" spans="8:9" ht="12" customHeight="1">
      <c r="H739" s="133">
        <v>-1.0497846151426287</v>
      </c>
      <c r="I739" s="133">
        <v>8.5310887217572174E-3</v>
      </c>
    </row>
    <row r="740" spans="8:9" ht="12" customHeight="1">
      <c r="H740" s="133">
        <v>-1.0494762041596748</v>
      </c>
      <c r="I740" s="133">
        <v>8.5368625195584424E-3</v>
      </c>
    </row>
    <row r="741" spans="8:9" ht="12" customHeight="1">
      <c r="H741" s="133">
        <v>-1.0480244591138383</v>
      </c>
      <c r="I741" s="133">
        <v>8.5640928864503842E-3</v>
      </c>
    </row>
    <row r="742" spans="8:9" ht="12" customHeight="1">
      <c r="H742" s="133">
        <v>-1.0461373797914808</v>
      </c>
      <c r="I742" s="133">
        <v>8.5996175607804936E-3</v>
      </c>
    </row>
    <row r="743" spans="8:9" ht="12" customHeight="1">
      <c r="H743" s="133">
        <v>-1.0455391469357642</v>
      </c>
      <c r="I743" s="133">
        <v>8.6109098894609701E-3</v>
      </c>
    </row>
    <row r="744" spans="8:9" ht="12" customHeight="1">
      <c r="H744" s="133">
        <v>-1.0447807355440359</v>
      </c>
      <c r="I744" s="133">
        <v>8.6252469031983213E-3</v>
      </c>
    </row>
    <row r="745" spans="8:9" ht="12" customHeight="1">
      <c r="H745" s="133">
        <v>-1.0441604837910536</v>
      </c>
      <c r="I745" s="133">
        <v>8.6369897340229113E-3</v>
      </c>
    </row>
    <row r="746" spans="8:9" ht="12" customHeight="1">
      <c r="H746" s="133">
        <v>-1.0422976661001127</v>
      </c>
      <c r="I746" s="133">
        <v>8.6723526288226844E-3</v>
      </c>
    </row>
    <row r="747" spans="8:9" ht="12" customHeight="1">
      <c r="H747" s="133">
        <v>-1.0420022213214832</v>
      </c>
      <c r="I747" s="133">
        <v>8.6779743911096444E-3</v>
      </c>
    </row>
    <row r="748" spans="8:9" ht="12" customHeight="1">
      <c r="H748" s="133">
        <v>-1.0414929042005752</v>
      </c>
      <c r="I748" s="133">
        <v>8.6876742271317555E-3</v>
      </c>
    </row>
    <row r="749" spans="8:9" ht="12" customHeight="1">
      <c r="H749" s="133">
        <v>-1.0408960308641695</v>
      </c>
      <c r="I749" s="133">
        <v>8.6990552304079521E-3</v>
      </c>
    </row>
    <row r="750" spans="8:9" ht="12" customHeight="1">
      <c r="H750" s="133">
        <v>-1.0405010475766707</v>
      </c>
      <c r="I750" s="133">
        <v>8.7065947787495768E-3</v>
      </c>
    </row>
    <row r="751" spans="8:9" ht="12" customHeight="1">
      <c r="H751" s="133">
        <v>-1.0401335336445032</v>
      </c>
      <c r="I751" s="133">
        <v>8.7136158015851065E-3</v>
      </c>
    </row>
    <row r="752" spans="8:9" ht="12" customHeight="1">
      <c r="H752" s="133">
        <v>-1.0385524940310971</v>
      </c>
      <c r="I752" s="133">
        <v>8.7438841972941918E-3</v>
      </c>
    </row>
    <row r="753" spans="8:9" ht="12" customHeight="1">
      <c r="H753" s="133">
        <v>-1.0379202268428041</v>
      </c>
      <c r="I753" s="133">
        <v>8.7560178605328789E-3</v>
      </c>
    </row>
    <row r="754" spans="8:9" ht="12" customHeight="1">
      <c r="H754" s="133">
        <v>-1.0373298171401124</v>
      </c>
      <c r="I754" s="133">
        <v>8.7673633159622028E-3</v>
      </c>
    </row>
    <row r="755" spans="8:9" ht="12" customHeight="1">
      <c r="H755" s="133">
        <v>-1.0360432596822848</v>
      </c>
      <c r="I755" s="133">
        <v>8.7921366085628137E-3</v>
      </c>
    </row>
    <row r="756" spans="8:9" ht="12" customHeight="1">
      <c r="H756" s="133">
        <v>-1.0350497833725809</v>
      </c>
      <c r="I756" s="133">
        <v>8.8113139415421822E-3</v>
      </c>
    </row>
    <row r="757" spans="8:9" ht="12" customHeight="1">
      <c r="H757" s="133">
        <v>-1.0348549774006761</v>
      </c>
      <c r="I757" s="133">
        <v>8.8150791909171015E-3</v>
      </c>
    </row>
    <row r="758" spans="8:9" ht="12" customHeight="1">
      <c r="H758" s="133">
        <v>-1.0347039729430301</v>
      </c>
      <c r="I758" s="133">
        <v>8.8179989328294149E-3</v>
      </c>
    </row>
    <row r="759" spans="8:9" ht="12" customHeight="1">
      <c r="H759" s="133">
        <v>-1.0337561283102157</v>
      </c>
      <c r="I759" s="133">
        <v>8.8363478551668467E-3</v>
      </c>
    </row>
    <row r="760" spans="8:9" ht="12" customHeight="1">
      <c r="H760" s="133">
        <v>-1.0329062699588756</v>
      </c>
      <c r="I760" s="133">
        <v>8.8528320750527051E-3</v>
      </c>
    </row>
    <row r="761" spans="8:9" ht="12" customHeight="1">
      <c r="H761" s="133">
        <v>-1.0322406019228263</v>
      </c>
      <c r="I761" s="133">
        <v>8.8657649414387637E-3</v>
      </c>
    </row>
    <row r="762" spans="8:9" ht="12" customHeight="1">
      <c r="H762" s="133">
        <v>-1.0313729897813735</v>
      </c>
      <c r="I762" s="133">
        <v>8.8826493693166392E-3</v>
      </c>
    </row>
    <row r="763" spans="8:9" ht="12" customHeight="1">
      <c r="H763" s="133">
        <v>-1.0306241191163485</v>
      </c>
      <c r="I763" s="133">
        <v>8.8972486140496618E-3</v>
      </c>
    </row>
    <row r="764" spans="8:9" ht="12" customHeight="1">
      <c r="H764" s="133">
        <v>-1.0290583414028585</v>
      </c>
      <c r="I764" s="133">
        <v>8.9278503548996281E-3</v>
      </c>
    </row>
    <row r="765" spans="8:9" ht="12" customHeight="1">
      <c r="H765" s="133">
        <v>-1.0288016485367204</v>
      </c>
      <c r="I765" s="133">
        <v>8.9328771319603581E-3</v>
      </c>
    </row>
    <row r="766" spans="8:9" ht="12" customHeight="1">
      <c r="H766" s="133">
        <v>-1.0287234300405463</v>
      </c>
      <c r="I766" s="133">
        <v>8.9344094302582777E-3</v>
      </c>
    </row>
    <row r="767" spans="8:9" ht="12" customHeight="1">
      <c r="H767" s="133">
        <v>-1.0285553279281365</v>
      </c>
      <c r="I767" s="133">
        <v>8.9377034277356385E-3</v>
      </c>
    </row>
    <row r="768" spans="8:9" ht="12" customHeight="1">
      <c r="H768" s="133">
        <v>-1.028382351058212</v>
      </c>
      <c r="I768" s="133">
        <v>8.9410942035043055E-3</v>
      </c>
    </row>
    <row r="769" spans="8:9" ht="12" customHeight="1">
      <c r="H769" s="133">
        <v>-1.0267978631160213</v>
      </c>
      <c r="I769" s="133">
        <v>8.9722134779647543E-3</v>
      </c>
    </row>
    <row r="770" spans="8:9" ht="12" customHeight="1">
      <c r="H770" s="133">
        <v>-1.0257667008811258</v>
      </c>
      <c r="I770" s="133">
        <v>8.9925230874106227E-3</v>
      </c>
    </row>
    <row r="771" spans="8:9" ht="12" customHeight="1">
      <c r="H771" s="133">
        <v>-1.0237703109234693</v>
      </c>
      <c r="I771" s="133">
        <v>9.0319732353017958E-3</v>
      </c>
    </row>
    <row r="772" spans="8:9" ht="12" customHeight="1">
      <c r="H772" s="133">
        <v>-1.0234216530697384</v>
      </c>
      <c r="I772" s="133">
        <v>9.0388805422200839E-3</v>
      </c>
    </row>
    <row r="773" spans="8:9" ht="12" customHeight="1">
      <c r="H773" s="133">
        <v>-1.0218498167601548</v>
      </c>
      <c r="I773" s="133">
        <v>9.0700854456558233E-3</v>
      </c>
    </row>
    <row r="774" spans="8:9" ht="12" customHeight="1">
      <c r="H774" s="133">
        <v>-1.0214461131441321</v>
      </c>
      <c r="I774" s="133">
        <v>9.0781171910369243E-3</v>
      </c>
    </row>
    <row r="775" spans="8:9" ht="12" customHeight="1">
      <c r="H775" s="133">
        <v>-1.0208642237734382</v>
      </c>
      <c r="I775" s="133">
        <v>9.0897063700316853E-3</v>
      </c>
    </row>
    <row r="776" spans="8:9" ht="12" customHeight="1">
      <c r="H776" s="133">
        <v>-1.020417853544598</v>
      </c>
      <c r="I776" s="133">
        <v>9.0986064213844069E-3</v>
      </c>
    </row>
    <row r="777" spans="8:9" ht="12" customHeight="1">
      <c r="H777" s="133">
        <v>-1.0199088848081754</v>
      </c>
      <c r="I777" s="133">
        <v>9.1087651428229648E-3</v>
      </c>
    </row>
    <row r="778" spans="8:9" ht="12" customHeight="1">
      <c r="H778" s="133">
        <v>-1.0197958041190291</v>
      </c>
      <c r="I778" s="133">
        <v>9.1110236932796605E-3</v>
      </c>
    </row>
    <row r="779" spans="8:9" ht="12" customHeight="1">
      <c r="H779" s="133">
        <v>-1.0142846313984342</v>
      </c>
      <c r="I779" s="133">
        <v>9.2217729336321694E-3</v>
      </c>
    </row>
    <row r="780" spans="8:9" ht="12" customHeight="1">
      <c r="H780" s="133">
        <v>-1.0138579689619061</v>
      </c>
      <c r="I780" s="133">
        <v>9.2304023024846697E-3</v>
      </c>
    </row>
    <row r="781" spans="8:9" ht="12" customHeight="1">
      <c r="H781" s="133">
        <v>-1.0108997027958511</v>
      </c>
      <c r="I781" s="133">
        <v>9.2904544916389848E-3</v>
      </c>
    </row>
    <row r="782" spans="8:9" ht="12" customHeight="1">
      <c r="H782" s="133">
        <v>-1.0083257634335605</v>
      </c>
      <c r="I782" s="133">
        <v>9.3430196956023701E-3</v>
      </c>
    </row>
    <row r="783" spans="8:9" ht="12" customHeight="1">
      <c r="H783" s="133">
        <v>-1.0082697157849385</v>
      </c>
      <c r="I783" s="133">
        <v>9.3441675767117881E-3</v>
      </c>
    </row>
    <row r="784" spans="8:9" ht="12" customHeight="1">
      <c r="H784" s="133">
        <v>-1.0078524631673758</v>
      </c>
      <c r="I784" s="133">
        <v>9.3527174907183149E-3</v>
      </c>
    </row>
    <row r="785" spans="8:9" ht="12" customHeight="1">
      <c r="H785" s="133">
        <v>-1.0071225117290714</v>
      </c>
      <c r="I785" s="133">
        <v>9.3676935499385668E-3</v>
      </c>
    </row>
    <row r="786" spans="8:9" ht="12" customHeight="1">
      <c r="H786" s="133">
        <v>-1.0068820168828916</v>
      </c>
      <c r="I786" s="133">
        <v>9.3726328662740409E-3</v>
      </c>
    </row>
    <row r="787" spans="8:9" ht="12" customHeight="1">
      <c r="H787" s="133">
        <v>-1.0005142976026966</v>
      </c>
      <c r="I787" s="133">
        <v>9.5043564767222036E-3</v>
      </c>
    </row>
    <row r="788" spans="8:9" ht="12" customHeight="1">
      <c r="H788" s="133">
        <v>-1.0000608532186479</v>
      </c>
      <c r="I788" s="133">
        <v>9.5138061233481595E-3</v>
      </c>
    </row>
    <row r="789" spans="8:9" ht="12" customHeight="1">
      <c r="H789" s="133">
        <v>-0.99995231903310133</v>
      </c>
      <c r="I789" s="133">
        <v>9.5160693234157285E-3</v>
      </c>
    </row>
    <row r="790" spans="8:9" ht="12" customHeight="1">
      <c r="H790" s="133">
        <v>-0.99845583665545634</v>
      </c>
      <c r="I790" s="133">
        <v>9.5473290119749959E-3</v>
      </c>
    </row>
    <row r="791" spans="8:9" ht="12" customHeight="1">
      <c r="H791" s="133">
        <v>-0.99765878770455474</v>
      </c>
      <c r="I791" s="133">
        <v>9.5640198758799554E-3</v>
      </c>
    </row>
    <row r="792" spans="8:9" ht="12" customHeight="1">
      <c r="H792" s="133">
        <v>-0.99611832553061475</v>
      </c>
      <c r="I792" s="133">
        <v>9.5963603657371627E-3</v>
      </c>
    </row>
    <row r="793" spans="8:9" ht="12" customHeight="1">
      <c r="H793" s="133">
        <v>-0.9948243266938982</v>
      </c>
      <c r="I793" s="133">
        <v>9.6236102770121072E-3</v>
      </c>
    </row>
    <row r="794" spans="8:9" ht="12" customHeight="1">
      <c r="H794" s="133">
        <v>-0.99479991699982473</v>
      </c>
      <c r="I794" s="133">
        <v>9.624125048710375E-3</v>
      </c>
    </row>
    <row r="795" spans="8:9" ht="12" customHeight="1">
      <c r="H795" s="133">
        <v>-0.99415718287788435</v>
      </c>
      <c r="I795" s="133">
        <v>9.6376893703778513E-3</v>
      </c>
    </row>
    <row r="796" spans="8:9" ht="12" customHeight="1">
      <c r="H796" s="133">
        <v>-0.99065301132563977</v>
      </c>
      <c r="I796" s="133">
        <v>9.7119753798539515E-3</v>
      </c>
    </row>
    <row r="797" spans="8:9" ht="12" customHeight="1">
      <c r="H797" s="133">
        <v>-0.98990225422359068</v>
      </c>
      <c r="I797" s="133">
        <v>9.7279645090952785E-3</v>
      </c>
    </row>
    <row r="798" spans="8:9" ht="12" customHeight="1">
      <c r="H798" s="133">
        <v>-0.98845189307409798</v>
      </c>
      <c r="I798" s="133">
        <v>9.7589271941276486E-3</v>
      </c>
    </row>
    <row r="799" spans="8:9" ht="12" customHeight="1">
      <c r="H799" s="133">
        <v>-0.9883346434106135</v>
      </c>
      <c r="I799" s="133">
        <v>9.7614345291767036E-3</v>
      </c>
    </row>
    <row r="800" spans="8:9" ht="12" customHeight="1">
      <c r="H800" s="133">
        <v>-0.9878516717832726</v>
      </c>
      <c r="I800" s="133">
        <v>9.7717694024164123E-3</v>
      </c>
    </row>
    <row r="801" spans="8:9" ht="12" customHeight="1">
      <c r="H801" s="133">
        <v>-0.98576592868579271</v>
      </c>
      <c r="I801" s="133">
        <v>9.8165257581169264E-3</v>
      </c>
    </row>
    <row r="802" spans="8:9" ht="12" customHeight="1">
      <c r="H802" s="133">
        <v>-0.98569612816401264</v>
      </c>
      <c r="I802" s="133">
        <v>9.8180270583404141E-3</v>
      </c>
    </row>
    <row r="803" spans="8:9" ht="12" customHeight="1">
      <c r="H803" s="133">
        <v>-0.98325746808115921</v>
      </c>
      <c r="I803" s="133">
        <v>9.8706217802106283E-3</v>
      </c>
    </row>
    <row r="804" spans="8:9" ht="12" customHeight="1">
      <c r="H804" s="133">
        <v>-0.98216467855701062</v>
      </c>
      <c r="I804" s="133">
        <v>9.8942804470113482E-3</v>
      </c>
    </row>
    <row r="805" spans="8:9" ht="12" customHeight="1">
      <c r="H805" s="133">
        <v>-0.98208490785771074</v>
      </c>
      <c r="I805" s="133">
        <v>9.8960096631125899E-3</v>
      </c>
    </row>
    <row r="806" spans="8:9" ht="12" customHeight="1">
      <c r="H806" s="133">
        <v>-0.98092739335183232</v>
      </c>
      <c r="I806" s="133">
        <v>9.9211351865300303E-3</v>
      </c>
    </row>
    <row r="807" spans="8:9" ht="12" customHeight="1">
      <c r="H807" s="133">
        <v>-0.98081974794325344</v>
      </c>
      <c r="I807" s="133">
        <v>9.9234749926851475E-3</v>
      </c>
    </row>
    <row r="808" spans="8:9" ht="12" customHeight="1">
      <c r="H808" s="133">
        <v>-0.98052347044351384</v>
      </c>
      <c r="I808" s="133">
        <v>9.9299177721015909E-3</v>
      </c>
    </row>
    <row r="809" spans="8:9" ht="12" customHeight="1">
      <c r="H809" s="133">
        <v>-0.98024139026031476</v>
      </c>
      <c r="I809" s="133">
        <v>9.936055668118976E-3</v>
      </c>
    </row>
    <row r="810" spans="8:9" ht="12" customHeight="1">
      <c r="H810" s="133">
        <v>-0.97992906710249772</v>
      </c>
      <c r="I810" s="133">
        <v>9.9428560147399835E-3</v>
      </c>
    </row>
    <row r="811" spans="8:9" ht="12" customHeight="1">
      <c r="H811" s="133">
        <v>-0.97992000384597955</v>
      </c>
      <c r="I811" s="133">
        <v>9.9430534217041164E-3</v>
      </c>
    </row>
    <row r="812" spans="8:9" ht="12" customHeight="1">
      <c r="H812" s="133">
        <v>-0.97929989838762865</v>
      </c>
      <c r="I812" s="133">
        <v>9.956569168918716E-3</v>
      </c>
    </row>
    <row r="813" spans="8:9" ht="12" customHeight="1">
      <c r="H813" s="133">
        <v>-0.9768460388154917</v>
      </c>
      <c r="I813" s="133">
        <v>1.0010231824177311E-2</v>
      </c>
    </row>
    <row r="814" spans="8:9" ht="12" customHeight="1">
      <c r="H814" s="133">
        <v>-0.97578609904181191</v>
      </c>
      <c r="I814" s="133">
        <v>1.0033499751482024E-2</v>
      </c>
    </row>
    <row r="815" spans="8:9" ht="12" customHeight="1">
      <c r="H815" s="133">
        <v>-0.97479873185938515</v>
      </c>
      <c r="I815" s="133">
        <v>1.0055222716115175E-2</v>
      </c>
    </row>
    <row r="816" spans="8:9" ht="12" customHeight="1">
      <c r="H816" s="133">
        <v>-0.97342263020025688</v>
      </c>
      <c r="I816" s="133">
        <v>1.0085575862172635E-2</v>
      </c>
    </row>
    <row r="817" spans="8:9" ht="12" customHeight="1">
      <c r="H817" s="133">
        <v>-0.97181110277463734</v>
      </c>
      <c r="I817" s="133">
        <v>1.012123718340416E-2</v>
      </c>
    </row>
    <row r="818" spans="8:9" ht="12" customHeight="1">
      <c r="H818" s="133">
        <v>-0.97138109451146304</v>
      </c>
      <c r="I818" s="133">
        <v>1.013077386673019E-2</v>
      </c>
    </row>
    <row r="819" spans="8:9" ht="12" customHeight="1">
      <c r="H819" s="133">
        <v>-0.97100224073166863</v>
      </c>
      <c r="I819" s="133">
        <v>1.0139183420140615E-2</v>
      </c>
    </row>
    <row r="820" spans="8:9" ht="12" customHeight="1">
      <c r="H820" s="133">
        <v>-0.97024634132542253</v>
      </c>
      <c r="I820" s="133">
        <v>1.0155983041498198E-2</v>
      </c>
    </row>
    <row r="821" spans="8:9" ht="12" customHeight="1">
      <c r="H821" s="133">
        <v>-0.96882217712845808</v>
      </c>
      <c r="I821" s="133">
        <v>1.0187709516577154E-2</v>
      </c>
    </row>
    <row r="822" spans="8:9" ht="12" customHeight="1">
      <c r="H822" s="133">
        <v>-0.96737494873168628</v>
      </c>
      <c r="I822" s="133">
        <v>1.0220050283799026E-2</v>
      </c>
    </row>
    <row r="823" spans="8:9" ht="12" customHeight="1">
      <c r="H823" s="133">
        <v>-0.96706403366954174</v>
      </c>
      <c r="I823" s="133">
        <v>1.0227011454762881E-2</v>
      </c>
    </row>
    <row r="824" spans="8:9" ht="12" customHeight="1">
      <c r="H824" s="133">
        <v>-0.96484628099206349</v>
      </c>
      <c r="I824" s="133">
        <v>1.0276801680834651E-2</v>
      </c>
    </row>
    <row r="825" spans="8:9" ht="12" customHeight="1">
      <c r="H825" s="133">
        <v>-0.96451587293552465</v>
      </c>
      <c r="I825" s="133">
        <v>1.0284240095154247E-2</v>
      </c>
    </row>
    <row r="826" spans="8:9" ht="12" customHeight="1">
      <c r="H826" s="133">
        <v>-0.96197825912731472</v>
      </c>
      <c r="I826" s="133">
        <v>1.0341546792891339E-2</v>
      </c>
    </row>
    <row r="827" spans="8:9" ht="12" customHeight="1">
      <c r="H827" s="133">
        <v>-0.96148381555388096</v>
      </c>
      <c r="I827" s="133">
        <v>1.0352749494271854E-2</v>
      </c>
    </row>
    <row r="828" spans="8:9" ht="12" customHeight="1">
      <c r="H828" s="133">
        <v>-0.96117560536532531</v>
      </c>
      <c r="I828" s="133">
        <v>1.0359738745643655E-2</v>
      </c>
    </row>
    <row r="829" spans="8:9" ht="12" customHeight="1">
      <c r="H829" s="133">
        <v>-0.96115206016871979</v>
      </c>
      <c r="I829" s="133">
        <v>1.0360272869622496E-2</v>
      </c>
    </row>
    <row r="830" spans="8:9" ht="12" customHeight="1">
      <c r="H830" s="133">
        <v>-0.96060994625538809</v>
      </c>
      <c r="I830" s="133">
        <v>1.0372578290595185E-2</v>
      </c>
    </row>
    <row r="831" spans="8:9" ht="12" customHeight="1">
      <c r="H831" s="133">
        <v>-0.95800757603241982</v>
      </c>
      <c r="I831" s="133">
        <v>1.0431851024867989E-2</v>
      </c>
    </row>
    <row r="832" spans="8:9" ht="12" customHeight="1">
      <c r="H832" s="133">
        <v>-0.95783248710093682</v>
      </c>
      <c r="I832" s="133">
        <v>1.0435850938969496E-2</v>
      </c>
    </row>
    <row r="833" spans="8:9" ht="12" customHeight="1">
      <c r="H833" s="133">
        <v>-0.95769116899189366</v>
      </c>
      <c r="I833" s="133">
        <v>1.0439080463868027E-2</v>
      </c>
    </row>
    <row r="834" spans="8:9" ht="12" customHeight="1">
      <c r="H834" s="133">
        <v>-0.95711945366572526</v>
      </c>
      <c r="I834" s="133">
        <v>1.0452155897758782E-2</v>
      </c>
    </row>
    <row r="835" spans="8:9" ht="12" customHeight="1">
      <c r="H835" s="133">
        <v>-0.9566030172815313</v>
      </c>
      <c r="I835" s="133">
        <v>1.0463981002209908E-2</v>
      </c>
    </row>
    <row r="836" spans="8:9" ht="12" customHeight="1">
      <c r="H836" s="133">
        <v>-0.9561960098901654</v>
      </c>
      <c r="I836" s="133">
        <v>1.0473309781844801E-2</v>
      </c>
    </row>
    <row r="837" spans="8:9" ht="12" customHeight="1">
      <c r="H837" s="133">
        <v>-0.95578551240972609</v>
      </c>
      <c r="I837" s="133">
        <v>1.0482726890573887E-2</v>
      </c>
    </row>
    <row r="838" spans="8:9" ht="12" customHeight="1">
      <c r="H838" s="133">
        <v>-0.95540901381402654</v>
      </c>
      <c r="I838" s="133">
        <v>1.0491371405725654E-2</v>
      </c>
    </row>
    <row r="839" spans="8:9" ht="12" customHeight="1">
      <c r="H839" s="133">
        <v>-0.9551626507068447</v>
      </c>
      <c r="I839" s="133">
        <v>1.0497031790137969E-2</v>
      </c>
    </row>
    <row r="840" spans="8:9" ht="12" customHeight="1">
      <c r="H840" s="133">
        <v>-0.95495597980521818</v>
      </c>
      <c r="I840" s="133">
        <v>1.050178254565161E-2</v>
      </c>
    </row>
    <row r="841" spans="8:9" ht="12" customHeight="1">
      <c r="H841" s="133">
        <v>-0.95421527009376494</v>
      </c>
      <c r="I841" s="133">
        <v>1.0518826762171233E-2</v>
      </c>
    </row>
    <row r="842" spans="8:9" ht="12" customHeight="1">
      <c r="H842" s="133">
        <v>-0.95248140050611041</v>
      </c>
      <c r="I842" s="133">
        <v>1.0558831326610117E-2</v>
      </c>
    </row>
    <row r="843" spans="8:9" ht="12" customHeight="1">
      <c r="H843" s="133">
        <v>-0.95090716347576987</v>
      </c>
      <c r="I843" s="133">
        <v>1.0595283132332657E-2</v>
      </c>
    </row>
    <row r="844" spans="8:9" ht="12" customHeight="1">
      <c r="H844" s="133">
        <v>-0.95072218358482885</v>
      </c>
      <c r="I844" s="133">
        <v>1.0599574547920296E-2</v>
      </c>
    </row>
    <row r="845" spans="8:9" ht="12" customHeight="1">
      <c r="H845" s="133">
        <v>-0.94771629200163077</v>
      </c>
      <c r="I845" s="133">
        <v>1.0669550795337579E-2</v>
      </c>
    </row>
    <row r="846" spans="8:9" ht="12" customHeight="1">
      <c r="H846" s="133">
        <v>-0.94755077860295356</v>
      </c>
      <c r="I846" s="133">
        <v>1.0673417143976629E-2</v>
      </c>
    </row>
    <row r="847" spans="8:9" ht="12" customHeight="1">
      <c r="H847" s="133">
        <v>-0.94748144946173296</v>
      </c>
      <c r="I847" s="133">
        <v>1.0675037065959368E-2</v>
      </c>
    </row>
    <row r="848" spans="8:9" ht="12" customHeight="1">
      <c r="H848" s="133">
        <v>-0.9463833857991848</v>
      </c>
      <c r="I848" s="133">
        <v>1.0700726515661105E-2</v>
      </c>
    </row>
    <row r="849" spans="8:9" ht="12" customHeight="1">
      <c r="H849" s="133">
        <v>-0.94542578311177194</v>
      </c>
      <c r="I849" s="133">
        <v>1.0723179762057292E-2</v>
      </c>
    </row>
    <row r="850" spans="8:9" ht="12" customHeight="1">
      <c r="H850" s="133">
        <v>-0.94286192972819383</v>
      </c>
      <c r="I850" s="133">
        <v>1.0783525005122608E-2</v>
      </c>
    </row>
    <row r="851" spans="8:9" ht="12" customHeight="1">
      <c r="H851" s="133">
        <v>-0.94271484960680052</v>
      </c>
      <c r="I851" s="133">
        <v>1.0786996989251502E-2</v>
      </c>
    </row>
    <row r="852" spans="8:9" ht="12" customHeight="1">
      <c r="H852" s="133">
        <v>-0.94256506218319225</v>
      </c>
      <c r="I852" s="133">
        <v>1.0790534018557809E-2</v>
      </c>
    </row>
    <row r="853" spans="8:9" ht="12" customHeight="1">
      <c r="H853" s="133">
        <v>-0.94032097527492664</v>
      </c>
      <c r="I853" s="133">
        <v>1.0843662659278736E-2</v>
      </c>
    </row>
    <row r="854" spans="8:9" ht="12" customHeight="1">
      <c r="H854" s="133">
        <v>-0.94008107165971622</v>
      </c>
      <c r="I854" s="133">
        <v>1.0849357649923085E-2</v>
      </c>
    </row>
    <row r="855" spans="8:9" ht="12" customHeight="1">
      <c r="H855" s="133">
        <v>-0.93857688863307964</v>
      </c>
      <c r="I855" s="133">
        <v>1.0885132420444419E-2</v>
      </c>
    </row>
    <row r="856" spans="8:9" ht="12" customHeight="1">
      <c r="H856" s="133">
        <v>-0.9378413245877123</v>
      </c>
      <c r="I856" s="133">
        <v>1.0902669174586833E-2</v>
      </c>
    </row>
    <row r="857" spans="8:9" ht="12" customHeight="1">
      <c r="H857" s="133">
        <v>-0.93783428183325457</v>
      </c>
      <c r="I857" s="133">
        <v>1.0902837217514333E-2</v>
      </c>
    </row>
    <row r="858" spans="8:9" ht="12" customHeight="1">
      <c r="H858" s="133">
        <v>-0.93702854461296392</v>
      </c>
      <c r="I858" s="133">
        <v>1.0922079348214797E-2</v>
      </c>
    </row>
    <row r="859" spans="8:9" ht="12" customHeight="1">
      <c r="H859" s="133">
        <v>-0.93702545749500599</v>
      </c>
      <c r="I859" s="133">
        <v>1.0922153137453013E-2</v>
      </c>
    </row>
    <row r="860" spans="8:9" ht="12" customHeight="1">
      <c r="H860" s="133">
        <v>-0.93670676980080403</v>
      </c>
      <c r="I860" s="133">
        <v>1.0929773161243524E-2</v>
      </c>
    </row>
    <row r="861" spans="8:9" ht="12" customHeight="1">
      <c r="H861" s="133">
        <v>-0.93629744851657981</v>
      </c>
      <c r="I861" s="133">
        <v>1.0939568004697394E-2</v>
      </c>
    </row>
    <row r="862" spans="8:9" ht="12" customHeight="1">
      <c r="H862" s="133">
        <v>-0.93561912854143336</v>
      </c>
      <c r="I862" s="133">
        <v>1.0955818961445696E-2</v>
      </c>
    </row>
    <row r="863" spans="8:9" ht="12" customHeight="1">
      <c r="H863" s="133">
        <v>-0.93530895593254904</v>
      </c>
      <c r="I863" s="133">
        <v>1.0963257922194457E-2</v>
      </c>
    </row>
    <row r="864" spans="8:9" ht="12" customHeight="1">
      <c r="H864" s="133">
        <v>-0.93522352920240948</v>
      </c>
      <c r="I864" s="133">
        <v>1.0965307613706178E-2</v>
      </c>
    </row>
    <row r="865" spans="8:9" ht="12" customHeight="1">
      <c r="H865" s="133">
        <v>-0.93315126615212363</v>
      </c>
      <c r="I865" s="133">
        <v>1.1015144841947103E-2</v>
      </c>
    </row>
    <row r="866" spans="8:9" ht="12" customHeight="1">
      <c r="H866" s="133">
        <v>-0.93281588912859392</v>
      </c>
      <c r="I866" s="133">
        <v>1.1023231578047294E-2</v>
      </c>
    </row>
    <row r="867" spans="8:9" ht="12" customHeight="1">
      <c r="H867" s="133">
        <v>-0.93248385423359914</v>
      </c>
      <c r="I867" s="133">
        <v>1.1031243510652258E-2</v>
      </c>
    </row>
    <row r="868" spans="8:9" ht="12" customHeight="1">
      <c r="H868" s="133">
        <v>-0.93010698836654704</v>
      </c>
      <c r="I868" s="133">
        <v>1.1088765177487508E-2</v>
      </c>
    </row>
    <row r="869" spans="8:9" ht="12" customHeight="1">
      <c r="H869" s="133">
        <v>-0.92892732362911978</v>
      </c>
      <c r="I869" s="133">
        <v>1.1117423840853192E-2</v>
      </c>
    </row>
    <row r="870" spans="8:9" ht="12" customHeight="1">
      <c r="H870" s="133">
        <v>-0.92866481286283731</v>
      </c>
      <c r="I870" s="133">
        <v>1.11238112075818E-2</v>
      </c>
    </row>
    <row r="871" spans="8:9" ht="12" customHeight="1">
      <c r="H871" s="133">
        <v>-0.92815714629319035</v>
      </c>
      <c r="I871" s="133">
        <v>1.1136173958485207E-2</v>
      </c>
    </row>
    <row r="872" spans="8:9" ht="12" customHeight="1">
      <c r="H872" s="133">
        <v>-0.92801262235577853</v>
      </c>
      <c r="I872" s="133">
        <v>1.1139695904477958E-2</v>
      </c>
    </row>
    <row r="873" spans="8:9" ht="12" customHeight="1">
      <c r="H873" s="133">
        <v>-0.92729398088393711</v>
      </c>
      <c r="I873" s="133">
        <v>1.1157225048032982E-2</v>
      </c>
    </row>
    <row r="874" spans="8:9" ht="12" customHeight="1">
      <c r="H874" s="133">
        <v>-0.92721518736241038</v>
      </c>
      <c r="I874" s="133">
        <v>1.115914864232201E-2</v>
      </c>
    </row>
    <row r="875" spans="8:9" ht="12" customHeight="1">
      <c r="H875" s="133">
        <v>-0.92561938994336757</v>
      </c>
      <c r="I875" s="133">
        <v>1.1198177652590034E-2</v>
      </c>
    </row>
    <row r="876" spans="8:9" ht="12" customHeight="1">
      <c r="H876" s="133">
        <v>-0.92478936185686145</v>
      </c>
      <c r="I876" s="133">
        <v>1.1218531280615099E-2</v>
      </c>
    </row>
    <row r="877" spans="8:9" ht="12" customHeight="1">
      <c r="H877" s="133">
        <v>-0.92469394159647489</v>
      </c>
      <c r="I877" s="133">
        <v>1.1220873482111843E-2</v>
      </c>
    </row>
    <row r="878" spans="8:9" ht="12" customHeight="1">
      <c r="H878" s="133">
        <v>-0.92250310186848528</v>
      </c>
      <c r="I878" s="133">
        <v>1.1274783370974113E-2</v>
      </c>
    </row>
    <row r="879" spans="8:9" ht="12" customHeight="1">
      <c r="H879" s="133">
        <v>-0.92069781601536449</v>
      </c>
      <c r="I879" s="133">
        <v>1.1319398316945973E-2</v>
      </c>
    </row>
    <row r="880" spans="8:9" ht="12" customHeight="1">
      <c r="H880" s="133">
        <v>-0.91870612150838671</v>
      </c>
      <c r="I880" s="133">
        <v>1.1368822576071511E-2</v>
      </c>
    </row>
    <row r="881" spans="8:9" ht="12" customHeight="1">
      <c r="H881" s="133">
        <v>-0.91740537012572143</v>
      </c>
      <c r="I881" s="133">
        <v>1.1401216046855289E-2</v>
      </c>
    </row>
    <row r="882" spans="8:9" ht="12" customHeight="1">
      <c r="H882" s="133">
        <v>-0.91726557138227971</v>
      </c>
      <c r="I882" s="133">
        <v>1.1404702972368536E-2</v>
      </c>
    </row>
    <row r="883" spans="8:9" ht="12" customHeight="1">
      <c r="H883" s="133">
        <v>-0.91676348423359888</v>
      </c>
      <c r="I883" s="133">
        <v>1.1417234958088966E-2</v>
      </c>
    </row>
    <row r="884" spans="8:9" ht="12" customHeight="1">
      <c r="H884" s="133">
        <v>-0.91666123745178019</v>
      </c>
      <c r="I884" s="133">
        <v>1.1419788683176149E-2</v>
      </c>
    </row>
    <row r="885" spans="8:9" ht="12" customHeight="1">
      <c r="H885" s="133">
        <v>-0.91544946347478695</v>
      </c>
      <c r="I885" s="133">
        <v>1.1450097092443625E-2</v>
      </c>
    </row>
    <row r="886" spans="8:9" ht="12" customHeight="1">
      <c r="H886" s="133">
        <v>-0.91276438219491374</v>
      </c>
      <c r="I886" s="133">
        <v>1.1517538838123299E-2</v>
      </c>
    </row>
    <row r="887" spans="8:9" ht="12" customHeight="1">
      <c r="H887" s="133">
        <v>-0.91253336305574184</v>
      </c>
      <c r="I887" s="133">
        <v>1.1523359703762321E-2</v>
      </c>
    </row>
    <row r="888" spans="8:9" ht="12" customHeight="1">
      <c r="H888" s="133">
        <v>-0.91224173483911486</v>
      </c>
      <c r="I888" s="133">
        <v>1.1530711855837202E-2</v>
      </c>
    </row>
    <row r="889" spans="8:9" ht="12" customHeight="1">
      <c r="H889" s="133">
        <v>-0.91086014664356263</v>
      </c>
      <c r="I889" s="133">
        <v>1.1565605720020218E-2</v>
      </c>
    </row>
    <row r="890" spans="8:9" ht="12" customHeight="1">
      <c r="H890" s="133">
        <v>-0.91041092633450449</v>
      </c>
      <c r="I890" s="133">
        <v>1.1576973848854187E-2</v>
      </c>
    </row>
    <row r="891" spans="8:9" ht="12" customHeight="1">
      <c r="H891" s="133">
        <v>-0.90904421060040796</v>
      </c>
      <c r="I891" s="133">
        <v>1.1611628394431216E-2</v>
      </c>
    </row>
    <row r="892" spans="8:9" ht="12" customHeight="1">
      <c r="H892" s="133">
        <v>-0.90828747888834827</v>
      </c>
      <c r="I892" s="133">
        <v>1.1630860214488963E-2</v>
      </c>
    </row>
    <row r="893" spans="8:9" ht="12" customHeight="1">
      <c r="H893" s="133">
        <v>-0.90760457186396926</v>
      </c>
      <c r="I893" s="133">
        <v>1.1648242849963145E-2</v>
      </c>
    </row>
    <row r="894" spans="8:9" ht="12" customHeight="1">
      <c r="H894" s="133">
        <v>-0.90740662089550705</v>
      </c>
      <c r="I894" s="133">
        <v>1.1653286268360541E-2</v>
      </c>
    </row>
    <row r="895" spans="8:9" ht="12" customHeight="1">
      <c r="H895" s="133">
        <v>-0.90617840911040737</v>
      </c>
      <c r="I895" s="133">
        <v>1.168462706153664E-2</v>
      </c>
    </row>
    <row r="896" spans="8:9" ht="12" customHeight="1">
      <c r="H896" s="133">
        <v>-0.90574685513583941</v>
      </c>
      <c r="I896" s="133">
        <v>1.1695658967659825E-2</v>
      </c>
    </row>
    <row r="897" spans="8:9" ht="12" customHeight="1">
      <c r="H897" s="133">
        <v>-0.90415910233021934</v>
      </c>
      <c r="I897" s="133">
        <v>1.173633569503965E-2</v>
      </c>
    </row>
    <row r="898" spans="8:9" ht="12" customHeight="1">
      <c r="H898" s="133">
        <v>-0.90393474979493738</v>
      </c>
      <c r="I898" s="133">
        <v>1.1742094655756414E-2</v>
      </c>
    </row>
    <row r="899" spans="8:9" ht="12" customHeight="1">
      <c r="H899" s="133">
        <v>-0.90381064727703753</v>
      </c>
      <c r="I899" s="133">
        <v>1.1745281473390445E-2</v>
      </c>
    </row>
    <row r="900" spans="8:9" ht="12" customHeight="1">
      <c r="H900" s="133">
        <v>-0.90349273030201471</v>
      </c>
      <c r="I900" s="133">
        <v>1.1753449134812818E-2</v>
      </c>
    </row>
    <row r="901" spans="8:9" ht="12" customHeight="1">
      <c r="H901" s="133">
        <v>-0.90179931532683544</v>
      </c>
      <c r="I901" s="133">
        <v>1.1797049614093051E-2</v>
      </c>
    </row>
    <row r="902" spans="8:9" ht="12" customHeight="1">
      <c r="H902" s="133">
        <v>-0.90141125111678755</v>
      </c>
      <c r="I902" s="133">
        <v>1.1807063617206213E-2</v>
      </c>
    </row>
    <row r="903" spans="8:9" ht="12" customHeight="1">
      <c r="H903" s="133">
        <v>-0.90127505389243745</v>
      </c>
      <c r="I903" s="133">
        <v>1.1810580179509816E-2</v>
      </c>
    </row>
    <row r="904" spans="8:9" ht="12" customHeight="1">
      <c r="H904" s="133">
        <v>-0.90080080102370341</v>
      </c>
      <c r="I904" s="133">
        <v>1.1822833291709236E-2</v>
      </c>
    </row>
    <row r="905" spans="8:9" ht="12" customHeight="1">
      <c r="H905" s="133">
        <v>-0.8994293306241089</v>
      </c>
      <c r="I905" s="133">
        <v>1.1858338235953527E-2</v>
      </c>
    </row>
    <row r="906" spans="8:9" ht="12" customHeight="1">
      <c r="H906" s="133">
        <v>-0.89941499926183022</v>
      </c>
      <c r="I906" s="133">
        <v>1.1858709805197045E-2</v>
      </c>
    </row>
    <row r="907" spans="8:9" ht="12" customHeight="1">
      <c r="H907" s="133">
        <v>-0.898613773569237</v>
      </c>
      <c r="I907" s="133">
        <v>1.1879501493146412E-2</v>
      </c>
    </row>
    <row r="908" spans="8:9" ht="12" customHeight="1">
      <c r="H908" s="133">
        <v>-0.89786299498158151</v>
      </c>
      <c r="I908" s="133">
        <v>1.189901676978721E-2</v>
      </c>
    </row>
    <row r="909" spans="8:9" ht="12" customHeight="1">
      <c r="H909" s="133">
        <v>-0.89772696094966875</v>
      </c>
      <c r="I909" s="133">
        <v>1.1902556142519257E-2</v>
      </c>
    </row>
    <row r="910" spans="8:9" ht="12" customHeight="1">
      <c r="H910" s="133">
        <v>-0.89597185722703454</v>
      </c>
      <c r="I910" s="133">
        <v>1.1948314321868386E-2</v>
      </c>
    </row>
    <row r="911" spans="8:9" ht="12" customHeight="1">
      <c r="H911" s="133">
        <v>-0.89585306560477562</v>
      </c>
      <c r="I911" s="133">
        <v>1.1951417668911741E-2</v>
      </c>
    </row>
    <row r="912" spans="8:9" ht="12" customHeight="1">
      <c r="H912" s="133">
        <v>-0.89583876560755749</v>
      </c>
      <c r="I912" s="133">
        <v>1.1951791299909996E-2</v>
      </c>
    </row>
    <row r="913" spans="8:9" ht="12" customHeight="1">
      <c r="H913" s="133">
        <v>-0.8954231009313951</v>
      </c>
      <c r="I913" s="133">
        <v>1.1962656850095585E-2</v>
      </c>
    </row>
    <row r="914" spans="8:9" ht="12" customHeight="1">
      <c r="H914" s="133">
        <v>-0.89460140803144361</v>
      </c>
      <c r="I914" s="133">
        <v>1.1984164772066168E-2</v>
      </c>
    </row>
    <row r="915" spans="8:9" ht="12" customHeight="1">
      <c r="H915" s="133">
        <v>-0.89335249428423136</v>
      </c>
      <c r="I915" s="133">
        <v>1.2016928433476307E-2</v>
      </c>
    </row>
    <row r="916" spans="8:9" ht="12" customHeight="1">
      <c r="H916" s="133">
        <v>-0.89214681798730011</v>
      </c>
      <c r="I916" s="133">
        <v>1.204864175168999E-2</v>
      </c>
    </row>
    <row r="917" spans="8:9" ht="12" customHeight="1">
      <c r="H917" s="133">
        <v>-0.89101974735576306</v>
      </c>
      <c r="I917" s="133">
        <v>1.2078362234776539E-2</v>
      </c>
    </row>
    <row r="918" spans="8:9" ht="12" customHeight="1">
      <c r="H918" s="133">
        <v>-0.88966773024031265</v>
      </c>
      <c r="I918" s="133">
        <v>1.2114110032428646E-2</v>
      </c>
    </row>
    <row r="919" spans="8:9" ht="12" customHeight="1">
      <c r="H919" s="133">
        <v>-0.88906179189524026</v>
      </c>
      <c r="I919" s="133">
        <v>1.213016514494804E-2</v>
      </c>
    </row>
    <row r="920" spans="8:9" ht="12" customHeight="1">
      <c r="H920" s="133">
        <v>-0.88826709377866553</v>
      </c>
      <c r="I920" s="133">
        <v>1.2151253550461302E-2</v>
      </c>
    </row>
    <row r="921" spans="8:9" ht="12" customHeight="1">
      <c r="H921" s="133">
        <v>-0.88760297289296364</v>
      </c>
      <c r="I921" s="133">
        <v>1.2168904682113521E-2</v>
      </c>
    </row>
    <row r="922" spans="8:9" ht="12" customHeight="1">
      <c r="H922" s="133">
        <v>-0.88705075828755975</v>
      </c>
      <c r="I922" s="133">
        <v>1.2183600828573064E-2</v>
      </c>
    </row>
    <row r="923" spans="8:9" ht="12" customHeight="1">
      <c r="H923" s="133">
        <v>-0.88693079001984221</v>
      </c>
      <c r="I923" s="133">
        <v>1.2186795873986144E-2</v>
      </c>
    </row>
    <row r="924" spans="8:9" ht="12" customHeight="1">
      <c r="H924" s="133">
        <v>-0.88594868793281401</v>
      </c>
      <c r="I924" s="133">
        <v>1.2212982765430395E-2</v>
      </c>
    </row>
    <row r="925" spans="8:9" ht="12" customHeight="1">
      <c r="H925" s="133">
        <v>-0.88454779004255746</v>
      </c>
      <c r="I925" s="133">
        <v>1.2250432680723185E-2</v>
      </c>
    </row>
    <row r="926" spans="8:9" ht="12" customHeight="1">
      <c r="H926" s="133">
        <v>-0.88421091153616538</v>
      </c>
      <c r="I926" s="133">
        <v>1.2259455286787374E-2</v>
      </c>
    </row>
    <row r="927" spans="8:9" ht="12" customHeight="1">
      <c r="H927" s="133">
        <v>-0.88351772197861811</v>
      </c>
      <c r="I927" s="133">
        <v>1.2278041610812241E-2</v>
      </c>
    </row>
    <row r="928" spans="8:9" ht="12" customHeight="1">
      <c r="H928" s="133">
        <v>-0.88332491797527557</v>
      </c>
      <c r="I928" s="133">
        <v>1.228321616259135E-2</v>
      </c>
    </row>
    <row r="929" spans="8:9" ht="12" customHeight="1">
      <c r="H929" s="133">
        <v>-0.8829879837197292</v>
      </c>
      <c r="I929" s="133">
        <v>1.2292264111259216E-2</v>
      </c>
    </row>
    <row r="930" spans="8:9" ht="12" customHeight="1">
      <c r="H930" s="133">
        <v>-0.88200477153714518</v>
      </c>
      <c r="I930" s="133">
        <v>1.2318704690188493E-2</v>
      </c>
    </row>
    <row r="931" spans="8:9" ht="12" customHeight="1">
      <c r="H931" s="133">
        <v>-0.8815994075185255</v>
      </c>
      <c r="I931" s="133">
        <v>1.2329622098737281E-2</v>
      </c>
    </row>
    <row r="932" spans="8:9" ht="12" customHeight="1">
      <c r="H932" s="133">
        <v>-0.88098448261263107</v>
      </c>
      <c r="I932" s="133">
        <v>1.2346201719212534E-2</v>
      </c>
    </row>
    <row r="933" spans="8:9" ht="12" customHeight="1">
      <c r="H933" s="133">
        <v>-0.88075347070619325</v>
      </c>
      <c r="I933" s="133">
        <v>1.2352435955283436E-2</v>
      </c>
    </row>
    <row r="934" spans="8:9" ht="12" customHeight="1">
      <c r="H934" s="133">
        <v>-0.8806543915683257</v>
      </c>
      <c r="I934" s="133">
        <v>1.2355110721150028E-2</v>
      </c>
    </row>
    <row r="935" spans="8:9" ht="12" customHeight="1">
      <c r="H935" s="133">
        <v>-0.88030361053493222</v>
      </c>
      <c r="I935" s="133">
        <v>1.2364585093830481E-2</v>
      </c>
    </row>
    <row r="936" spans="8:9" ht="12" customHeight="1">
      <c r="H936" s="133">
        <v>-0.87808625870769996</v>
      </c>
      <c r="I936" s="133">
        <v>1.2424640582098266E-2</v>
      </c>
    </row>
    <row r="937" spans="8:9" ht="12" customHeight="1">
      <c r="H937" s="133">
        <v>-0.87792914152860346</v>
      </c>
      <c r="I937" s="133">
        <v>1.2428906906596659E-2</v>
      </c>
    </row>
    <row r="938" spans="8:9" ht="12" customHeight="1">
      <c r="H938" s="133">
        <v>-0.87750103707065219</v>
      </c>
      <c r="I938" s="133">
        <v>1.2440538900342945E-2</v>
      </c>
    </row>
    <row r="939" spans="8:9" ht="12" customHeight="1">
      <c r="H939" s="133">
        <v>-0.87742708870636332</v>
      </c>
      <c r="I939" s="133">
        <v>1.2442549234180544E-2</v>
      </c>
    </row>
    <row r="940" spans="8:9" ht="12" customHeight="1">
      <c r="H940" s="133">
        <v>-0.87639920563052853</v>
      </c>
      <c r="I940" s="133">
        <v>1.247052613589439E-2</v>
      </c>
    </row>
    <row r="941" spans="8:9" ht="12" customHeight="1">
      <c r="H941" s="133">
        <v>-0.87572207303155758</v>
      </c>
      <c r="I941" s="133">
        <v>1.2488990244181623E-2</v>
      </c>
    </row>
    <row r="942" spans="8:9" ht="12" customHeight="1">
      <c r="H942" s="133">
        <v>-0.87496355412697646</v>
      </c>
      <c r="I942" s="133">
        <v>1.2509705656288901E-2</v>
      </c>
    </row>
    <row r="943" spans="8:9" ht="12" customHeight="1">
      <c r="H943" s="133">
        <v>-0.87366389885401285</v>
      </c>
      <c r="I943" s="133">
        <v>1.2545278579424932E-2</v>
      </c>
    </row>
    <row r="944" spans="8:9" ht="12" customHeight="1">
      <c r="H944" s="133">
        <v>-0.87116085590036341</v>
      </c>
      <c r="I944" s="133">
        <v>1.2614071101101776E-2</v>
      </c>
    </row>
    <row r="945" spans="8:9" ht="12" customHeight="1">
      <c r="H945" s="133">
        <v>-0.87090129545385975</v>
      </c>
      <c r="I945" s="133">
        <v>1.2621226021489599E-2</v>
      </c>
    </row>
    <row r="946" spans="8:9" ht="12" customHeight="1">
      <c r="H946" s="133">
        <v>-0.86769451298074218</v>
      </c>
      <c r="I946" s="133">
        <v>1.2709953872223251E-2</v>
      </c>
    </row>
    <row r="947" spans="8:9" ht="12" customHeight="1">
      <c r="H947" s="133">
        <v>-0.86382557046436592</v>
      </c>
      <c r="I947" s="133">
        <v>1.2817822777536507E-2</v>
      </c>
    </row>
    <row r="948" spans="8:9" ht="12" customHeight="1">
      <c r="H948" s="133">
        <v>-0.86249754088467556</v>
      </c>
      <c r="I948" s="133">
        <v>1.2855057118740864E-2</v>
      </c>
    </row>
    <row r="949" spans="8:9" ht="12" customHeight="1">
      <c r="H949" s="133">
        <v>-0.86235302979859574</v>
      </c>
      <c r="I949" s="133">
        <v>1.28591152516474E-2</v>
      </c>
    </row>
    <row r="950" spans="8:9" ht="12" customHeight="1">
      <c r="H950" s="133">
        <v>-0.86225140807872291</v>
      </c>
      <c r="I950" s="133">
        <v>1.2861969730677001E-2</v>
      </c>
    </row>
    <row r="951" spans="8:9" ht="12" customHeight="1">
      <c r="H951" s="133">
        <v>-0.86215835267898699</v>
      </c>
      <c r="I951" s="133">
        <v>1.2864584136627923E-2</v>
      </c>
    </row>
    <row r="952" spans="8:9" ht="12" customHeight="1">
      <c r="H952" s="133">
        <v>-0.86084250492665637</v>
      </c>
      <c r="I952" s="133">
        <v>1.2901609277621814E-2</v>
      </c>
    </row>
    <row r="953" spans="8:9" ht="12" customHeight="1">
      <c r="H953" s="133">
        <v>-0.86074034198064309</v>
      </c>
      <c r="I953" s="133">
        <v>1.2904488320108683E-2</v>
      </c>
    </row>
    <row r="954" spans="8:9" ht="12" customHeight="1">
      <c r="H954" s="133">
        <v>-0.86012980681685047</v>
      </c>
      <c r="I954" s="133">
        <v>1.2921706964642432E-2</v>
      </c>
    </row>
    <row r="955" spans="8:9" ht="12" customHeight="1">
      <c r="H955" s="133">
        <v>-0.85762581988986131</v>
      </c>
      <c r="I955" s="133">
        <v>1.299256327067895E-2</v>
      </c>
    </row>
    <row r="956" spans="8:9" ht="12" customHeight="1">
      <c r="H956" s="133">
        <v>-0.85679080330945767</v>
      </c>
      <c r="I956" s="133">
        <v>1.3016277209813413E-2</v>
      </c>
    </row>
    <row r="957" spans="8:9" ht="12" customHeight="1">
      <c r="H957" s="133">
        <v>-0.85597142590961717</v>
      </c>
      <c r="I957" s="133">
        <v>1.3039588523998762E-2</v>
      </c>
    </row>
    <row r="958" spans="8:9" ht="12" customHeight="1">
      <c r="H958" s="133">
        <v>-0.85569838195762615</v>
      </c>
      <c r="I958" s="133">
        <v>1.3047365781338926E-2</v>
      </c>
    </row>
    <row r="959" spans="8:9" ht="12" customHeight="1">
      <c r="H959" s="133">
        <v>-0.85568779458540045</v>
      </c>
      <c r="I959" s="133">
        <v>1.3047667439307515E-2</v>
      </c>
    </row>
    <row r="960" spans="8:9" ht="12" customHeight="1">
      <c r="H960" s="133">
        <v>-0.85485717513993709</v>
      </c>
      <c r="I960" s="133">
        <v>1.3071355111524728E-2</v>
      </c>
    </row>
    <row r="961" spans="8:9" ht="12" customHeight="1">
      <c r="H961" s="133">
        <v>-0.85458764698656664</v>
      </c>
      <c r="I961" s="133">
        <v>1.3079050652205201E-2</v>
      </c>
    </row>
    <row r="962" spans="8:9" ht="12" customHeight="1">
      <c r="H962" s="133">
        <v>-0.85437758804534414</v>
      </c>
      <c r="I962" s="133">
        <v>1.3085051333582206E-2</v>
      </c>
    </row>
    <row r="963" spans="8:9" ht="12" customHeight="1">
      <c r="H963" s="133">
        <v>-0.8534740350793012</v>
      </c>
      <c r="I963" s="133">
        <v>1.3110893809017058E-2</v>
      </c>
    </row>
    <row r="964" spans="8:9" ht="12" customHeight="1">
      <c r="H964" s="133">
        <v>-0.85270573313895992</v>
      </c>
      <c r="I964" s="133">
        <v>1.3132907588163229E-2</v>
      </c>
    </row>
    <row r="965" spans="8:9" ht="12" customHeight="1">
      <c r="H965" s="133">
        <v>-0.85061123853734111</v>
      </c>
      <c r="I965" s="133">
        <v>1.3193105514998997E-2</v>
      </c>
    </row>
    <row r="966" spans="8:9" ht="12" customHeight="1">
      <c r="H966" s="133">
        <v>-0.85029846821044397</v>
      </c>
      <c r="I966" s="133">
        <v>1.3202118187457597E-2</v>
      </c>
    </row>
    <row r="967" spans="8:9" ht="12" customHeight="1">
      <c r="H967" s="133">
        <v>-0.85028839918677135</v>
      </c>
      <c r="I967" s="133">
        <v>1.3202408433571924E-2</v>
      </c>
    </row>
    <row r="968" spans="8:9" ht="12" customHeight="1">
      <c r="H968" s="133">
        <v>-0.84947559379680482</v>
      </c>
      <c r="I968" s="133">
        <v>1.3225858851941616E-2</v>
      </c>
    </row>
    <row r="969" spans="8:9" ht="12" customHeight="1">
      <c r="H969" s="133">
        <v>-0.84936722570866852</v>
      </c>
      <c r="I969" s="133">
        <v>1.322898850548109E-2</v>
      </c>
    </row>
    <row r="970" spans="8:9" ht="12" customHeight="1">
      <c r="H970" s="133">
        <v>-0.84885249820149511</v>
      </c>
      <c r="I970" s="133">
        <v>1.3243863735816541E-2</v>
      </c>
    </row>
    <row r="971" spans="8:9" ht="12" customHeight="1">
      <c r="H971" s="133">
        <v>-0.84736471330869745</v>
      </c>
      <c r="I971" s="133">
        <v>1.3286952422106257E-2</v>
      </c>
    </row>
    <row r="972" spans="8:9" ht="12" customHeight="1">
      <c r="H972" s="133">
        <v>-0.84578742251007655</v>
      </c>
      <c r="I972" s="133">
        <v>1.3332784379970651E-2</v>
      </c>
    </row>
    <row r="973" spans="8:9" ht="12" customHeight="1">
      <c r="H973" s="133">
        <v>-0.84542105547942326</v>
      </c>
      <c r="I973" s="133">
        <v>1.3343452350236122E-2</v>
      </c>
    </row>
    <row r="974" spans="8:9" ht="12" customHeight="1">
      <c r="H974" s="133">
        <v>-0.84483192556865805</v>
      </c>
      <c r="I974" s="133">
        <v>1.3360624446996289E-2</v>
      </c>
    </row>
    <row r="975" spans="8:9" ht="12" customHeight="1">
      <c r="H975" s="133">
        <v>-0.84462747228482948</v>
      </c>
      <c r="I975" s="133">
        <v>1.3366588993347391E-2</v>
      </c>
    </row>
    <row r="976" spans="8:9" ht="12" customHeight="1">
      <c r="H976" s="133">
        <v>-0.84456232488307781</v>
      </c>
      <c r="I976" s="133">
        <v>1.3368490100053101E-2</v>
      </c>
    </row>
    <row r="977" spans="8:9" ht="12" customHeight="1">
      <c r="H977" s="133">
        <v>-0.84374759701668578</v>
      </c>
      <c r="I977" s="133">
        <v>1.3392287716234012E-2</v>
      </c>
    </row>
    <row r="978" spans="8:9" ht="12" customHeight="1">
      <c r="H978" s="133">
        <v>-0.84362247380287569</v>
      </c>
      <c r="I978" s="133">
        <v>1.3395946175239122E-2</v>
      </c>
    </row>
    <row r="979" spans="8:9" ht="12" customHeight="1">
      <c r="H979" s="133">
        <v>-0.84327300415970841</v>
      </c>
      <c r="I979" s="133">
        <v>1.3406169488771718E-2</v>
      </c>
    </row>
    <row r="980" spans="8:9" ht="12" customHeight="1">
      <c r="H980" s="133">
        <v>-0.84156354681297907</v>
      </c>
      <c r="I980" s="133">
        <v>1.3456288605518516E-2</v>
      </c>
    </row>
    <row r="981" spans="8:9" ht="12" customHeight="1">
      <c r="H981" s="133">
        <v>-0.84077701826454465</v>
      </c>
      <c r="I981" s="133">
        <v>1.3479410659193648E-2</v>
      </c>
    </row>
    <row r="982" spans="8:9" ht="12" customHeight="1">
      <c r="H982" s="133">
        <v>-0.83982655213373014</v>
      </c>
      <c r="I982" s="133">
        <v>1.3507404380731549E-2</v>
      </c>
    </row>
    <row r="983" spans="8:9" ht="12" customHeight="1">
      <c r="H983" s="133">
        <v>-0.83973014192232065</v>
      </c>
      <c r="I983" s="133">
        <v>1.3510247115589787E-2</v>
      </c>
    </row>
    <row r="984" spans="8:9" ht="12" customHeight="1">
      <c r="H984" s="133">
        <v>-0.83969437009010317</v>
      </c>
      <c r="I984" s="133">
        <v>1.3511302027744627E-2</v>
      </c>
    </row>
    <row r="985" spans="8:9" ht="12" customHeight="1">
      <c r="H985" s="133">
        <v>-0.83918771609718035</v>
      </c>
      <c r="I985" s="133">
        <v>1.3526251992580415E-2</v>
      </c>
    </row>
    <row r="986" spans="8:9" ht="12" customHeight="1">
      <c r="H986" s="133">
        <v>-0.83897253170435115</v>
      </c>
      <c r="I986" s="133">
        <v>1.3532606426779007E-2</v>
      </c>
    </row>
    <row r="987" spans="8:9" ht="12" customHeight="1">
      <c r="H987" s="133">
        <v>-0.83807962589564666</v>
      </c>
      <c r="I987" s="133">
        <v>1.3559005568354546E-2</v>
      </c>
    </row>
    <row r="988" spans="8:9" ht="12" customHeight="1">
      <c r="H988" s="133">
        <v>-0.83731255812145</v>
      </c>
      <c r="I988" s="133">
        <v>1.3581724808451412E-2</v>
      </c>
    </row>
    <row r="989" spans="8:9" ht="12" customHeight="1">
      <c r="H989" s="133">
        <v>-0.8362268836495198</v>
      </c>
      <c r="I989" s="133">
        <v>1.3613944822184759E-2</v>
      </c>
    </row>
    <row r="990" spans="8:9" ht="12" customHeight="1">
      <c r="H990" s="133">
        <v>-0.83555841227810124</v>
      </c>
      <c r="I990" s="133">
        <v>1.3633820809079322E-2</v>
      </c>
    </row>
    <row r="991" spans="8:9" ht="12" customHeight="1">
      <c r="H991" s="133">
        <v>-0.83508381825890654</v>
      </c>
      <c r="I991" s="133">
        <v>1.3647949514005314E-2</v>
      </c>
    </row>
    <row r="992" spans="8:9" ht="12" customHeight="1">
      <c r="H992" s="133">
        <v>-0.83405766922201563</v>
      </c>
      <c r="I992" s="133">
        <v>1.3678547438049594E-2</v>
      </c>
    </row>
    <row r="993" spans="8:9" ht="12" customHeight="1">
      <c r="H993" s="133">
        <v>-0.83374294279852146</v>
      </c>
      <c r="I993" s="133">
        <v>1.3687945564151972E-2</v>
      </c>
    </row>
    <row r="994" spans="8:9" ht="12" customHeight="1">
      <c r="H994" s="133">
        <v>-0.83291795163312476</v>
      </c>
      <c r="I994" s="133">
        <v>1.3712611068491875E-2</v>
      </c>
    </row>
    <row r="995" spans="8:9" ht="12" customHeight="1">
      <c r="H995" s="133">
        <v>-0.83247677201080716</v>
      </c>
      <c r="I995" s="133">
        <v>1.3725819394222682E-2</v>
      </c>
    </row>
    <row r="996" spans="8:9" ht="12" customHeight="1">
      <c r="H996" s="133">
        <v>-0.8323098709502843</v>
      </c>
      <c r="I996" s="133">
        <v>1.3730819458044845E-2</v>
      </c>
    </row>
    <row r="997" spans="8:9" ht="12" customHeight="1">
      <c r="H997" s="133">
        <v>-0.83196763424180997</v>
      </c>
      <c r="I997" s="133">
        <v>1.3741077889264075E-2</v>
      </c>
    </row>
    <row r="998" spans="8:9" ht="12" customHeight="1">
      <c r="H998" s="133">
        <v>-0.83192217510646971</v>
      </c>
      <c r="I998" s="133">
        <v>1.3742441080156887E-2</v>
      </c>
    </row>
    <row r="999" spans="8:9" ht="12" customHeight="1">
      <c r="H999" s="133">
        <v>-0.82934523700990992</v>
      </c>
      <c r="I999" s="133">
        <v>1.3819934586071638E-2</v>
      </c>
    </row>
    <row r="1000" spans="8:9" ht="12" customHeight="1">
      <c r="H1000" s="133">
        <v>-0.82808623809957793</v>
      </c>
      <c r="I1000" s="133">
        <v>1.3857951632638994E-2</v>
      </c>
    </row>
    <row r="1001" spans="8:9" ht="12" customHeight="1">
      <c r="H1001" s="133">
        <v>-0.82734388302575845</v>
      </c>
      <c r="I1001" s="133">
        <v>1.3880416276811304E-2</v>
      </c>
    </row>
    <row r="1002" spans="8:9" ht="12" customHeight="1">
      <c r="H1002" s="133">
        <v>-0.82660738417568147</v>
      </c>
      <c r="I1002" s="133">
        <v>1.3902739183294129E-2</v>
      </c>
    </row>
    <row r="1003" spans="8:9" ht="12" customHeight="1">
      <c r="H1003" s="133">
        <v>-0.8261431372905923</v>
      </c>
      <c r="I1003" s="133">
        <v>1.3916828453869743E-2</v>
      </c>
    </row>
    <row r="1004" spans="8:9" ht="12" customHeight="1">
      <c r="H1004" s="133">
        <v>-0.82565448420213761</v>
      </c>
      <c r="I1004" s="133">
        <v>1.3931673626341857E-2</v>
      </c>
    </row>
    <row r="1005" spans="8:9" ht="12" customHeight="1">
      <c r="H1005" s="133">
        <v>-0.82562513905197199</v>
      </c>
      <c r="I1005" s="133">
        <v>1.3932565622247454E-2</v>
      </c>
    </row>
    <row r="1006" spans="8:9" ht="12" customHeight="1">
      <c r="H1006" s="133">
        <v>-0.82457073189006225</v>
      </c>
      <c r="I1006" s="133">
        <v>1.3964653511036247E-2</v>
      </c>
    </row>
    <row r="1007" spans="8:9" ht="12" customHeight="1">
      <c r="H1007" s="133">
        <v>-0.82438244053607845</v>
      </c>
      <c r="I1007" s="133">
        <v>1.39703912856699E-2</v>
      </c>
    </row>
    <row r="1008" spans="8:9" ht="12" customHeight="1">
      <c r="H1008" s="133">
        <v>-0.82434624669013368</v>
      </c>
      <c r="I1008" s="133">
        <v>1.3971494481676883E-2</v>
      </c>
    </row>
    <row r="1009" spans="8:9" ht="12" customHeight="1">
      <c r="H1009" s="133">
        <v>-0.82407817708429121</v>
      </c>
      <c r="I1009" s="133">
        <v>1.3979667973455161E-2</v>
      </c>
    </row>
    <row r="1010" spans="8:9" ht="12" customHeight="1">
      <c r="H1010" s="133">
        <v>-0.822115433645357</v>
      </c>
      <c r="I1010" s="133">
        <v>1.4039656157637741E-2</v>
      </c>
    </row>
    <row r="1011" spans="8:9" ht="12" customHeight="1">
      <c r="H1011" s="133">
        <v>-0.82140049625654499</v>
      </c>
      <c r="I1011" s="133">
        <v>1.4061570091049027E-2</v>
      </c>
    </row>
    <row r="1012" spans="8:9" ht="12" customHeight="1">
      <c r="H1012" s="133">
        <v>-0.82129736161061051</v>
      </c>
      <c r="I1012" s="133">
        <v>1.4064734108495689E-2</v>
      </c>
    </row>
    <row r="1013" spans="8:9" ht="12" customHeight="1">
      <c r="H1013" s="133">
        <v>-0.82000820749676517</v>
      </c>
      <c r="I1013" s="133">
        <v>1.410434269734537E-2</v>
      </c>
    </row>
    <row r="1014" spans="8:9" ht="12" customHeight="1">
      <c r="H1014" s="133">
        <v>-0.81922195367905171</v>
      </c>
      <c r="I1014" s="133">
        <v>1.4128553893288379E-2</v>
      </c>
    </row>
    <row r="1015" spans="8:9" ht="12" customHeight="1">
      <c r="H1015" s="133">
        <v>-0.81892871435470882</v>
      </c>
      <c r="I1015" s="133">
        <v>1.4137594126691714E-2</v>
      </c>
    </row>
    <row r="1016" spans="8:9" ht="12" customHeight="1">
      <c r="H1016" s="133">
        <v>-0.81821364287739318</v>
      </c>
      <c r="I1016" s="133">
        <v>1.4159662873618724E-2</v>
      </c>
    </row>
    <row r="1017" spans="8:9" ht="12" customHeight="1">
      <c r="H1017" s="133">
        <v>-0.81772345314982275</v>
      </c>
      <c r="I1017" s="133">
        <v>1.4174810866250066E-2</v>
      </c>
    </row>
    <row r="1018" spans="8:9" ht="12" customHeight="1">
      <c r="H1018" s="133">
        <v>-0.81711445246896475</v>
      </c>
      <c r="I1018" s="133">
        <v>1.4193652641178472E-2</v>
      </c>
    </row>
    <row r="1019" spans="8:9" ht="12" customHeight="1">
      <c r="H1019" s="133">
        <v>-0.81310662329485073</v>
      </c>
      <c r="I1019" s="133">
        <v>1.4318267440697443E-2</v>
      </c>
    </row>
    <row r="1020" spans="8:9" ht="12" customHeight="1">
      <c r="H1020" s="133">
        <v>-0.81309085473239751</v>
      </c>
      <c r="I1020" s="133">
        <v>1.4318759853297357E-2</v>
      </c>
    </row>
    <row r="1021" spans="8:9" ht="12" customHeight="1">
      <c r="H1021" s="133">
        <v>-0.81194915928451794</v>
      </c>
      <c r="I1021" s="133">
        <v>1.4354456515449194E-2</v>
      </c>
    </row>
    <row r="1022" spans="8:9" ht="12" customHeight="1">
      <c r="H1022" s="133">
        <v>-0.81071230305425901</v>
      </c>
      <c r="I1022" s="133">
        <v>1.4393227476508797E-2</v>
      </c>
    </row>
    <row r="1023" spans="8:9" ht="12" customHeight="1">
      <c r="H1023" s="133">
        <v>-0.81036323754683226</v>
      </c>
      <c r="I1023" s="133">
        <v>1.4404188073645432E-2</v>
      </c>
    </row>
    <row r="1024" spans="8:9" ht="12" customHeight="1">
      <c r="H1024" s="133">
        <v>-0.80932520838893951</v>
      </c>
      <c r="I1024" s="133">
        <v>1.4436830628724426E-2</v>
      </c>
    </row>
    <row r="1025" spans="8:9" ht="12" customHeight="1">
      <c r="H1025" s="133">
        <v>-0.80922854964420987</v>
      </c>
      <c r="I1025" s="133">
        <v>1.4439873931034037E-2</v>
      </c>
    </row>
    <row r="1026" spans="8:9" ht="12" customHeight="1">
      <c r="H1026" s="133">
        <v>-0.80865293744900579</v>
      </c>
      <c r="I1026" s="133">
        <v>1.4458010186551348E-2</v>
      </c>
    </row>
    <row r="1027" spans="8:9" ht="12" customHeight="1">
      <c r="H1027" s="133">
        <v>-0.80776927713774982</v>
      </c>
      <c r="I1027" s="133">
        <v>1.4485896035437391E-2</v>
      </c>
    </row>
    <row r="1028" spans="8:9" ht="12" customHeight="1">
      <c r="H1028" s="133">
        <v>-0.80575928213901227</v>
      </c>
      <c r="I1028" s="133">
        <v>1.4549523371603477E-2</v>
      </c>
    </row>
    <row r="1029" spans="8:9" ht="12" customHeight="1">
      <c r="H1029" s="133">
        <v>-0.80566178977636571</v>
      </c>
      <c r="I1029" s="133">
        <v>1.4552616530012363E-2</v>
      </c>
    </row>
    <row r="1030" spans="8:9" ht="12" customHeight="1">
      <c r="H1030" s="133">
        <v>-0.80549363216591041</v>
      </c>
      <c r="I1030" s="133">
        <v>1.4557953220486506E-2</v>
      </c>
    </row>
    <row r="1031" spans="8:9" ht="12" customHeight="1">
      <c r="H1031" s="133">
        <v>-0.80364821447471946</v>
      </c>
      <c r="I1031" s="133">
        <v>1.4616646677251511E-2</v>
      </c>
    </row>
    <row r="1032" spans="8:9" ht="12" customHeight="1">
      <c r="H1032" s="133">
        <v>-0.80339375294727211</v>
      </c>
      <c r="I1032" s="133">
        <v>1.4624758086371412E-2</v>
      </c>
    </row>
    <row r="1033" spans="8:9" ht="12" customHeight="1">
      <c r="H1033" s="133">
        <v>-0.80265271371007108</v>
      </c>
      <c r="I1033" s="133">
        <v>1.4648405286360277E-2</v>
      </c>
    </row>
    <row r="1034" spans="8:9" ht="12" customHeight="1">
      <c r="H1034" s="133">
        <v>-0.80258455687435704</v>
      </c>
      <c r="I1034" s="133">
        <v>1.4650582120277925E-2</v>
      </c>
    </row>
    <row r="1035" spans="8:9" ht="12" customHeight="1">
      <c r="H1035" s="133">
        <v>-0.80216708286952898</v>
      </c>
      <c r="I1035" s="133">
        <v>1.4663922611333683E-2</v>
      </c>
    </row>
    <row r="1036" spans="8:9" ht="12" customHeight="1">
      <c r="H1036" s="133">
        <v>-0.80192214649546512</v>
      </c>
      <c r="I1036" s="133">
        <v>1.4671755186682041E-2</v>
      </c>
    </row>
    <row r="1037" spans="8:9" ht="12" customHeight="1">
      <c r="H1037" s="133">
        <v>-0.80102555660636687</v>
      </c>
      <c r="I1037" s="133">
        <v>1.4700461508677839E-2</v>
      </c>
    </row>
    <row r="1038" spans="8:9" ht="12" customHeight="1">
      <c r="H1038" s="133">
        <v>-0.80087491872664718</v>
      </c>
      <c r="I1038" s="133">
        <v>1.4705289941678424E-2</v>
      </c>
    </row>
    <row r="1039" spans="8:9" ht="12" customHeight="1">
      <c r="H1039" s="133">
        <v>-0.80086333194679704</v>
      </c>
      <c r="I1039" s="133">
        <v>1.4705661400279749E-2</v>
      </c>
    </row>
    <row r="1040" spans="8:9" ht="12" customHeight="1">
      <c r="H1040" s="133">
        <v>-0.80082987329171829</v>
      </c>
      <c r="I1040" s="133">
        <v>1.4706734097486145E-2</v>
      </c>
    </row>
    <row r="1041" spans="8:9" ht="12" customHeight="1">
      <c r="H1041" s="133">
        <v>-0.8003962772330554</v>
      </c>
      <c r="I1041" s="133">
        <v>1.4720642325750261E-2</v>
      </c>
    </row>
    <row r="1042" spans="8:9" ht="12" customHeight="1">
      <c r="H1042" s="133">
        <v>-0.79934169974706626</v>
      </c>
      <c r="I1042" s="133">
        <v>1.4754523542888533E-2</v>
      </c>
    </row>
    <row r="1043" spans="8:9" ht="12" customHeight="1">
      <c r="H1043" s="133">
        <v>-0.79824872951872838</v>
      </c>
      <c r="I1043" s="133">
        <v>1.4789719291604815E-2</v>
      </c>
    </row>
    <row r="1044" spans="8:9" ht="12" customHeight="1">
      <c r="H1044" s="133">
        <v>-0.79799340099599936</v>
      </c>
      <c r="I1044" s="133">
        <v>1.4797953270839119E-2</v>
      </c>
    </row>
    <row r="1045" spans="8:9" ht="12" customHeight="1">
      <c r="H1045" s="133">
        <v>-0.79785656642332459</v>
      </c>
      <c r="I1045" s="133">
        <v>1.4802367848017493E-2</v>
      </c>
    </row>
    <row r="1046" spans="8:9" ht="12" customHeight="1">
      <c r="H1046" s="133">
        <v>-0.7975008739623225</v>
      </c>
      <c r="I1046" s="133">
        <v>1.4813849320133405E-2</v>
      </c>
    </row>
    <row r="1047" spans="8:9" ht="12" customHeight="1">
      <c r="H1047" s="133">
        <v>-0.79653373428729246</v>
      </c>
      <c r="I1047" s="133">
        <v>1.48451121948989E-2</v>
      </c>
    </row>
    <row r="1048" spans="8:9" ht="12" customHeight="1">
      <c r="H1048" s="133">
        <v>-0.79592677558538338</v>
      </c>
      <c r="I1048" s="133">
        <v>1.486476536658774E-2</v>
      </c>
    </row>
    <row r="1049" spans="8:9" ht="12" customHeight="1">
      <c r="H1049" s="133">
        <v>-0.79350481400777217</v>
      </c>
      <c r="I1049" s="133">
        <v>1.4943443340102124E-2</v>
      </c>
    </row>
    <row r="1050" spans="8:9" ht="12" customHeight="1">
      <c r="H1050" s="133">
        <v>-0.79307814238751451</v>
      </c>
      <c r="I1050" s="133">
        <v>1.49573462915724E-2</v>
      </c>
    </row>
    <row r="1051" spans="8:9" ht="12" customHeight="1">
      <c r="H1051" s="133">
        <v>-0.79260787904781504</v>
      </c>
      <c r="I1051" s="133">
        <v>1.4972684421980216E-2</v>
      </c>
    </row>
    <row r="1052" spans="8:9" ht="12" customHeight="1">
      <c r="H1052" s="133">
        <v>-0.7924002574794119</v>
      </c>
      <c r="I1052" s="133">
        <v>1.4979461144444059E-2</v>
      </c>
    </row>
    <row r="1053" spans="8:9" ht="12" customHeight="1">
      <c r="H1053" s="133">
        <v>-0.79230282756847137</v>
      </c>
      <c r="I1053" s="133">
        <v>1.4982642276583412E-2</v>
      </c>
    </row>
    <row r="1054" spans="8:9" ht="12" customHeight="1">
      <c r="H1054" s="133">
        <v>-0.79219909437905622</v>
      </c>
      <c r="I1054" s="133">
        <v>1.4986029944956064E-2</v>
      </c>
    </row>
    <row r="1055" spans="8:9" ht="12" customHeight="1">
      <c r="H1055" s="133">
        <v>-0.79205726484751227</v>
      </c>
      <c r="I1055" s="133">
        <v>1.4990662966016479E-2</v>
      </c>
    </row>
    <row r="1056" spans="8:9" ht="12" customHeight="1">
      <c r="H1056" s="133">
        <v>-0.7913777476034084</v>
      </c>
      <c r="I1056" s="133">
        <v>1.5012879735708848E-2</v>
      </c>
    </row>
    <row r="1057" spans="8:9" ht="12" customHeight="1">
      <c r="H1057" s="133">
        <v>-0.79122771821467852</v>
      </c>
      <c r="I1057" s="133">
        <v>1.5017789304334162E-2</v>
      </c>
    </row>
    <row r="1058" spans="8:9" ht="12" customHeight="1">
      <c r="H1058" s="133">
        <v>-0.78979308826143058</v>
      </c>
      <c r="I1058" s="133">
        <v>1.5064816115875511E-2</v>
      </c>
    </row>
    <row r="1059" spans="8:9" ht="12" customHeight="1">
      <c r="H1059" s="133">
        <v>-0.78744524666266424</v>
      </c>
      <c r="I1059" s="133">
        <v>1.5142090802731769E-2</v>
      </c>
    </row>
    <row r="1060" spans="8:9" ht="12" customHeight="1">
      <c r="H1060" s="133">
        <v>-0.7874406520203564</v>
      </c>
      <c r="I1060" s="133">
        <v>1.5142242408522057E-2</v>
      </c>
    </row>
    <row r="1061" spans="8:9" ht="12" customHeight="1">
      <c r="H1061" s="133">
        <v>-0.78693033546060731</v>
      </c>
      <c r="I1061" s="133">
        <v>1.5159090226566458E-2</v>
      </c>
    </row>
    <row r="1062" spans="8:9" ht="12" customHeight="1">
      <c r="H1062" s="133">
        <v>-0.78478782552950144</v>
      </c>
      <c r="I1062" s="133">
        <v>1.5230025638245914E-2</v>
      </c>
    </row>
    <row r="1063" spans="8:9" ht="12" customHeight="1">
      <c r="H1063" s="133">
        <v>-0.78238517274373076</v>
      </c>
      <c r="I1063" s="133">
        <v>1.530996277694428E-2</v>
      </c>
    </row>
    <row r="1064" spans="8:9" ht="12" customHeight="1">
      <c r="H1064" s="133">
        <v>-0.782300284029116</v>
      </c>
      <c r="I1064" s="133">
        <v>1.5312794597246264E-2</v>
      </c>
    </row>
    <row r="1065" spans="8:9" ht="12" customHeight="1">
      <c r="H1065" s="133">
        <v>-0.78172569028486771</v>
      </c>
      <c r="I1065" s="133">
        <v>1.5331976151789436E-2</v>
      </c>
    </row>
    <row r="1066" spans="8:9" ht="12" customHeight="1">
      <c r="H1066" s="133">
        <v>-0.78011424396876905</v>
      </c>
      <c r="I1066" s="133">
        <v>1.538589703675468E-2</v>
      </c>
    </row>
    <row r="1067" spans="8:9" ht="12" customHeight="1">
      <c r="H1067" s="133">
        <v>-0.77981838273390958</v>
      </c>
      <c r="I1067" s="133">
        <v>1.5395817163897454E-2</v>
      </c>
    </row>
    <row r="1068" spans="8:9" ht="12" customHeight="1">
      <c r="H1068" s="133">
        <v>-0.77735402209915672</v>
      </c>
      <c r="I1068" s="133">
        <v>1.5478691337190148E-2</v>
      </c>
    </row>
    <row r="1069" spans="8:9" ht="12" customHeight="1">
      <c r="H1069" s="133">
        <v>-0.77683403230691828</v>
      </c>
      <c r="I1069" s="133">
        <v>1.5496234133283675E-2</v>
      </c>
    </row>
    <row r="1070" spans="8:9" ht="12" customHeight="1">
      <c r="H1070" s="133">
        <v>-0.77576966011283277</v>
      </c>
      <c r="I1070" s="133">
        <v>1.5532203700276742E-2</v>
      </c>
    </row>
    <row r="1071" spans="8:9" ht="12" customHeight="1">
      <c r="H1071" s="133">
        <v>-0.7755629674200254</v>
      </c>
      <c r="I1071" s="133">
        <v>1.5539198229003277E-2</v>
      </c>
    </row>
    <row r="1072" spans="8:9" ht="12" customHeight="1">
      <c r="H1072" s="133">
        <v>-0.77319825111197338</v>
      </c>
      <c r="I1072" s="133">
        <v>1.5619441725549745E-2</v>
      </c>
    </row>
    <row r="1073" spans="8:9" ht="12" customHeight="1">
      <c r="H1073" s="133">
        <v>-0.77297011391985959</v>
      </c>
      <c r="I1073" s="133">
        <v>1.5627204792554614E-2</v>
      </c>
    </row>
    <row r="1074" spans="8:9" ht="12" customHeight="1">
      <c r="H1074" s="133">
        <v>-0.77195720859273942</v>
      </c>
      <c r="I1074" s="133">
        <v>1.5661717879289036E-2</v>
      </c>
    </row>
    <row r="1075" spans="8:9" ht="12" customHeight="1">
      <c r="H1075" s="133">
        <v>-0.77171369302193871</v>
      </c>
      <c r="I1075" s="133">
        <v>1.5670026450846294E-2</v>
      </c>
    </row>
    <row r="1076" spans="8:9" ht="12" customHeight="1">
      <c r="H1076" s="133">
        <v>-0.7712424233131383</v>
      </c>
      <c r="I1076" s="133">
        <v>1.5686118147196632E-2</v>
      </c>
    </row>
    <row r="1077" spans="8:9" ht="12" customHeight="1">
      <c r="H1077" s="133">
        <v>-0.7706897865583171</v>
      </c>
      <c r="I1077" s="133">
        <v>1.5705008870490894E-2</v>
      </c>
    </row>
    <row r="1078" spans="8:9" ht="12" customHeight="1">
      <c r="H1078" s="133">
        <v>-0.77015942430875495</v>
      </c>
      <c r="I1078" s="133">
        <v>1.5723159237734222E-2</v>
      </c>
    </row>
    <row r="1079" spans="8:9" ht="12" customHeight="1">
      <c r="H1079" s="133">
        <v>-0.76818967758247725</v>
      </c>
      <c r="I1079" s="133">
        <v>1.5790749928894572E-2</v>
      </c>
    </row>
    <row r="1080" spans="8:9" ht="12" customHeight="1">
      <c r="H1080" s="133">
        <v>-0.76804700536314752</v>
      </c>
      <c r="I1080" s="133">
        <v>1.5795656730713137E-2</v>
      </c>
    </row>
    <row r="1081" spans="8:9" ht="12" customHeight="1">
      <c r="H1081" s="133">
        <v>-0.76690909710065225</v>
      </c>
      <c r="I1081" s="133">
        <v>1.5834845558525844E-2</v>
      </c>
    </row>
    <row r="1082" spans="8:9" ht="12" customHeight="1">
      <c r="H1082" s="133">
        <v>-0.76657646775434107</v>
      </c>
      <c r="I1082" s="133">
        <v>1.5846319157270014E-2</v>
      </c>
    </row>
    <row r="1083" spans="8:9" ht="12" customHeight="1">
      <c r="H1083" s="133">
        <v>-0.76639076094576097</v>
      </c>
      <c r="I1083" s="133">
        <v>1.5852728419831819E-2</v>
      </c>
    </row>
    <row r="1084" spans="8:9" ht="12" customHeight="1">
      <c r="H1084" s="133">
        <v>-0.7661052502597181</v>
      </c>
      <c r="I1084" s="133">
        <v>1.5862587169300436E-2</v>
      </c>
    </row>
    <row r="1085" spans="8:9" ht="12" customHeight="1">
      <c r="H1085" s="133">
        <v>-0.76494301819258692</v>
      </c>
      <c r="I1085" s="133">
        <v>1.5902781603760036E-2</v>
      </c>
    </row>
    <row r="1086" spans="8:9" ht="12" customHeight="1">
      <c r="H1086" s="133">
        <v>-0.76400664187765144</v>
      </c>
      <c r="I1086" s="133">
        <v>1.5935237954012919E-2</v>
      </c>
    </row>
    <row r="1087" spans="8:9" ht="12" customHeight="1">
      <c r="H1087" s="133">
        <v>-0.76390104323811026</v>
      </c>
      <c r="I1087" s="133">
        <v>1.5938902263895664E-2</v>
      </c>
    </row>
    <row r="1088" spans="8:9" ht="12" customHeight="1">
      <c r="H1088" s="133">
        <v>-0.76352090938766315</v>
      </c>
      <c r="I1088" s="133">
        <v>1.5952099906410749E-2</v>
      </c>
    </row>
    <row r="1089" spans="8:9" ht="12" customHeight="1">
      <c r="H1089" s="133">
        <v>-0.76286263425203882</v>
      </c>
      <c r="I1089" s="133">
        <v>1.597497960420529E-2</v>
      </c>
    </row>
    <row r="1090" spans="8:9" ht="12" customHeight="1">
      <c r="H1090" s="133">
        <v>-0.76178525300498146</v>
      </c>
      <c r="I1090" s="133">
        <v>1.601249586670879E-2</v>
      </c>
    </row>
    <row r="1091" spans="8:9" ht="12" customHeight="1">
      <c r="H1091" s="133">
        <v>-0.76138724494539944</v>
      </c>
      <c r="I1091" s="133">
        <v>1.6026377101883565E-2</v>
      </c>
    </row>
    <row r="1092" spans="8:9" ht="12" customHeight="1">
      <c r="H1092" s="133">
        <v>-0.76114016385721184</v>
      </c>
      <c r="I1092" s="133">
        <v>1.6035000446629127E-2</v>
      </c>
    </row>
    <row r="1093" spans="8:9" ht="12" customHeight="1">
      <c r="H1093" s="133">
        <v>-0.76071256172476998</v>
      </c>
      <c r="I1093" s="133">
        <v>1.6049934918758266E-2</v>
      </c>
    </row>
    <row r="1094" spans="8:9" ht="12" customHeight="1">
      <c r="H1094" s="133">
        <v>-0.76005653689763186</v>
      </c>
      <c r="I1094" s="133">
        <v>1.6072873905696283E-2</v>
      </c>
    </row>
    <row r="1095" spans="8:9" ht="12" customHeight="1">
      <c r="H1095" s="133">
        <v>-0.75884692486902683</v>
      </c>
      <c r="I1095" s="133">
        <v>1.6115254562050541E-2</v>
      </c>
    </row>
    <row r="1096" spans="8:9" ht="12" customHeight="1">
      <c r="H1096" s="133">
        <v>-0.75824060018485928</v>
      </c>
      <c r="I1096" s="133">
        <v>1.6136539437620116E-2</v>
      </c>
    </row>
    <row r="1097" spans="8:9" ht="12" customHeight="1">
      <c r="H1097" s="133">
        <v>-0.75772185390007818</v>
      </c>
      <c r="I1097" s="133">
        <v>1.6154771842839092E-2</v>
      </c>
    </row>
    <row r="1098" spans="8:9" ht="12" customHeight="1">
      <c r="H1098" s="133">
        <v>-0.75719511951863994</v>
      </c>
      <c r="I1098" s="133">
        <v>1.6173305738528803E-2</v>
      </c>
    </row>
    <row r="1099" spans="8:9" ht="12" customHeight="1">
      <c r="H1099" s="133">
        <v>-0.75611977666490993</v>
      </c>
      <c r="I1099" s="133">
        <v>1.6211208154961135E-2</v>
      </c>
    </row>
    <row r="1100" spans="8:9" ht="12" customHeight="1">
      <c r="H1100" s="133">
        <v>-0.7554399602055224</v>
      </c>
      <c r="I1100" s="133">
        <v>1.6235214581204898E-2</v>
      </c>
    </row>
    <row r="1101" spans="8:9" ht="12" customHeight="1">
      <c r="H1101" s="133">
        <v>-0.75489101487917032</v>
      </c>
      <c r="I1101" s="133">
        <v>1.6254625054214614E-2</v>
      </c>
    </row>
    <row r="1102" spans="8:9" ht="12" customHeight="1">
      <c r="H1102" s="133">
        <v>-0.75436778215665801</v>
      </c>
      <c r="I1102" s="133">
        <v>1.6273147584470207E-2</v>
      </c>
    </row>
    <row r="1103" spans="8:9" ht="12" customHeight="1">
      <c r="H1103" s="133">
        <v>-0.75389826656444003</v>
      </c>
      <c r="I1103" s="133">
        <v>1.6289786188388763E-2</v>
      </c>
    </row>
    <row r="1104" spans="8:9" ht="12" customHeight="1">
      <c r="H1104" s="133">
        <v>-0.75301500012609579</v>
      </c>
      <c r="I1104" s="133">
        <v>1.6321132569873598E-2</v>
      </c>
    </row>
    <row r="1105" spans="8:9" ht="12" customHeight="1">
      <c r="H1105" s="133">
        <v>-0.75288620540664253</v>
      </c>
      <c r="I1105" s="133">
        <v>1.6325708338652167E-2</v>
      </c>
    </row>
    <row r="1106" spans="8:9" ht="12" customHeight="1">
      <c r="H1106" s="133">
        <v>-0.75255795036892548</v>
      </c>
      <c r="I1106" s="133">
        <v>1.6337376161955006E-2</v>
      </c>
    </row>
    <row r="1107" spans="8:9" ht="12" customHeight="1">
      <c r="H1107" s="133">
        <v>-0.75174773162297959</v>
      </c>
      <c r="I1107" s="133">
        <v>1.636621049350661E-2</v>
      </c>
    </row>
    <row r="1108" spans="8:9" ht="12" customHeight="1">
      <c r="H1108" s="133">
        <v>-0.75131272590063025</v>
      </c>
      <c r="I1108" s="133">
        <v>1.6381712261548793E-2</v>
      </c>
    </row>
    <row r="1109" spans="8:9" ht="12" customHeight="1">
      <c r="H1109" s="133">
        <v>-0.75120317012447313</v>
      </c>
      <c r="I1109" s="133">
        <v>1.6385618642549525E-2</v>
      </c>
    </row>
    <row r="1110" spans="8:9" ht="12" customHeight="1">
      <c r="H1110" s="133">
        <v>-0.75105238904199689</v>
      </c>
      <c r="I1110" s="133">
        <v>1.639099647365639E-2</v>
      </c>
    </row>
    <row r="1111" spans="8:9" ht="12" customHeight="1">
      <c r="H1111" s="133">
        <v>-0.74905854547338169</v>
      </c>
      <c r="I1111" s="133">
        <v>1.6462273289932352E-2</v>
      </c>
    </row>
    <row r="1112" spans="8:9" ht="12" customHeight="1">
      <c r="H1112" s="133">
        <v>-0.74870301979749609</v>
      </c>
      <c r="I1112" s="133">
        <v>1.647501475944399E-2</v>
      </c>
    </row>
    <row r="1113" spans="8:9" ht="12" customHeight="1">
      <c r="H1113" s="133">
        <v>-0.74823808975023154</v>
      </c>
      <c r="I1113" s="133">
        <v>1.6491691738238019E-2</v>
      </c>
    </row>
    <row r="1114" spans="8:9" ht="12" customHeight="1">
      <c r="H1114" s="133">
        <v>-0.7467869561270547</v>
      </c>
      <c r="I1114" s="133">
        <v>1.6543850530733144E-2</v>
      </c>
    </row>
    <row r="1115" spans="8:9" ht="12" customHeight="1">
      <c r="H1115" s="133">
        <v>-0.74660741612979264</v>
      </c>
      <c r="I1115" s="133">
        <v>1.655031508729226E-2</v>
      </c>
    </row>
    <row r="1116" spans="8:9" ht="12" customHeight="1">
      <c r="H1116" s="133">
        <v>-0.74647266607969565</v>
      </c>
      <c r="I1116" s="133">
        <v>1.6555168558581905E-2</v>
      </c>
    </row>
    <row r="1117" spans="8:9" ht="12" customHeight="1">
      <c r="H1117" s="133">
        <v>-0.7463173040348291</v>
      </c>
      <c r="I1117" s="133">
        <v>1.6560766176238077E-2</v>
      </c>
    </row>
    <row r="1118" spans="8:9" ht="12" customHeight="1">
      <c r="H1118" s="133">
        <v>-0.74590099551845968</v>
      </c>
      <c r="I1118" s="133">
        <v>1.6575774741402628E-2</v>
      </c>
    </row>
    <row r="1119" spans="8:9" ht="12" customHeight="1">
      <c r="H1119" s="133">
        <v>-0.74528172346211419</v>
      </c>
      <c r="I1119" s="133">
        <v>1.659812519998715E-2</v>
      </c>
    </row>
    <row r="1120" spans="8:9" ht="12" customHeight="1">
      <c r="H1120" s="133">
        <v>-0.74400165601784007</v>
      </c>
      <c r="I1120" s="133">
        <v>1.6644418715148074E-2</v>
      </c>
    </row>
    <row r="1121" spans="8:9" ht="12" customHeight="1">
      <c r="H1121" s="133">
        <v>-0.74366090399292739</v>
      </c>
      <c r="I1121" s="133">
        <v>1.6656763355971122E-2</v>
      </c>
    </row>
    <row r="1122" spans="8:9" ht="12" customHeight="1">
      <c r="H1122" s="133">
        <v>-0.74300368090097035</v>
      </c>
      <c r="I1122" s="133">
        <v>1.6680598422200796E-2</v>
      </c>
    </row>
    <row r="1123" spans="8:9" ht="12" customHeight="1">
      <c r="H1123" s="133">
        <v>-0.74291585911954816</v>
      </c>
      <c r="I1123" s="133">
        <v>1.6683785933865308E-2</v>
      </c>
    </row>
    <row r="1124" spans="8:9" ht="12" customHeight="1">
      <c r="H1124" s="133">
        <v>-0.74282099062103935</v>
      </c>
      <c r="I1124" s="133">
        <v>1.668722988050551E-2</v>
      </c>
    </row>
    <row r="1125" spans="8:9" ht="12" customHeight="1">
      <c r="H1125" s="133">
        <v>-0.74267066084353994</v>
      </c>
      <c r="I1125" s="133">
        <v>1.6692688631432275E-2</v>
      </c>
    </row>
    <row r="1126" spans="8:9" ht="12" customHeight="1">
      <c r="H1126" s="133">
        <v>-0.74142047397797906</v>
      </c>
      <c r="I1126" s="133">
        <v>1.6738153268890641E-2</v>
      </c>
    </row>
    <row r="1127" spans="8:9" ht="12" customHeight="1">
      <c r="H1127" s="133">
        <v>-0.73976368621892252</v>
      </c>
      <c r="I1127" s="133">
        <v>1.6798592048923658E-2</v>
      </c>
    </row>
    <row r="1128" spans="8:9" ht="12" customHeight="1">
      <c r="H1128" s="133">
        <v>-0.73635678426070805</v>
      </c>
      <c r="I1128" s="133">
        <v>1.6923548947255954E-2</v>
      </c>
    </row>
    <row r="1129" spans="8:9" ht="12" customHeight="1">
      <c r="H1129" s="133">
        <v>-0.73536429302878636</v>
      </c>
      <c r="I1129" s="133">
        <v>1.6960122631632737E-2</v>
      </c>
    </row>
    <row r="1130" spans="8:9" ht="12" customHeight="1">
      <c r="H1130" s="133">
        <v>-0.7352013882630708</v>
      </c>
      <c r="I1130" s="133">
        <v>1.696613315163633E-2</v>
      </c>
    </row>
    <row r="1131" spans="8:9" ht="12" customHeight="1">
      <c r="H1131" s="133">
        <v>-0.73515034485317132</v>
      </c>
      <c r="I1131" s="133">
        <v>1.6968016875502735E-2</v>
      </c>
    </row>
    <row r="1132" spans="8:9" ht="12" customHeight="1">
      <c r="H1132" s="133">
        <v>-0.73242274087415571</v>
      </c>
      <c r="I1132" s="133">
        <v>1.7068976825118508E-2</v>
      </c>
    </row>
    <row r="1133" spans="8:9" ht="12" customHeight="1">
      <c r="H1133" s="133">
        <v>-0.73024984520280334</v>
      </c>
      <c r="I1133" s="133">
        <v>1.7149826933462398E-2</v>
      </c>
    </row>
    <row r="1134" spans="8:9" ht="12" customHeight="1">
      <c r="H1134" s="133">
        <v>-0.73011994840058669</v>
      </c>
      <c r="I1134" s="133">
        <v>1.71546720955267E-2</v>
      </c>
    </row>
    <row r="1135" spans="8:9" ht="12" customHeight="1">
      <c r="H1135" s="133">
        <v>-0.72988728634400357</v>
      </c>
      <c r="I1135" s="133">
        <v>1.7163353772688475E-2</v>
      </c>
    </row>
    <row r="1136" spans="8:9" ht="12" customHeight="1">
      <c r="H1136" s="133">
        <v>-0.72860401756262616</v>
      </c>
      <c r="I1136" s="133">
        <v>1.7211315978996378E-2</v>
      </c>
    </row>
    <row r="1137" spans="8:9" ht="12" customHeight="1">
      <c r="H1137" s="133">
        <v>-0.72837218496327094</v>
      </c>
      <c r="I1137" s="133">
        <v>1.7219994761464675E-2</v>
      </c>
    </row>
    <row r="1138" spans="8:9" ht="12" customHeight="1">
      <c r="H1138" s="133">
        <v>-0.72780264162619857</v>
      </c>
      <c r="I1138" s="133">
        <v>1.724133419375418E-2</v>
      </c>
    </row>
    <row r="1139" spans="8:9" ht="12" customHeight="1">
      <c r="H1139" s="133">
        <v>-0.72742878625845731</v>
      </c>
      <c r="I1139" s="133">
        <v>1.7255355785837805E-2</v>
      </c>
    </row>
    <row r="1140" spans="8:9" ht="12" customHeight="1">
      <c r="H1140" s="133">
        <v>-0.72709045608033784</v>
      </c>
      <c r="I1140" s="133">
        <v>1.7268054648054931E-2</v>
      </c>
    </row>
    <row r="1141" spans="8:9" ht="12" customHeight="1">
      <c r="H1141" s="133">
        <v>-0.72686318533737126</v>
      </c>
      <c r="I1141" s="133">
        <v>1.7276590167660515E-2</v>
      </c>
    </row>
    <row r="1142" spans="8:9" ht="12" customHeight="1">
      <c r="H1142" s="133">
        <v>-0.72646584906016087</v>
      </c>
      <c r="I1142" s="133">
        <v>1.7291522731753224E-2</v>
      </c>
    </row>
    <row r="1143" spans="8:9" ht="12" customHeight="1">
      <c r="H1143" s="133">
        <v>-0.72613431704077469</v>
      </c>
      <c r="I1143" s="133">
        <v>1.7303991964335672E-2</v>
      </c>
    </row>
    <row r="1144" spans="8:9" ht="12" customHeight="1">
      <c r="H1144" s="133">
        <v>-0.72612641592158134</v>
      </c>
      <c r="I1144" s="133">
        <v>1.7304289240639321E-2</v>
      </c>
    </row>
    <row r="1145" spans="8:9" ht="12" customHeight="1">
      <c r="H1145" s="133">
        <v>-0.72524205461273761</v>
      </c>
      <c r="I1145" s="133">
        <v>1.7337594692273642E-2</v>
      </c>
    </row>
    <row r="1146" spans="8:9" ht="12" customHeight="1">
      <c r="H1146" s="133">
        <v>-0.7250012120616024</v>
      </c>
      <c r="I1146" s="133">
        <v>1.7346675837693996E-2</v>
      </c>
    </row>
    <row r="1147" spans="8:9" ht="12" customHeight="1">
      <c r="H1147" s="133">
        <v>-0.72473879724334667</v>
      </c>
      <c r="I1147" s="133">
        <v>1.7356575700448091E-2</v>
      </c>
    </row>
    <row r="1148" spans="8:9" ht="12" customHeight="1">
      <c r="H1148" s="133">
        <v>-0.72427493830648026</v>
      </c>
      <c r="I1148" s="133">
        <v>1.7374088823094803E-2</v>
      </c>
    </row>
    <row r="1149" spans="8:9" ht="12" customHeight="1">
      <c r="H1149" s="133">
        <v>-0.72352206799540408</v>
      </c>
      <c r="I1149" s="133">
        <v>1.7402550608033893E-2</v>
      </c>
    </row>
    <row r="1150" spans="8:9" ht="12" customHeight="1">
      <c r="H1150" s="133">
        <v>-0.72332494356322496</v>
      </c>
      <c r="I1150" s="133">
        <v>1.7410010334917993E-2</v>
      </c>
    </row>
    <row r="1151" spans="8:9" ht="12" customHeight="1">
      <c r="H1151" s="133">
        <v>-0.72327033963593201</v>
      </c>
      <c r="I1151" s="133">
        <v>1.7412077252136452E-2</v>
      </c>
    </row>
    <row r="1152" spans="8:9" ht="12" customHeight="1">
      <c r="H1152" s="133">
        <v>-0.72263907931738292</v>
      </c>
      <c r="I1152" s="133">
        <v>1.7435989795790117E-2</v>
      </c>
    </row>
    <row r="1153" spans="8:9" ht="12" customHeight="1">
      <c r="H1153" s="133">
        <v>-0.7219519483126704</v>
      </c>
      <c r="I1153" s="133">
        <v>1.7462055423062103E-2</v>
      </c>
    </row>
    <row r="1154" spans="8:9" ht="12" customHeight="1">
      <c r="H1154" s="133">
        <v>-0.72180705432569414</v>
      </c>
      <c r="I1154" s="133">
        <v>1.7467556715856154E-2</v>
      </c>
    </row>
    <row r="1155" spans="8:9" ht="12" customHeight="1">
      <c r="H1155" s="133">
        <v>-0.7196427777675275</v>
      </c>
      <c r="I1155" s="133">
        <v>1.7549932238736157E-2</v>
      </c>
    </row>
    <row r="1156" spans="8:9" ht="12" customHeight="1">
      <c r="H1156" s="133">
        <v>-0.71930643840039032</v>
      </c>
      <c r="I1156" s="133">
        <v>1.7562768013403535E-2</v>
      </c>
    </row>
    <row r="1157" spans="8:9" ht="12" customHeight="1">
      <c r="H1157" s="133">
        <v>-0.71921994660429434</v>
      </c>
      <c r="I1157" s="133">
        <v>1.7566070304149729E-2</v>
      </c>
    </row>
    <row r="1158" spans="8:9" ht="12" customHeight="1">
      <c r="H1158" s="133">
        <v>-0.71626503213302462</v>
      </c>
      <c r="I1158" s="133">
        <v>1.767925712302167E-2</v>
      </c>
    </row>
    <row r="1159" spans="8:9" ht="12" customHeight="1">
      <c r="H1159" s="133">
        <v>-0.71536770333458277</v>
      </c>
      <c r="I1159" s="133">
        <v>1.7713770495059785E-2</v>
      </c>
    </row>
    <row r="1160" spans="8:9" ht="12" customHeight="1">
      <c r="H1160" s="133">
        <v>-0.71519366085169622</v>
      </c>
      <c r="I1160" s="133">
        <v>1.7720472234167277E-2</v>
      </c>
    </row>
    <row r="1161" spans="8:9" ht="12" customHeight="1">
      <c r="H1161" s="133">
        <v>-0.71183492538532467</v>
      </c>
      <c r="I1161" s="133">
        <v>1.7850293558768639E-2</v>
      </c>
    </row>
    <row r="1162" spans="8:9" ht="12" customHeight="1">
      <c r="H1162" s="133">
        <v>-0.71119145219183322</v>
      </c>
      <c r="I1162" s="133">
        <v>1.7875271358847842E-2</v>
      </c>
    </row>
    <row r="1163" spans="8:9" ht="12" customHeight="1">
      <c r="H1163" s="133">
        <v>-0.71020618953782566</v>
      </c>
      <c r="I1163" s="133">
        <v>1.7913582964304245E-2</v>
      </c>
    </row>
    <row r="1164" spans="8:9" ht="12" customHeight="1">
      <c r="H1164" s="133">
        <v>-0.70993263660411188</v>
      </c>
      <c r="I1164" s="133">
        <v>1.792423426844085E-2</v>
      </c>
    </row>
    <row r="1165" spans="8:9" ht="12" customHeight="1">
      <c r="H1165" s="133">
        <v>-0.7098077246111677</v>
      </c>
      <c r="I1165" s="133">
        <v>1.7929100022185288E-2</v>
      </c>
    </row>
    <row r="1166" spans="8:9" ht="12" customHeight="1">
      <c r="H1166" s="133">
        <v>-0.70679029191499354</v>
      </c>
      <c r="I1166" s="133">
        <v>1.8047034244240097E-2</v>
      </c>
    </row>
    <row r="1167" spans="8:9" ht="12" customHeight="1">
      <c r="H1167" s="133">
        <v>-0.70662390985889323</v>
      </c>
      <c r="I1167" s="133">
        <v>1.8053559275390912E-2</v>
      </c>
    </row>
    <row r="1168" spans="8:9" ht="12" customHeight="1">
      <c r="H1168" s="133">
        <v>-0.7066226919378894</v>
      </c>
      <c r="I1168" s="133">
        <v>1.8053607047326514E-2</v>
      </c>
    </row>
    <row r="1169" spans="8:9" ht="12" customHeight="1">
      <c r="H1169" s="133">
        <v>-0.70540302349972694</v>
      </c>
      <c r="I1169" s="133">
        <v>1.8101509859946682E-2</v>
      </c>
    </row>
    <row r="1170" spans="8:9" ht="12" customHeight="1">
      <c r="H1170" s="133">
        <v>-0.70524557178303593</v>
      </c>
      <c r="I1170" s="133">
        <v>1.8107702904768187E-2</v>
      </c>
    </row>
    <row r="1171" spans="8:9" ht="12" customHeight="1">
      <c r="H1171" s="133">
        <v>-0.70523578616329274</v>
      </c>
      <c r="I1171" s="133">
        <v>1.8108087870966096E-2</v>
      </c>
    </row>
    <row r="1172" spans="8:9" ht="12" customHeight="1">
      <c r="H1172" s="133">
        <v>-0.70515878713524871</v>
      </c>
      <c r="I1172" s="133">
        <v>1.8111117292388328E-2</v>
      </c>
    </row>
    <row r="1173" spans="8:9" ht="12" customHeight="1">
      <c r="H1173" s="133">
        <v>-0.70512827401491718</v>
      </c>
      <c r="I1173" s="133">
        <v>1.8112317926987871E-2</v>
      </c>
    </row>
    <row r="1174" spans="8:9" ht="12" customHeight="1">
      <c r="H1174" s="133">
        <v>-0.70446874686213523</v>
      </c>
      <c r="I1174" s="133">
        <v>1.8138288197295325E-2</v>
      </c>
    </row>
    <row r="1175" spans="8:9" ht="12" customHeight="1">
      <c r="H1175" s="133">
        <v>-0.70275623419051725</v>
      </c>
      <c r="I1175" s="133">
        <v>1.820589277172709E-2</v>
      </c>
    </row>
    <row r="1176" spans="8:9" ht="12" customHeight="1">
      <c r="H1176" s="133">
        <v>-0.70195445659634736</v>
      </c>
      <c r="I1176" s="133">
        <v>1.823762934808227E-2</v>
      </c>
    </row>
    <row r="1177" spans="8:9" ht="12" customHeight="1">
      <c r="H1177" s="133">
        <v>-0.70043134674334318</v>
      </c>
      <c r="I1177" s="133">
        <v>1.8298067861567735E-2</v>
      </c>
    </row>
    <row r="1178" spans="8:9" ht="12" customHeight="1">
      <c r="H1178" s="133">
        <v>-0.6995891986123054</v>
      </c>
      <c r="I1178" s="133">
        <v>1.8331569476787189E-2</v>
      </c>
    </row>
    <row r="1179" spans="8:9" ht="12" customHeight="1">
      <c r="H1179" s="133">
        <v>-0.69914883762444413</v>
      </c>
      <c r="I1179" s="133">
        <v>1.8349111499167872E-2</v>
      </c>
    </row>
    <row r="1180" spans="8:9" ht="12" customHeight="1">
      <c r="H1180" s="133">
        <v>-0.69908021340054005</v>
      </c>
      <c r="I1180" s="133">
        <v>1.8351846666045439E-2</v>
      </c>
    </row>
    <row r="1181" spans="8:9" ht="12" customHeight="1">
      <c r="H1181" s="133">
        <v>-0.69811956599339653</v>
      </c>
      <c r="I1181" s="133">
        <v>1.8390177373407854E-2</v>
      </c>
    </row>
    <row r="1182" spans="8:9" ht="12" customHeight="1">
      <c r="H1182" s="133">
        <v>-0.6977065485401408</v>
      </c>
      <c r="I1182" s="133">
        <v>1.8406681284937734E-2</v>
      </c>
    </row>
    <row r="1183" spans="8:9" ht="12" customHeight="1">
      <c r="H1183" s="133">
        <v>-0.69753923706541554</v>
      </c>
      <c r="I1183" s="133">
        <v>1.8413371079172524E-2</v>
      </c>
    </row>
    <row r="1184" spans="8:9" ht="12" customHeight="1">
      <c r="H1184" s="133">
        <v>-0.69709610031690328</v>
      </c>
      <c r="I1184" s="133">
        <v>1.8431101020797262E-2</v>
      </c>
    </row>
    <row r="1185" spans="8:9" ht="12" customHeight="1">
      <c r="H1185" s="133">
        <v>-0.69677193766635648</v>
      </c>
      <c r="I1185" s="133">
        <v>1.8444081405806344E-2</v>
      </c>
    </row>
    <row r="1186" spans="8:9" ht="12" customHeight="1">
      <c r="H1186" s="133">
        <v>-0.69473377547819115</v>
      </c>
      <c r="I1186" s="133">
        <v>1.8525900893118959E-2</v>
      </c>
    </row>
    <row r="1187" spans="8:9" ht="12" customHeight="1">
      <c r="H1187" s="133">
        <v>-0.69462036914655512</v>
      </c>
      <c r="I1187" s="133">
        <v>1.8530463893118729E-2</v>
      </c>
    </row>
    <row r="1188" spans="8:9" ht="12" customHeight="1">
      <c r="H1188" s="133">
        <v>-0.69415673070123829</v>
      </c>
      <c r="I1188" s="133">
        <v>1.8549130251200797E-2</v>
      </c>
    </row>
    <row r="1189" spans="8:9" ht="12" customHeight="1">
      <c r="H1189" s="133">
        <v>-0.69404977904358545</v>
      </c>
      <c r="I1189" s="133">
        <v>1.8553438806120016E-2</v>
      </c>
    </row>
    <row r="1190" spans="8:9" ht="12" customHeight="1">
      <c r="H1190" s="133">
        <v>-0.69348444206470672</v>
      </c>
      <c r="I1190" s="133">
        <v>1.857622976248904E-2</v>
      </c>
    </row>
    <row r="1191" spans="8:9" ht="12" customHeight="1">
      <c r="H1191" s="133">
        <v>-0.69337294574137764</v>
      </c>
      <c r="I1191" s="133">
        <v>1.8580727859218982E-2</v>
      </c>
    </row>
    <row r="1192" spans="8:9" ht="12" customHeight="1">
      <c r="H1192" s="133">
        <v>-0.69225834194087421</v>
      </c>
      <c r="I1192" s="133">
        <v>1.8625753100496766E-2</v>
      </c>
    </row>
    <row r="1193" spans="8:9" ht="12" customHeight="1">
      <c r="H1193" s="133">
        <v>-0.69139436202388516</v>
      </c>
      <c r="I1193" s="133">
        <v>1.8660727829610601E-2</v>
      </c>
    </row>
    <row r="1194" spans="8:9" ht="12" customHeight="1">
      <c r="H1194" s="133">
        <v>-0.69136483439179797</v>
      </c>
      <c r="I1194" s="133">
        <v>1.866192427409985E-2</v>
      </c>
    </row>
    <row r="1195" spans="8:9" ht="12" customHeight="1">
      <c r="H1195" s="133">
        <v>-0.6913250316947509</v>
      </c>
      <c r="I1195" s="133">
        <v>1.8663537178033145E-2</v>
      </c>
    </row>
    <row r="1196" spans="8:9" ht="12" customHeight="1">
      <c r="H1196" s="133">
        <v>-0.69119052505568945</v>
      </c>
      <c r="I1196" s="133">
        <v>1.8668988732363553E-2</v>
      </c>
    </row>
    <row r="1197" spans="8:9" ht="12" customHeight="1">
      <c r="H1197" s="133">
        <v>-0.6901288328514269</v>
      </c>
      <c r="I1197" s="133">
        <v>1.8712073980132752E-2</v>
      </c>
    </row>
    <row r="1198" spans="8:9" ht="12" customHeight="1">
      <c r="H1198" s="133">
        <v>-0.68919419166267881</v>
      </c>
      <c r="I1198" s="133">
        <v>1.8750084002627961E-2</v>
      </c>
    </row>
    <row r="1199" spans="8:9" ht="12" customHeight="1">
      <c r="H1199" s="133">
        <v>-0.68891027831810692</v>
      </c>
      <c r="I1199" s="133">
        <v>1.8761645190875694E-2</v>
      </c>
    </row>
    <row r="1200" spans="8:9" ht="12" customHeight="1">
      <c r="H1200" s="133">
        <v>-0.68862713097951966</v>
      </c>
      <c r="I1200" s="133">
        <v>1.8773182150620394E-2</v>
      </c>
    </row>
    <row r="1201" spans="8:9" ht="12" customHeight="1">
      <c r="H1201" s="133">
        <v>-0.68694612454030413</v>
      </c>
      <c r="I1201" s="133">
        <v>1.8841818902633617E-2</v>
      </c>
    </row>
    <row r="1202" spans="8:9" ht="12" customHeight="1">
      <c r="H1202" s="133">
        <v>-0.68221319074055442</v>
      </c>
      <c r="I1202" s="133">
        <v>1.9036392826066562E-2</v>
      </c>
    </row>
    <row r="1203" spans="8:9" ht="12" customHeight="1">
      <c r="H1203" s="133">
        <v>-0.68131853493717731</v>
      </c>
      <c r="I1203" s="133">
        <v>1.9073393496241084E-2</v>
      </c>
    </row>
    <row r="1204" spans="8:9" ht="12" customHeight="1">
      <c r="H1204" s="133">
        <v>-0.68114559722970536</v>
      </c>
      <c r="I1204" s="133">
        <v>1.9080553885296791E-2</v>
      </c>
    </row>
    <row r="1205" spans="8:9" ht="12" customHeight="1">
      <c r="H1205" s="133">
        <v>-0.67859124454234176</v>
      </c>
      <c r="I1205" s="133">
        <v>1.9186622910633003E-2</v>
      </c>
    </row>
    <row r="1206" spans="8:9" ht="12" customHeight="1">
      <c r="H1206" s="133">
        <v>-0.67839786726225404</v>
      </c>
      <c r="I1206" s="133">
        <v>1.9194676365567209E-2</v>
      </c>
    </row>
    <row r="1207" spans="8:9" ht="12" customHeight="1">
      <c r="H1207" s="133">
        <v>-0.67745435491354711</v>
      </c>
      <c r="I1207" s="133">
        <v>1.9234017754864951E-2</v>
      </c>
    </row>
    <row r="1208" spans="8:9" ht="12" customHeight="1">
      <c r="H1208" s="133">
        <v>-0.67650443432793272</v>
      </c>
      <c r="I1208" s="133">
        <v>1.9273706203830152E-2</v>
      </c>
    </row>
    <row r="1209" spans="8:9" ht="12" customHeight="1">
      <c r="H1209" s="133">
        <v>-0.67626110925376148</v>
      </c>
      <c r="I1209" s="133">
        <v>1.9283885431806893E-2</v>
      </c>
    </row>
    <row r="1210" spans="8:9" ht="12" customHeight="1">
      <c r="H1210" s="133">
        <v>-0.67618180401773087</v>
      </c>
      <c r="I1210" s="133">
        <v>1.9287204214887894E-2</v>
      </c>
    </row>
    <row r="1211" spans="8:9" ht="12" customHeight="1">
      <c r="H1211" s="133">
        <v>-0.67245812865766397</v>
      </c>
      <c r="I1211" s="133">
        <v>1.9443665344274788E-2</v>
      </c>
    </row>
    <row r="1212" spans="8:9" ht="12" customHeight="1">
      <c r="H1212" s="133">
        <v>-0.67083663426403983</v>
      </c>
      <c r="I1212" s="133">
        <v>1.9512185383445995E-2</v>
      </c>
    </row>
    <row r="1213" spans="8:9" ht="12" customHeight="1">
      <c r="H1213" s="133">
        <v>-0.67063610555207898</v>
      </c>
      <c r="I1213" s="133">
        <v>1.952067561988477E-2</v>
      </c>
    </row>
    <row r="1214" spans="8:9" ht="12" customHeight="1">
      <c r="H1214" s="133">
        <v>-0.66995342562054438</v>
      </c>
      <c r="I1214" s="133">
        <v>1.9549606934283401E-2</v>
      </c>
    </row>
    <row r="1215" spans="8:9" ht="12" customHeight="1">
      <c r="H1215" s="133">
        <v>-0.66975677225101571</v>
      </c>
      <c r="I1215" s="133">
        <v>1.9557948707080008E-2</v>
      </c>
    </row>
    <row r="1216" spans="8:9" ht="12" customHeight="1">
      <c r="H1216" s="133">
        <v>-0.66910250044708675</v>
      </c>
      <c r="I1216" s="133">
        <v>1.9585727159000779E-2</v>
      </c>
    </row>
    <row r="1217" spans="8:9" ht="12" customHeight="1">
      <c r="H1217" s="133">
        <v>-0.66880887353881624</v>
      </c>
      <c r="I1217" s="133">
        <v>1.9598206258590781E-2</v>
      </c>
    </row>
    <row r="1218" spans="8:9" ht="12" customHeight="1">
      <c r="H1218" s="133">
        <v>-0.66848072632073163</v>
      </c>
      <c r="I1218" s="133">
        <v>1.961216168640131E-2</v>
      </c>
    </row>
    <row r="1219" spans="8:9" ht="12" customHeight="1">
      <c r="H1219" s="133">
        <v>-0.66835308886690592</v>
      </c>
      <c r="I1219" s="133">
        <v>1.9617592475656805E-2</v>
      </c>
    </row>
    <row r="1220" spans="8:9" ht="12" customHeight="1">
      <c r="H1220" s="133">
        <v>-0.66791511832860639</v>
      </c>
      <c r="I1220" s="133">
        <v>1.9636238696196878E-2</v>
      </c>
    </row>
    <row r="1221" spans="8:9" ht="12" customHeight="1">
      <c r="H1221" s="133">
        <v>-0.66755426345404534</v>
      </c>
      <c r="I1221" s="133">
        <v>1.965161483256387E-2</v>
      </c>
    </row>
    <row r="1222" spans="8:9" ht="12" customHeight="1">
      <c r="H1222" s="133">
        <v>-0.66743868985663435</v>
      </c>
      <c r="I1222" s="133">
        <v>1.9656541952990558E-2</v>
      </c>
    </row>
    <row r="1223" spans="8:9" ht="12" customHeight="1">
      <c r="H1223" s="133">
        <v>-0.66706435512813111</v>
      </c>
      <c r="I1223" s="133">
        <v>1.967250886022338E-2</v>
      </c>
    </row>
    <row r="1224" spans="8:9" ht="12" customHeight="1">
      <c r="H1224" s="133">
        <v>-0.66689745356533192</v>
      </c>
      <c r="I1224" s="133">
        <v>1.9679631990515398E-2</v>
      </c>
    </row>
    <row r="1225" spans="8:9" ht="12" customHeight="1">
      <c r="H1225" s="133">
        <v>-0.66583797952138501</v>
      </c>
      <c r="I1225" s="133">
        <v>1.9724907871889887E-2</v>
      </c>
    </row>
    <row r="1226" spans="8:9" ht="12" customHeight="1">
      <c r="H1226" s="133">
        <v>-0.66543440429816492</v>
      </c>
      <c r="I1226" s="133">
        <v>1.9742181208154221E-2</v>
      </c>
    </row>
    <row r="1227" spans="8:9" ht="12" customHeight="1">
      <c r="H1227" s="133">
        <v>-0.66421916124981251</v>
      </c>
      <c r="I1227" s="133">
        <v>1.9794284124592592E-2</v>
      </c>
    </row>
    <row r="1228" spans="8:9" ht="12" customHeight="1">
      <c r="H1228" s="133">
        <v>-0.66321941916410265</v>
      </c>
      <c r="I1228" s="133">
        <v>1.9837248540350089E-2</v>
      </c>
    </row>
    <row r="1229" spans="8:9" ht="12" customHeight="1">
      <c r="H1229" s="133">
        <v>-0.66311409216367145</v>
      </c>
      <c r="I1229" s="133">
        <v>1.9841780337490025E-2</v>
      </c>
    </row>
    <row r="1230" spans="8:9" ht="12" customHeight="1">
      <c r="H1230" s="133">
        <v>-0.66263325407800477</v>
      </c>
      <c r="I1230" s="133">
        <v>1.9862481754397192E-2</v>
      </c>
    </row>
    <row r="1231" spans="8:9" ht="12" customHeight="1">
      <c r="H1231" s="133">
        <v>-0.66209227417230843</v>
      </c>
      <c r="I1231" s="133">
        <v>1.9885797740610917E-2</v>
      </c>
    </row>
    <row r="1232" spans="8:9" ht="12" customHeight="1">
      <c r="H1232" s="133">
        <v>-0.66200797839762937</v>
      </c>
      <c r="I1232" s="133">
        <v>1.9889433263759693E-2</v>
      </c>
    </row>
    <row r="1233" spans="8:9" ht="12" customHeight="1">
      <c r="H1233" s="133">
        <v>-0.6614000664440477</v>
      </c>
      <c r="I1233" s="133">
        <v>1.9915670685978271E-2</v>
      </c>
    </row>
    <row r="1234" spans="8:9" ht="12" customHeight="1">
      <c r="H1234" s="133">
        <v>-0.66081167888015191</v>
      </c>
      <c r="I1234" s="133">
        <v>1.994109772818016E-2</v>
      </c>
    </row>
    <row r="1235" spans="8:9" ht="12" customHeight="1">
      <c r="H1235" s="133">
        <v>-0.66078446176539241</v>
      </c>
      <c r="I1235" s="133">
        <v>1.9942274679220235E-2</v>
      </c>
    </row>
    <row r="1236" spans="8:9" ht="12" customHeight="1">
      <c r="H1236" s="133">
        <v>-0.65984775753266822</v>
      </c>
      <c r="I1236" s="133">
        <v>1.9982822125618291E-2</v>
      </c>
    </row>
    <row r="1237" spans="8:9" ht="12" customHeight="1">
      <c r="H1237" s="133">
        <v>-0.65968547575461467</v>
      </c>
      <c r="I1237" s="133">
        <v>1.9989855077420553E-2</v>
      </c>
    </row>
    <row r="1238" spans="8:9" ht="12" customHeight="1">
      <c r="H1238" s="133">
        <v>-0.65913951839030716</v>
      </c>
      <c r="I1238" s="133">
        <v>2.0013533529418308E-2</v>
      </c>
    </row>
    <row r="1239" spans="8:9" ht="12" customHeight="1">
      <c r="H1239" s="133">
        <v>-0.65805404368302034</v>
      </c>
      <c r="I1239" s="133">
        <v>2.0060692770604484E-2</v>
      </c>
    </row>
    <row r="1240" spans="8:9" ht="12" customHeight="1">
      <c r="H1240" s="133">
        <v>-0.65780829650023909</v>
      </c>
      <c r="I1240" s="133">
        <v>2.0071384538173268E-2</v>
      </c>
    </row>
    <row r="1241" spans="8:9" ht="12" customHeight="1">
      <c r="H1241" s="133">
        <v>-0.65770845232870745</v>
      </c>
      <c r="I1241" s="133">
        <v>2.0075730071177009E-2</v>
      </c>
    </row>
    <row r="1242" spans="8:9" ht="12" customHeight="1">
      <c r="H1242" s="133">
        <v>-0.65728904455094705</v>
      </c>
      <c r="I1242" s="133">
        <v>2.0093994087591951E-2</v>
      </c>
    </row>
    <row r="1243" spans="8:9" ht="12" customHeight="1">
      <c r="H1243" s="133">
        <v>-0.65716561195002754</v>
      </c>
      <c r="I1243" s="133">
        <v>2.0099372325501217E-2</v>
      </c>
    </row>
    <row r="1244" spans="8:9" ht="12" customHeight="1">
      <c r="H1244" s="133">
        <v>-0.65442649447976664</v>
      </c>
      <c r="I1244" s="133">
        <v>2.0219085334211125E-2</v>
      </c>
    </row>
    <row r="1245" spans="8:9" ht="12" customHeight="1">
      <c r="H1245" s="133">
        <v>-0.65093505387151518</v>
      </c>
      <c r="I1245" s="133">
        <v>2.0372691320302241E-2</v>
      </c>
    </row>
    <row r="1246" spans="8:9" ht="12" customHeight="1">
      <c r="H1246" s="133">
        <v>-0.64927121407471977</v>
      </c>
      <c r="I1246" s="133">
        <v>2.0446293442305186E-2</v>
      </c>
    </row>
    <row r="1247" spans="8:9" ht="12" customHeight="1">
      <c r="H1247" s="133">
        <v>-0.64839061632889239</v>
      </c>
      <c r="I1247" s="133">
        <v>2.0485353130411402E-2</v>
      </c>
    </row>
    <row r="1248" spans="8:9" ht="12" customHeight="1">
      <c r="H1248" s="133">
        <v>-0.64731592979896335</v>
      </c>
      <c r="I1248" s="133">
        <v>2.0533120791664743E-2</v>
      </c>
    </row>
    <row r="1249" spans="8:9" ht="12" customHeight="1">
      <c r="H1249" s="133">
        <v>-0.64705515696343285</v>
      </c>
      <c r="I1249" s="133">
        <v>2.0544728052231866E-2</v>
      </c>
    </row>
    <row r="1250" spans="8:9" ht="12" customHeight="1">
      <c r="H1250" s="133">
        <v>-0.64701050274175431</v>
      </c>
      <c r="I1250" s="133">
        <v>2.0546716300531766E-2</v>
      </c>
    </row>
    <row r="1251" spans="8:9" ht="12" customHeight="1">
      <c r="H1251" s="133">
        <v>-0.64700517831885074</v>
      </c>
      <c r="I1251" s="133">
        <v>2.0546953385306169E-2</v>
      </c>
    </row>
    <row r="1252" spans="8:9" ht="12" customHeight="1">
      <c r="H1252" s="133">
        <v>-0.64611041175254014</v>
      </c>
      <c r="I1252" s="133">
        <v>2.0586833427511171E-2</v>
      </c>
    </row>
    <row r="1253" spans="8:9" ht="12" customHeight="1">
      <c r="H1253" s="133">
        <v>-0.64605223862330152</v>
      </c>
      <c r="I1253" s="133">
        <v>2.0589428845027447E-2</v>
      </c>
    </row>
    <row r="1254" spans="8:9" ht="12" customHeight="1">
      <c r="H1254" s="133">
        <v>-0.64576453630905872</v>
      </c>
      <c r="I1254" s="133">
        <v>2.0602269509623326E-2</v>
      </c>
    </row>
    <row r="1255" spans="8:9" ht="12" customHeight="1">
      <c r="H1255" s="133">
        <v>-0.64570090612822961</v>
      </c>
      <c r="I1255" s="133">
        <v>2.060511049595758E-2</v>
      </c>
    </row>
    <row r="1256" spans="8:9" ht="12" customHeight="1">
      <c r="H1256" s="133">
        <v>-0.64373284844439438</v>
      </c>
      <c r="I1256" s="133">
        <v>2.0693170760761527E-2</v>
      </c>
    </row>
    <row r="1257" spans="8:9" ht="12" customHeight="1">
      <c r="H1257" s="133">
        <v>-0.64239321072445543</v>
      </c>
      <c r="I1257" s="133">
        <v>2.0753323143283674E-2</v>
      </c>
    </row>
    <row r="1258" spans="8:9" ht="12" customHeight="1">
      <c r="H1258" s="133">
        <v>-0.64237347429414071</v>
      </c>
      <c r="I1258" s="133">
        <v>2.0754210626128467E-2</v>
      </c>
    </row>
    <row r="1259" spans="8:9" ht="12" customHeight="1">
      <c r="H1259" s="133">
        <v>-0.6423290579108738</v>
      </c>
      <c r="I1259" s="133">
        <v>2.0756208021764953E-2</v>
      </c>
    </row>
    <row r="1260" spans="8:9" ht="12" customHeight="1">
      <c r="H1260" s="133">
        <v>-0.64055743820650224</v>
      </c>
      <c r="I1260" s="133">
        <v>2.0836031000051401E-2</v>
      </c>
    </row>
    <row r="1261" spans="8:9" ht="12" customHeight="1">
      <c r="H1261" s="133">
        <v>-0.63970955706063959</v>
      </c>
      <c r="I1261" s="133">
        <v>2.0874339783376113E-2</v>
      </c>
    </row>
    <row r="1262" spans="8:9" ht="12" customHeight="1">
      <c r="H1262" s="133">
        <v>-0.6377910652027533</v>
      </c>
      <c r="I1262" s="133">
        <v>2.096127528818113E-2</v>
      </c>
    </row>
    <row r="1263" spans="8:9" ht="12" customHeight="1">
      <c r="H1263" s="133">
        <v>-0.63767513093920802</v>
      </c>
      <c r="I1263" s="133">
        <v>2.0966540129235371E-2</v>
      </c>
    </row>
    <row r="1264" spans="8:9" ht="12" customHeight="1">
      <c r="H1264" s="133">
        <v>-0.63761049579966211</v>
      </c>
      <c r="I1264" s="133">
        <v>2.0969475921117586E-2</v>
      </c>
    </row>
    <row r="1265" spans="8:9" ht="12" customHeight="1">
      <c r="H1265" s="133">
        <v>-0.63733214015965334</v>
      </c>
      <c r="I1265" s="133">
        <v>2.0982123706475293E-2</v>
      </c>
    </row>
    <row r="1266" spans="8:9" ht="12" customHeight="1">
      <c r="H1266" s="133">
        <v>-0.63721521682713311</v>
      </c>
      <c r="I1266" s="133">
        <v>2.0987438636951839E-2</v>
      </c>
    </row>
    <row r="1267" spans="8:9" ht="12" customHeight="1">
      <c r="H1267" s="133">
        <v>-0.63681337827955875</v>
      </c>
      <c r="I1267" s="133">
        <v>2.1005714874337226E-2</v>
      </c>
    </row>
    <row r="1268" spans="8:9" ht="12" customHeight="1">
      <c r="H1268" s="133">
        <v>-0.63600644138882079</v>
      </c>
      <c r="I1268" s="133">
        <v>2.1042462659354975E-2</v>
      </c>
    </row>
    <row r="1269" spans="8:9" ht="12" customHeight="1">
      <c r="H1269" s="133">
        <v>-0.63591883385205827</v>
      </c>
      <c r="I1269" s="133">
        <v>2.1046456076955555E-2</v>
      </c>
    </row>
    <row r="1270" spans="8:9" ht="12" customHeight="1">
      <c r="H1270" s="133">
        <v>-0.63471207762959392</v>
      </c>
      <c r="I1270" s="133">
        <v>2.1101539207411923E-2</v>
      </c>
    </row>
    <row r="1271" spans="8:9" ht="12" customHeight="1">
      <c r="H1271" s="133">
        <v>-0.63392123715106086</v>
      </c>
      <c r="I1271" s="133">
        <v>2.1137714092585264E-2</v>
      </c>
    </row>
    <row r="1272" spans="8:9" ht="12" customHeight="1">
      <c r="H1272" s="133">
        <v>-0.62807908128201018</v>
      </c>
      <c r="I1272" s="133">
        <v>2.1406833983693696E-2</v>
      </c>
    </row>
    <row r="1273" spans="8:9" ht="12" customHeight="1">
      <c r="H1273" s="133">
        <v>-0.62724167398836894</v>
      </c>
      <c r="I1273" s="133">
        <v>2.1445682911517955E-2</v>
      </c>
    </row>
    <row r="1274" spans="8:9" ht="12" customHeight="1">
      <c r="H1274" s="133">
        <v>-0.62643899054273433</v>
      </c>
      <c r="I1274" s="133">
        <v>2.148298565722424E-2</v>
      </c>
    </row>
    <row r="1275" spans="8:9" ht="12" customHeight="1">
      <c r="H1275" s="133">
        <v>-0.62597054382658734</v>
      </c>
      <c r="I1275" s="133">
        <v>2.1504784887057902E-2</v>
      </c>
    </row>
    <row r="1276" spans="8:9" ht="12" customHeight="1">
      <c r="H1276" s="133">
        <v>-0.62452607742851907</v>
      </c>
      <c r="I1276" s="133">
        <v>2.1572139611972747E-2</v>
      </c>
    </row>
    <row r="1277" spans="8:9" ht="12" customHeight="1">
      <c r="H1277" s="133">
        <v>-0.62400619538277891</v>
      </c>
      <c r="I1277" s="133">
        <v>2.1596431898395704E-2</v>
      </c>
    </row>
    <row r="1278" spans="8:9" ht="12" customHeight="1">
      <c r="H1278" s="133">
        <v>-0.62367981529933214</v>
      </c>
      <c r="I1278" s="133">
        <v>2.1611696175619578E-2</v>
      </c>
    </row>
    <row r="1279" spans="8:9" ht="12" customHeight="1">
      <c r="H1279" s="133">
        <v>-0.62341366286764488</v>
      </c>
      <c r="I1279" s="133">
        <v>2.1624151510669532E-2</v>
      </c>
    </row>
    <row r="1280" spans="8:9" ht="12" customHeight="1">
      <c r="H1280" s="133">
        <v>-0.62239553794889857</v>
      </c>
      <c r="I1280" s="133">
        <v>2.1671862284906186E-2</v>
      </c>
    </row>
    <row r="1281" spans="8:9" ht="12" customHeight="1">
      <c r="H1281" s="133">
        <v>-0.62210540442906492</v>
      </c>
      <c r="I1281" s="133">
        <v>2.1685477188234655E-2</v>
      </c>
    </row>
    <row r="1282" spans="8:9" ht="12" customHeight="1">
      <c r="H1282" s="133">
        <v>-0.62202991734929747</v>
      </c>
      <c r="I1282" s="133">
        <v>2.1689020891282187E-2</v>
      </c>
    </row>
    <row r="1283" spans="8:9" ht="12" customHeight="1">
      <c r="H1283" s="133">
        <v>-0.62176379348998545</v>
      </c>
      <c r="I1283" s="133">
        <v>2.1701518459757298E-2</v>
      </c>
    </row>
    <row r="1284" spans="8:9" ht="12" customHeight="1">
      <c r="H1284" s="133">
        <v>-0.61904341427027743</v>
      </c>
      <c r="I1284" s="133">
        <v>2.1829676028388645E-2</v>
      </c>
    </row>
    <row r="1285" spans="8:9" ht="12" customHeight="1">
      <c r="H1285" s="133">
        <v>-0.61859064299294353</v>
      </c>
      <c r="I1285" s="133">
        <v>2.1851077873347731E-2</v>
      </c>
    </row>
    <row r="1286" spans="8:9" ht="12" customHeight="1">
      <c r="H1286" s="133">
        <v>-0.61844691271676866</v>
      </c>
      <c r="I1286" s="133">
        <v>2.1857876084710078E-2</v>
      </c>
    </row>
    <row r="1287" spans="8:9" ht="12" customHeight="1">
      <c r="H1287" s="133">
        <v>-0.61837869371652532</v>
      </c>
      <c r="I1287" s="133">
        <v>2.1861103457504721E-2</v>
      </c>
    </row>
    <row r="1288" spans="8:9" ht="12" customHeight="1">
      <c r="H1288" s="133">
        <v>-0.61819578596661695</v>
      </c>
      <c r="I1288" s="133">
        <v>2.1869758939817435E-2</v>
      </c>
    </row>
    <row r="1289" spans="8:9" ht="12" customHeight="1">
      <c r="H1289" s="133">
        <v>-0.61719958658447349</v>
      </c>
      <c r="I1289" s="133">
        <v>2.1916959508539596E-2</v>
      </c>
    </row>
    <row r="1290" spans="8:9" ht="12" customHeight="1">
      <c r="H1290" s="133">
        <v>-0.61700740889616479</v>
      </c>
      <c r="I1290" s="133">
        <v>2.1926076463408582E-2</v>
      </c>
    </row>
    <row r="1291" spans="8:9" ht="12" customHeight="1">
      <c r="H1291" s="133">
        <v>-0.61654151831758841</v>
      </c>
      <c r="I1291" s="133">
        <v>2.1948193813384798E-2</v>
      </c>
    </row>
    <row r="1292" spans="8:9" ht="12" customHeight="1">
      <c r="H1292" s="133">
        <v>-0.61380607568562651</v>
      </c>
      <c r="I1292" s="133">
        <v>2.2078494842052761E-2</v>
      </c>
    </row>
    <row r="1293" spans="8:9" ht="12" customHeight="1">
      <c r="H1293" s="133">
        <v>-0.61351324870199941</v>
      </c>
      <c r="I1293" s="133">
        <v>2.2092488187503142E-2</v>
      </c>
    </row>
    <row r="1294" spans="8:9" ht="12" customHeight="1">
      <c r="H1294" s="133">
        <v>-0.61276542981643889</v>
      </c>
      <c r="I1294" s="133">
        <v>2.2128263613821787E-2</v>
      </c>
    </row>
    <row r="1295" spans="8:9" ht="12" customHeight="1">
      <c r="H1295" s="133">
        <v>-0.61274921928955728</v>
      </c>
      <c r="I1295" s="133">
        <v>2.2129039747130996E-2</v>
      </c>
    </row>
    <row r="1296" spans="8:9" ht="12" customHeight="1">
      <c r="H1296" s="133">
        <v>-0.61243464372612755</v>
      </c>
      <c r="I1296" s="133">
        <v>2.2144106375518842E-2</v>
      </c>
    </row>
    <row r="1297" spans="8:9" ht="12" customHeight="1">
      <c r="H1297" s="133">
        <v>-0.61163882871394326</v>
      </c>
      <c r="I1297" s="133">
        <v>2.2182266793771034E-2</v>
      </c>
    </row>
    <row r="1298" spans="8:9" ht="12" customHeight="1">
      <c r="H1298" s="133">
        <v>-0.61150541197071417</v>
      </c>
      <c r="I1298" s="133">
        <v>2.2188670596499031E-2</v>
      </c>
    </row>
    <row r="1299" spans="8:9" ht="12" customHeight="1">
      <c r="H1299" s="133">
        <v>-0.61112324228071391</v>
      </c>
      <c r="I1299" s="133">
        <v>2.2207024167808211E-2</v>
      </c>
    </row>
    <row r="1300" spans="8:9" ht="12" customHeight="1">
      <c r="H1300" s="133">
        <v>-0.60981199661660912</v>
      </c>
      <c r="I1300" s="133">
        <v>2.2270109151212483E-2</v>
      </c>
    </row>
    <row r="1301" spans="8:9" ht="12" customHeight="1">
      <c r="H1301" s="133">
        <v>-0.60866826051388034</v>
      </c>
      <c r="I1301" s="133">
        <v>2.2325278100727829E-2</v>
      </c>
    </row>
    <row r="1302" spans="8:9" ht="12" customHeight="1">
      <c r="H1302" s="133">
        <v>-0.60778660896841552</v>
      </c>
      <c r="I1302" s="133">
        <v>2.2367896338639597E-2</v>
      </c>
    </row>
    <row r="1303" spans="8:9" ht="12" customHeight="1">
      <c r="H1303" s="133">
        <v>-0.60661680038339794</v>
      </c>
      <c r="I1303" s="133">
        <v>2.2424566560024901E-2</v>
      </c>
    </row>
    <row r="1304" spans="8:9" ht="12" customHeight="1">
      <c r="H1304" s="133">
        <v>-0.60539218227519753</v>
      </c>
      <c r="I1304" s="133">
        <v>2.2484042267956177E-2</v>
      </c>
    </row>
    <row r="1305" spans="8:9" ht="12" customHeight="1">
      <c r="H1305" s="133">
        <v>-0.60460292396378745</v>
      </c>
      <c r="I1305" s="133">
        <v>2.2522455612846437E-2</v>
      </c>
    </row>
    <row r="1306" spans="8:9" ht="12" customHeight="1">
      <c r="H1306" s="133">
        <v>-0.60450362276632963</v>
      </c>
      <c r="I1306" s="133">
        <v>2.2527293158689791E-2</v>
      </c>
    </row>
    <row r="1307" spans="8:9" ht="12" customHeight="1">
      <c r="H1307" s="133">
        <v>-0.60438733259803412</v>
      </c>
      <c r="I1307" s="133">
        <v>2.2532959627770542E-2</v>
      </c>
    </row>
    <row r="1308" spans="8:9" ht="12" customHeight="1">
      <c r="H1308" s="133">
        <v>-0.6041798991502122</v>
      </c>
      <c r="I1308" s="133">
        <v>2.2543070691295596E-2</v>
      </c>
    </row>
    <row r="1309" spans="8:9" ht="12" customHeight="1">
      <c r="H1309" s="133">
        <v>-0.60371669499565639</v>
      </c>
      <c r="I1309" s="133">
        <v>2.2565664955196397E-2</v>
      </c>
    </row>
    <row r="1310" spans="8:9" ht="12" customHeight="1">
      <c r="H1310" s="133">
        <v>-0.60364091328328862</v>
      </c>
      <c r="I1310" s="133">
        <v>2.256936355570845E-2</v>
      </c>
    </row>
    <row r="1311" spans="8:9" ht="12" customHeight="1">
      <c r="H1311" s="133">
        <v>-0.60213937401192985</v>
      </c>
      <c r="I1311" s="133">
        <v>2.2642769880981E-2</v>
      </c>
    </row>
    <row r="1312" spans="8:9" ht="12" customHeight="1">
      <c r="H1312" s="133">
        <v>-0.60050739543349263</v>
      </c>
      <c r="I1312" s="133">
        <v>2.2722817536903687E-2</v>
      </c>
    </row>
    <row r="1313" spans="8:9" ht="12" customHeight="1">
      <c r="H1313" s="133">
        <v>-0.59771975584273995</v>
      </c>
      <c r="I1313" s="133">
        <v>2.2860189487997371E-2</v>
      </c>
    </row>
    <row r="1314" spans="8:9" ht="12" customHeight="1">
      <c r="H1314" s="133">
        <v>-0.59755946408319949</v>
      </c>
      <c r="I1314" s="133">
        <v>2.2868113109858881E-2</v>
      </c>
    </row>
    <row r="1315" spans="8:9" ht="12" customHeight="1">
      <c r="H1315" s="133">
        <v>-0.5960194290253702</v>
      </c>
      <c r="I1315" s="133">
        <v>2.2944377689233304E-2</v>
      </c>
    </row>
    <row r="1316" spans="8:9" ht="12" customHeight="1">
      <c r="H1316" s="133">
        <v>-0.59532356531187702</v>
      </c>
      <c r="I1316" s="133">
        <v>2.2978919197920566E-2</v>
      </c>
    </row>
    <row r="1317" spans="8:9" ht="12" customHeight="1">
      <c r="H1317" s="133">
        <v>-0.59378922265665446</v>
      </c>
      <c r="I1317" s="133">
        <v>2.3055260905688442E-2</v>
      </c>
    </row>
    <row r="1318" spans="8:9" ht="12" customHeight="1">
      <c r="H1318" s="133">
        <v>-0.59331836097628154</v>
      </c>
      <c r="I1318" s="133">
        <v>2.3078738398606826E-2</v>
      </c>
    </row>
    <row r="1319" spans="8:9" ht="12" customHeight="1">
      <c r="H1319" s="133">
        <v>-0.59331554022751321</v>
      </c>
      <c r="I1319" s="133">
        <v>2.3078879113428114E-2</v>
      </c>
    </row>
    <row r="1320" spans="8:9" ht="12" customHeight="1">
      <c r="H1320" s="133">
        <v>-0.5925363899645808</v>
      </c>
      <c r="I1320" s="133">
        <v>2.3117779602432373E-2</v>
      </c>
    </row>
    <row r="1321" spans="8:9" ht="12" customHeight="1">
      <c r="H1321" s="133">
        <v>-0.5916423545501891</v>
      </c>
      <c r="I1321" s="133">
        <v>2.3162494815372452E-2</v>
      </c>
    </row>
    <row r="1322" spans="8:9" ht="12" customHeight="1">
      <c r="H1322" s="133">
        <v>-0.5910131223595122</v>
      </c>
      <c r="I1322" s="133">
        <v>2.3194016502348681E-2</v>
      </c>
    </row>
    <row r="1323" spans="8:9" ht="12" customHeight="1">
      <c r="H1323" s="133">
        <v>-0.58996913273275997</v>
      </c>
      <c r="I1323" s="133">
        <v>2.3246408067295818E-2</v>
      </c>
    </row>
    <row r="1324" spans="8:9" ht="12" customHeight="1">
      <c r="H1324" s="133">
        <v>-0.58937100770244555</v>
      </c>
      <c r="I1324" s="133">
        <v>2.3276476404069133E-2</v>
      </c>
    </row>
    <row r="1325" spans="8:9" ht="12" customHeight="1">
      <c r="H1325" s="133">
        <v>-0.58867091185771592</v>
      </c>
      <c r="I1325" s="133">
        <v>2.3311719142188606E-2</v>
      </c>
    </row>
    <row r="1326" spans="8:9" ht="12" customHeight="1">
      <c r="H1326" s="133">
        <v>-0.58757117615303278</v>
      </c>
      <c r="I1326" s="133">
        <v>2.3367184899005931E-2</v>
      </c>
    </row>
    <row r="1327" spans="8:9" ht="12" customHeight="1">
      <c r="H1327" s="133">
        <v>-0.58708528972944685</v>
      </c>
      <c r="I1327" s="133">
        <v>2.3391731849310808E-2</v>
      </c>
    </row>
    <row r="1328" spans="8:9" ht="12" customHeight="1">
      <c r="H1328" s="133">
        <v>-0.58650182298970865</v>
      </c>
      <c r="I1328" s="133">
        <v>2.342124181024165E-2</v>
      </c>
    </row>
    <row r="1329" spans="8:9" ht="12" customHeight="1">
      <c r="H1329" s="133">
        <v>-0.58618851334206246</v>
      </c>
      <c r="I1329" s="133">
        <v>2.3437103043968358E-2</v>
      </c>
    </row>
    <row r="1330" spans="8:9" ht="12" customHeight="1">
      <c r="H1330" s="133">
        <v>-0.58327867065149719</v>
      </c>
      <c r="I1330" s="133">
        <v>2.3584914893194423E-2</v>
      </c>
    </row>
    <row r="1331" spans="8:9" ht="12" customHeight="1">
      <c r="H1331" s="133">
        <v>-0.58312226284489599</v>
      </c>
      <c r="I1331" s="133">
        <v>2.3592885682721915E-2</v>
      </c>
    </row>
    <row r="1332" spans="8:9" ht="12" customHeight="1">
      <c r="H1332" s="133">
        <v>-0.58242608473867075</v>
      </c>
      <c r="I1332" s="133">
        <v>2.3628395922984973E-2</v>
      </c>
    </row>
    <row r="1333" spans="8:9" ht="12" customHeight="1">
      <c r="H1333" s="133">
        <v>-0.58230927657192588</v>
      </c>
      <c r="I1333" s="133">
        <v>2.3634359112000701E-2</v>
      </c>
    </row>
    <row r="1334" spans="8:9" ht="12" customHeight="1">
      <c r="H1334" s="133">
        <v>-0.5805401315116806</v>
      </c>
      <c r="I1334" s="133">
        <v>2.3724855720594622E-2</v>
      </c>
    </row>
    <row r="1335" spans="8:9" ht="12" customHeight="1">
      <c r="H1335" s="133">
        <v>-0.58020547788914245</v>
      </c>
      <c r="I1335" s="133">
        <v>2.3742012154669187E-2</v>
      </c>
    </row>
    <row r="1336" spans="8:9" ht="12" customHeight="1">
      <c r="H1336" s="133">
        <v>-0.57953311633764726</v>
      </c>
      <c r="I1336" s="133">
        <v>2.3776518204373334E-2</v>
      </c>
    </row>
    <row r="1337" spans="8:9" ht="12" customHeight="1">
      <c r="H1337" s="133">
        <v>-0.57862658573562342</v>
      </c>
      <c r="I1337" s="133">
        <v>2.3823119435070633E-2</v>
      </c>
    </row>
    <row r="1338" spans="8:9" ht="12" customHeight="1">
      <c r="H1338" s="133">
        <v>-0.57767996527215049</v>
      </c>
      <c r="I1338" s="133">
        <v>2.3871876634456932E-2</v>
      </c>
    </row>
    <row r="1339" spans="8:9" ht="12" customHeight="1">
      <c r="H1339" s="133">
        <v>-0.57727413041508446</v>
      </c>
      <c r="I1339" s="133">
        <v>2.3892809608671867E-2</v>
      </c>
    </row>
    <row r="1340" spans="8:9" ht="12" customHeight="1">
      <c r="H1340" s="133">
        <v>-0.57719731898315418</v>
      </c>
      <c r="I1340" s="133">
        <v>2.3896773559466754E-2</v>
      </c>
    </row>
    <row r="1341" spans="8:9" ht="12" customHeight="1">
      <c r="H1341" s="133">
        <v>-0.5769568340001493</v>
      </c>
      <c r="I1341" s="133">
        <v>2.3909188239220783E-2</v>
      </c>
    </row>
    <row r="1342" spans="8:9" ht="12" customHeight="1">
      <c r="H1342" s="133">
        <v>-0.57630940325019098</v>
      </c>
      <c r="I1342" s="133">
        <v>2.3942642166796632E-2</v>
      </c>
    </row>
    <row r="1343" spans="8:9" ht="12" customHeight="1">
      <c r="H1343" s="133">
        <v>-0.57518545406809862</v>
      </c>
      <c r="I1343" s="133">
        <v>2.4000827140396672E-2</v>
      </c>
    </row>
    <row r="1344" spans="8:9" ht="12" customHeight="1">
      <c r="H1344" s="133">
        <v>-0.57440513866166654</v>
      </c>
      <c r="I1344" s="133">
        <v>2.4041303860185242E-2</v>
      </c>
    </row>
    <row r="1345" spans="8:9" ht="12" customHeight="1">
      <c r="H1345" s="133">
        <v>-0.57402734417161227</v>
      </c>
      <c r="I1345" s="133">
        <v>2.4060924826365692E-2</v>
      </c>
    </row>
    <row r="1346" spans="8:9" ht="12" customHeight="1">
      <c r="H1346" s="133">
        <v>-0.5724679555575104</v>
      </c>
      <c r="I1346" s="133">
        <v>2.4142077946737738E-2</v>
      </c>
    </row>
    <row r="1347" spans="8:9" ht="12" customHeight="1">
      <c r="H1347" s="133">
        <v>-0.57201976640193519</v>
      </c>
      <c r="I1347" s="133">
        <v>2.4165451786026169E-2</v>
      </c>
    </row>
    <row r="1348" spans="8:9" ht="12" customHeight="1">
      <c r="H1348" s="133">
        <v>-0.57165228152594738</v>
      </c>
      <c r="I1348" s="133">
        <v>2.4184633222734161E-2</v>
      </c>
    </row>
    <row r="1349" spans="8:9" ht="12" customHeight="1">
      <c r="H1349" s="133">
        <v>-0.57033429914421774</v>
      </c>
      <c r="I1349" s="133">
        <v>2.4253549530040813E-2</v>
      </c>
    </row>
    <row r="1350" spans="8:9" ht="12" customHeight="1">
      <c r="H1350" s="133">
        <v>-0.57029439893734668</v>
      </c>
      <c r="I1350" s="133">
        <v>2.4255638865584885E-2</v>
      </c>
    </row>
    <row r="1351" spans="8:9" ht="12" customHeight="1">
      <c r="H1351" s="133">
        <v>-0.5695955406677744</v>
      </c>
      <c r="I1351" s="133">
        <v>2.4292262370917344E-2</v>
      </c>
    </row>
    <row r="1352" spans="8:9" ht="12" customHeight="1">
      <c r="H1352" s="133">
        <v>-0.56925653478214877</v>
      </c>
      <c r="I1352" s="133">
        <v>2.4310047312394653E-2</v>
      </c>
    </row>
    <row r="1353" spans="8:9" ht="12" customHeight="1">
      <c r="H1353" s="133">
        <v>-0.56918271911397056</v>
      </c>
      <c r="I1353" s="133">
        <v>2.4313921516091047E-2</v>
      </c>
    </row>
    <row r="1354" spans="8:9" ht="12" customHeight="1">
      <c r="H1354" s="133">
        <v>-0.56846683122316299</v>
      </c>
      <c r="I1354" s="133">
        <v>2.4351526024405705E-2</v>
      </c>
    </row>
    <row r="1355" spans="8:9" ht="12" customHeight="1">
      <c r="H1355" s="133">
        <v>-0.56813993129209284</v>
      </c>
      <c r="I1355" s="133">
        <v>2.4368716437683416E-2</v>
      </c>
    </row>
    <row r="1356" spans="8:9" ht="12" customHeight="1">
      <c r="H1356" s="133">
        <v>-0.56795242945211999</v>
      </c>
      <c r="I1356" s="133">
        <v>2.4378581779148256E-2</v>
      </c>
    </row>
    <row r="1357" spans="8:9" ht="12" customHeight="1">
      <c r="H1357" s="133">
        <v>-0.56736857839004007</v>
      </c>
      <c r="I1357" s="133">
        <v>2.4409325838950825E-2</v>
      </c>
    </row>
    <row r="1358" spans="8:9" ht="12" customHeight="1">
      <c r="H1358" s="133">
        <v>-0.56685291776111824</v>
      </c>
      <c r="I1358" s="133">
        <v>2.4436510604528398E-2</v>
      </c>
    </row>
    <row r="1359" spans="8:9" ht="12" customHeight="1">
      <c r="H1359" s="133">
        <v>-0.56640023256799144</v>
      </c>
      <c r="I1359" s="133">
        <v>2.4460399739086067E-2</v>
      </c>
    </row>
    <row r="1360" spans="8:9" ht="12" customHeight="1">
      <c r="H1360" s="133">
        <v>-0.5655870892209709</v>
      </c>
      <c r="I1360" s="133">
        <v>2.4503368189902751E-2</v>
      </c>
    </row>
    <row r="1361" spans="8:9" ht="12" customHeight="1">
      <c r="H1361" s="133">
        <v>-0.56556668168330726</v>
      </c>
      <c r="I1361" s="133">
        <v>2.4504447519306957E-2</v>
      </c>
    </row>
    <row r="1362" spans="8:9" ht="12" customHeight="1">
      <c r="H1362" s="133">
        <v>-0.56544784880035504</v>
      </c>
      <c r="I1362" s="133">
        <v>2.4510733364153121E-2</v>
      </c>
    </row>
    <row r="1363" spans="8:9" ht="12" customHeight="1">
      <c r="H1363" s="133">
        <v>-0.56503633671975073</v>
      </c>
      <c r="I1363" s="133">
        <v>2.4532513066530062E-2</v>
      </c>
    </row>
    <row r="1364" spans="8:9" ht="12" customHeight="1">
      <c r="H1364" s="133">
        <v>-0.56500133545695463</v>
      </c>
      <c r="I1364" s="133">
        <v>2.4534366414898104E-2</v>
      </c>
    </row>
    <row r="1365" spans="8:9" ht="12" customHeight="1">
      <c r="H1365" s="133">
        <v>-0.56479681583852936</v>
      </c>
      <c r="I1365" s="133">
        <v>2.454519864199026E-2</v>
      </c>
    </row>
    <row r="1366" spans="8:9" ht="12" customHeight="1">
      <c r="H1366" s="133">
        <v>-0.56354751272742087</v>
      </c>
      <c r="I1366" s="133">
        <v>2.4611468328017864E-2</v>
      </c>
    </row>
    <row r="1367" spans="8:9" ht="12" customHeight="1">
      <c r="H1367" s="133">
        <v>-0.56132483536468836</v>
      </c>
      <c r="I1367" s="133">
        <v>2.472980238819833E-2</v>
      </c>
    </row>
    <row r="1368" spans="8:9" ht="12" customHeight="1">
      <c r="H1368" s="133">
        <v>-0.56109660030636965</v>
      </c>
      <c r="I1368" s="133">
        <v>2.4741984840218008E-2</v>
      </c>
    </row>
    <row r="1369" spans="8:9" ht="12" customHeight="1">
      <c r="H1369" s="133">
        <v>-0.56033484519778132</v>
      </c>
      <c r="I1369" s="133">
        <v>2.4782687226903237E-2</v>
      </c>
    </row>
    <row r="1370" spans="8:9" ht="12" customHeight="1">
      <c r="H1370" s="133">
        <v>-0.55922602375227815</v>
      </c>
      <c r="I1370" s="133">
        <v>2.4842050843075485E-2</v>
      </c>
    </row>
    <row r="1371" spans="8:9" ht="12" customHeight="1">
      <c r="H1371" s="133">
        <v>-0.55893197941903972</v>
      </c>
      <c r="I1371" s="133">
        <v>2.4857816497614312E-2</v>
      </c>
    </row>
    <row r="1372" spans="8:9" ht="12" customHeight="1">
      <c r="H1372" s="133">
        <v>-0.55803167968904288</v>
      </c>
      <c r="I1372" s="133">
        <v>2.4906148152156159E-2</v>
      </c>
    </row>
    <row r="1373" spans="8:9" ht="12" customHeight="1">
      <c r="H1373" s="133">
        <v>-0.55784796640472589</v>
      </c>
      <c r="I1373" s="133">
        <v>2.491602185235213E-2</v>
      </c>
    </row>
    <row r="1374" spans="8:9" ht="12" customHeight="1">
      <c r="H1374" s="133">
        <v>-0.55583586593981305</v>
      </c>
      <c r="I1374" s="133">
        <v>2.5024412475987683E-2</v>
      </c>
    </row>
    <row r="1375" spans="8:9" ht="12" customHeight="1">
      <c r="H1375" s="133">
        <v>-0.55508064692824621</v>
      </c>
      <c r="I1375" s="133">
        <v>2.5065214132051067E-2</v>
      </c>
    </row>
    <row r="1376" spans="8:9" ht="12" customHeight="1">
      <c r="H1376" s="133">
        <v>-0.55507057698672657</v>
      </c>
      <c r="I1376" s="133">
        <v>2.5065758610941988E-2</v>
      </c>
    </row>
    <row r="1377" spans="8:9" ht="12" customHeight="1">
      <c r="H1377" s="133">
        <v>-0.5548537877369738</v>
      </c>
      <c r="I1377" s="133">
        <v>2.5077483139168168E-2</v>
      </c>
    </row>
    <row r="1378" spans="8:9" ht="12" customHeight="1">
      <c r="H1378" s="133">
        <v>-0.55471597365667658</v>
      </c>
      <c r="I1378" s="133">
        <v>2.5084939261950427E-2</v>
      </c>
    </row>
    <row r="1379" spans="8:9" ht="12" customHeight="1">
      <c r="H1379" s="133">
        <v>-0.55325003444793375</v>
      </c>
      <c r="I1379" s="133">
        <v>2.5164384420254756E-2</v>
      </c>
    </row>
    <row r="1380" spans="8:9" ht="12" customHeight="1">
      <c r="H1380" s="133">
        <v>-0.55129455414686523</v>
      </c>
      <c r="I1380" s="133">
        <v>2.5270741436317495E-2</v>
      </c>
    </row>
    <row r="1381" spans="8:9" ht="12" customHeight="1">
      <c r="H1381" s="133">
        <v>-0.55092738314070744</v>
      </c>
      <c r="I1381" s="133">
        <v>2.5290760344467932E-2</v>
      </c>
    </row>
    <row r="1382" spans="8:9" ht="12" customHeight="1">
      <c r="H1382" s="133">
        <v>-0.55068179723993682</v>
      </c>
      <c r="I1382" s="133">
        <v>2.5304158806387679E-2</v>
      </c>
    </row>
    <row r="1383" spans="8:9" ht="12" customHeight="1">
      <c r="H1383" s="133">
        <v>-0.55065475423391719</v>
      </c>
      <c r="I1383" s="133">
        <v>2.5305634617701561E-2</v>
      </c>
    </row>
    <row r="1384" spans="8:9" ht="12" customHeight="1">
      <c r="H1384" s="133">
        <v>-0.55064167127226371</v>
      </c>
      <c r="I1384" s="133">
        <v>2.5306348621039657E-2</v>
      </c>
    </row>
    <row r="1385" spans="8:9" ht="12" customHeight="1">
      <c r="H1385" s="133">
        <v>-0.54968536044404881</v>
      </c>
      <c r="I1385" s="133">
        <v>2.5358592508520544E-2</v>
      </c>
    </row>
    <row r="1386" spans="8:9" ht="12" customHeight="1">
      <c r="H1386" s="133">
        <v>-0.54954162614019297</v>
      </c>
      <c r="I1386" s="133">
        <v>2.5366453883426888E-2</v>
      </c>
    </row>
    <row r="1387" spans="8:9" ht="12" customHeight="1">
      <c r="H1387" s="133">
        <v>-0.54952249893982275</v>
      </c>
      <c r="I1387" s="133">
        <v>2.5367500201586703E-2</v>
      </c>
    </row>
    <row r="1388" spans="8:9" ht="12" customHeight="1">
      <c r="H1388" s="133">
        <v>-0.54925995853702247</v>
      </c>
      <c r="I1388" s="133">
        <v>2.5381866238267135E-2</v>
      </c>
    </row>
    <row r="1389" spans="8:9" ht="12" customHeight="1">
      <c r="H1389" s="133">
        <v>-0.5469655993044843</v>
      </c>
      <c r="I1389" s="133">
        <v>2.5507749703303745E-2</v>
      </c>
    </row>
    <row r="1390" spans="8:9" ht="12" customHeight="1">
      <c r="H1390" s="133">
        <v>-0.54622865015564137</v>
      </c>
      <c r="I1390" s="133">
        <v>2.5548312381338863E-2</v>
      </c>
    </row>
    <row r="1391" spans="8:9" ht="12" customHeight="1">
      <c r="H1391" s="133">
        <v>-0.54578952484049037</v>
      </c>
      <c r="I1391" s="133">
        <v>2.5572512290467593E-2</v>
      </c>
    </row>
    <row r="1392" spans="8:9" ht="12" customHeight="1">
      <c r="H1392" s="133">
        <v>-0.54440136429664898</v>
      </c>
      <c r="I1392" s="133">
        <v>2.5649159809039312E-2</v>
      </c>
    </row>
    <row r="1393" spans="8:9" ht="12" customHeight="1">
      <c r="H1393" s="133">
        <v>-0.54417421820166656</v>
      </c>
      <c r="I1393" s="133">
        <v>2.5661722996474092E-2</v>
      </c>
    </row>
    <row r="1394" spans="8:9" ht="12" customHeight="1">
      <c r="H1394" s="133">
        <v>-0.54352109062883125</v>
      </c>
      <c r="I1394" s="133">
        <v>2.5697880116877722E-2</v>
      </c>
    </row>
    <row r="1395" spans="8:9" ht="12" customHeight="1">
      <c r="H1395" s="133">
        <v>-0.54313265773041808</v>
      </c>
      <c r="I1395" s="133">
        <v>2.5719407265692093E-2</v>
      </c>
    </row>
    <row r="1396" spans="8:9" ht="12" customHeight="1">
      <c r="H1396" s="133">
        <v>-0.5430857882590896</v>
      </c>
      <c r="I1396" s="133">
        <v>2.5722005982409517E-2</v>
      </c>
    </row>
    <row r="1397" spans="8:9" ht="12" customHeight="1">
      <c r="H1397" s="133">
        <v>-0.54262667722692071</v>
      </c>
      <c r="I1397" s="133">
        <v>2.5747475295020722E-2</v>
      </c>
    </row>
    <row r="1398" spans="8:9" ht="12" customHeight="1">
      <c r="H1398" s="133">
        <v>-0.54261410035599067</v>
      </c>
      <c r="I1398" s="133">
        <v>2.574817334584301E-2</v>
      </c>
    </row>
    <row r="1399" spans="8:9" ht="12" customHeight="1">
      <c r="H1399" s="133">
        <v>-0.5424546056002798</v>
      </c>
      <c r="I1399" s="133">
        <v>2.5757027340680486E-2</v>
      </c>
    </row>
    <row r="1400" spans="8:9" ht="12" customHeight="1">
      <c r="H1400" s="133">
        <v>-0.54243712907758501</v>
      </c>
      <c r="I1400" s="133">
        <v>2.5757997690943318E-2</v>
      </c>
    </row>
    <row r="1401" spans="8:9" ht="12" customHeight="1">
      <c r="H1401" s="133">
        <v>-0.54239310624785975</v>
      </c>
      <c r="I1401" s="133">
        <v>2.5760442131515154E-2</v>
      </c>
    </row>
    <row r="1402" spans="8:9" ht="12" customHeight="1">
      <c r="H1402" s="133">
        <v>-0.54211855703297396</v>
      </c>
      <c r="I1402" s="133">
        <v>2.5775692028648781E-2</v>
      </c>
    </row>
    <row r="1403" spans="8:9" ht="12" customHeight="1">
      <c r="H1403" s="133">
        <v>-0.54192474441506711</v>
      </c>
      <c r="I1403" s="133">
        <v>2.5786462685307533E-2</v>
      </c>
    </row>
    <row r="1404" spans="8:9" ht="12" customHeight="1">
      <c r="H1404" s="133">
        <v>-0.54095466618135968</v>
      </c>
      <c r="I1404" s="133">
        <v>2.5840438264702822E-2</v>
      </c>
    </row>
    <row r="1405" spans="8:9" ht="12" customHeight="1">
      <c r="H1405" s="133">
        <v>-0.54072526048573888</v>
      </c>
      <c r="I1405" s="133">
        <v>2.5853218569567491E-2</v>
      </c>
    </row>
    <row r="1406" spans="8:9" ht="12" customHeight="1">
      <c r="H1406" s="133">
        <v>-0.54072491564254455</v>
      </c>
      <c r="I1406" s="133">
        <v>2.5853237785583506E-2</v>
      </c>
    </row>
    <row r="1407" spans="8:9" ht="12" customHeight="1">
      <c r="H1407" s="133">
        <v>-0.54031931520956633</v>
      </c>
      <c r="I1407" s="133">
        <v>2.5875849061416691E-2</v>
      </c>
    </row>
    <row r="1408" spans="8:9" ht="12" customHeight="1">
      <c r="H1408" s="133">
        <v>-0.53934092392135746</v>
      </c>
      <c r="I1408" s="133">
        <v>2.5930471341349879E-2</v>
      </c>
    </row>
    <row r="1409" spans="8:9" ht="12" customHeight="1">
      <c r="H1409" s="133">
        <v>-0.53880788386334288</v>
      </c>
      <c r="I1409" s="133">
        <v>2.596027747014458E-2</v>
      </c>
    </row>
    <row r="1410" spans="8:9" ht="12" customHeight="1">
      <c r="H1410" s="133">
        <v>-0.53792710656923692</v>
      </c>
      <c r="I1410" s="133">
        <v>2.6009601196556955E-2</v>
      </c>
    </row>
    <row r="1411" spans="8:9" ht="12" customHeight="1">
      <c r="H1411" s="133">
        <v>-0.53791708997642262</v>
      </c>
      <c r="I1411" s="133">
        <v>2.60101626522222E-2</v>
      </c>
    </row>
    <row r="1412" spans="8:9" ht="12" customHeight="1">
      <c r="H1412" s="133">
        <v>-0.53630862995230666</v>
      </c>
      <c r="I1412" s="133">
        <v>2.6100474149124486E-2</v>
      </c>
    </row>
    <row r="1413" spans="8:9" ht="12" customHeight="1">
      <c r="H1413" s="133">
        <v>-0.53581109986957498</v>
      </c>
      <c r="I1413" s="133">
        <v>2.612847111667824E-2</v>
      </c>
    </row>
    <row r="1414" spans="8:9" ht="12" customHeight="1">
      <c r="H1414" s="133">
        <v>-0.5357882983326272</v>
      </c>
      <c r="I1414" s="133">
        <v>2.6129754902838857E-2</v>
      </c>
    </row>
    <row r="1415" spans="8:9" ht="12" customHeight="1">
      <c r="H1415" s="133">
        <v>-0.53512345191997068</v>
      </c>
      <c r="I1415" s="133">
        <v>2.6167214495101843E-2</v>
      </c>
    </row>
    <row r="1416" spans="8:9" ht="12" customHeight="1">
      <c r="H1416" s="133">
        <v>-0.53456447221126069</v>
      </c>
      <c r="I1416" s="133">
        <v>2.6198749650653403E-2</v>
      </c>
    </row>
    <row r="1417" spans="8:9" ht="12" customHeight="1">
      <c r="H1417" s="133">
        <v>-0.53419821215280172</v>
      </c>
      <c r="I1417" s="133">
        <v>2.621943246965678E-2</v>
      </c>
    </row>
    <row r="1418" spans="8:9" ht="12" customHeight="1">
      <c r="H1418" s="133">
        <v>-0.53365619127841468</v>
      </c>
      <c r="I1418" s="133">
        <v>2.6250069714099902E-2</v>
      </c>
    </row>
    <row r="1419" spans="8:9" ht="12" customHeight="1">
      <c r="H1419" s="133">
        <v>-0.53196601779397001</v>
      </c>
      <c r="I1419" s="133">
        <v>2.6345829089455652E-2</v>
      </c>
    </row>
    <row r="1420" spans="8:9" ht="12" customHeight="1">
      <c r="H1420" s="133">
        <v>-0.53164520695255535</v>
      </c>
      <c r="I1420" s="133">
        <v>2.6364043460267734E-2</v>
      </c>
    </row>
    <row r="1421" spans="8:9" ht="12" customHeight="1">
      <c r="H1421" s="133">
        <v>-0.53144327710648642</v>
      </c>
      <c r="I1421" s="133">
        <v>2.6375514520513434E-2</v>
      </c>
    </row>
    <row r="1422" spans="8:9" ht="12" customHeight="1">
      <c r="H1422" s="133">
        <v>-0.5311958823648314</v>
      </c>
      <c r="I1422" s="133">
        <v>2.6389574931214518E-2</v>
      </c>
    </row>
    <row r="1423" spans="8:9" ht="12" customHeight="1">
      <c r="H1423" s="133">
        <v>-0.53075377653270372</v>
      </c>
      <c r="I1423" s="133">
        <v>2.6414719696546747E-2</v>
      </c>
    </row>
    <row r="1424" spans="8:9" ht="12" customHeight="1">
      <c r="H1424" s="133">
        <v>-0.53044195341540878</v>
      </c>
      <c r="I1424" s="133">
        <v>2.6432468649633778E-2</v>
      </c>
    </row>
    <row r="1425" spans="8:9" ht="12" customHeight="1">
      <c r="H1425" s="133">
        <v>-0.53036034904366303</v>
      </c>
      <c r="I1425" s="133">
        <v>2.6437115480717956E-2</v>
      </c>
    </row>
    <row r="1426" spans="8:9" ht="12" customHeight="1">
      <c r="H1426" s="133">
        <v>-0.5298759163544301</v>
      </c>
      <c r="I1426" s="133">
        <v>2.6464717095724278E-2</v>
      </c>
    </row>
    <row r="1427" spans="8:9" ht="12" customHeight="1">
      <c r="H1427" s="133">
        <v>-0.52929772227812555</v>
      </c>
      <c r="I1427" s="133">
        <v>2.6497697670693404E-2</v>
      </c>
    </row>
    <row r="1428" spans="8:9" ht="12" customHeight="1">
      <c r="H1428" s="133">
        <v>-0.52921969317795392</v>
      </c>
      <c r="I1428" s="133">
        <v>2.6502151563322328E-2</v>
      </c>
    </row>
    <row r="1429" spans="8:9" ht="12" customHeight="1">
      <c r="H1429" s="133">
        <v>-0.52888552836454095</v>
      </c>
      <c r="I1429" s="133">
        <v>2.6521233893864141E-2</v>
      </c>
    </row>
    <row r="1430" spans="8:9" ht="12" customHeight="1">
      <c r="H1430" s="133">
        <v>-0.52853980937150269</v>
      </c>
      <c r="I1430" s="133">
        <v>2.6540990087138894E-2</v>
      </c>
    </row>
    <row r="1431" spans="8:9" ht="12" customHeight="1">
      <c r="H1431" s="133">
        <v>-0.52833159778534544</v>
      </c>
      <c r="I1431" s="133">
        <v>2.6552895293527695E-2</v>
      </c>
    </row>
    <row r="1432" spans="8:9" ht="12" customHeight="1">
      <c r="H1432" s="133">
        <v>-0.52816307888330083</v>
      </c>
      <c r="I1432" s="133">
        <v>2.6562534738922585E-2</v>
      </c>
    </row>
    <row r="1433" spans="8:9" ht="12" customHeight="1">
      <c r="H1433" s="133">
        <v>-0.52672094842979467</v>
      </c>
      <c r="I1433" s="133">
        <v>2.6645165326460322E-2</v>
      </c>
    </row>
    <row r="1434" spans="8:9" ht="12" customHeight="1">
      <c r="H1434" s="133">
        <v>-0.52667111097506647</v>
      </c>
      <c r="I1434" s="133">
        <v>2.6648025356866337E-2</v>
      </c>
    </row>
    <row r="1435" spans="8:9" ht="12" customHeight="1">
      <c r="H1435" s="133">
        <v>-0.52613808626800307</v>
      </c>
      <c r="I1435" s="133">
        <v>2.6678632815418213E-2</v>
      </c>
    </row>
    <row r="1436" spans="8:9" ht="12" customHeight="1">
      <c r="H1436" s="133">
        <v>-0.52565323607192826</v>
      </c>
      <c r="I1436" s="133">
        <v>2.6706503680948478E-2</v>
      </c>
    </row>
    <row r="1437" spans="8:9" ht="12" customHeight="1">
      <c r="H1437" s="133">
        <v>-0.52549518047638644</v>
      </c>
      <c r="I1437" s="133">
        <v>2.6715595381738046E-2</v>
      </c>
    </row>
    <row r="1438" spans="8:9" ht="12" customHeight="1">
      <c r="H1438" s="133">
        <v>-0.52528072603438181</v>
      </c>
      <c r="I1438" s="133">
        <v>2.6727936079601791E-2</v>
      </c>
    </row>
    <row r="1439" spans="8:9" ht="12" customHeight="1">
      <c r="H1439" s="133">
        <v>-0.52349406610203486</v>
      </c>
      <c r="I1439" s="133">
        <v>2.6830964447992E-2</v>
      </c>
    </row>
    <row r="1440" spans="8:9" ht="12" customHeight="1">
      <c r="H1440" s="133">
        <v>-0.52341479836908722</v>
      </c>
      <c r="I1440" s="133">
        <v>2.6835544385608642E-2</v>
      </c>
    </row>
    <row r="1441" spans="8:9" ht="12" customHeight="1">
      <c r="H1441" s="133">
        <v>-0.5230215915644979</v>
      </c>
      <c r="I1441" s="133">
        <v>2.6858274361763336E-2</v>
      </c>
    </row>
    <row r="1442" spans="8:9" ht="12" customHeight="1">
      <c r="H1442" s="133">
        <v>-0.52284743861391381</v>
      </c>
      <c r="I1442" s="133">
        <v>2.6868347545026865E-2</v>
      </c>
    </row>
    <row r="1443" spans="8:9" ht="12" customHeight="1">
      <c r="H1443" s="133">
        <v>-0.5223424992532274</v>
      </c>
      <c r="I1443" s="133">
        <v>2.6897574520910492E-2</v>
      </c>
    </row>
    <row r="1444" spans="8:9" ht="12" customHeight="1">
      <c r="H1444" s="133">
        <v>-0.52167535469938187</v>
      </c>
      <c r="I1444" s="133">
        <v>2.6936237690707791E-2</v>
      </c>
    </row>
    <row r="1445" spans="8:9" ht="12" customHeight="1">
      <c r="H1445" s="133">
        <v>-0.52115943581553015</v>
      </c>
      <c r="I1445" s="133">
        <v>2.6966173893865485E-2</v>
      </c>
    </row>
    <row r="1446" spans="8:9" ht="12" customHeight="1">
      <c r="H1446" s="133">
        <v>-0.52064432762149682</v>
      </c>
      <c r="I1446" s="133">
        <v>2.6996095327761292E-2</v>
      </c>
    </row>
    <row r="1447" spans="8:9" ht="12" customHeight="1">
      <c r="H1447" s="133">
        <v>-0.52016040237150518</v>
      </c>
      <c r="I1447" s="133">
        <v>2.7024234823066155E-2</v>
      </c>
    </row>
    <row r="1448" spans="8:9" ht="12" customHeight="1">
      <c r="H1448" s="133">
        <v>-0.51985201038410356</v>
      </c>
      <c r="I1448" s="133">
        <v>2.7042182208905325E-2</v>
      </c>
    </row>
    <row r="1449" spans="8:9" ht="12" customHeight="1">
      <c r="H1449" s="133">
        <v>-0.51979315758308553</v>
      </c>
      <c r="I1449" s="133">
        <v>2.7045608562258051E-2</v>
      </c>
    </row>
    <row r="1450" spans="8:9" ht="12" customHeight="1">
      <c r="H1450" s="133">
        <v>-0.51952359343362864</v>
      </c>
      <c r="I1450" s="133">
        <v>2.706130772185825E-2</v>
      </c>
    </row>
    <row r="1451" spans="8:9" ht="12" customHeight="1">
      <c r="H1451" s="133">
        <v>-0.51909099495117228</v>
      </c>
      <c r="I1451" s="133">
        <v>2.7086520364722359E-2</v>
      </c>
    </row>
    <row r="1452" spans="8:9" ht="12" customHeight="1">
      <c r="H1452" s="133">
        <v>-0.51862935885621331</v>
      </c>
      <c r="I1452" s="133">
        <v>2.7113450560404217E-2</v>
      </c>
    </row>
    <row r="1453" spans="8:9" ht="12" customHeight="1">
      <c r="H1453" s="133">
        <v>-0.51738268035507318</v>
      </c>
      <c r="I1453" s="133">
        <v>2.7186307440496084E-2</v>
      </c>
    </row>
    <row r="1454" spans="8:9" ht="12" customHeight="1">
      <c r="H1454" s="133">
        <v>-0.51685400408719551</v>
      </c>
      <c r="I1454" s="133">
        <v>2.7217261131649878E-2</v>
      </c>
    </row>
    <row r="1455" spans="8:9" ht="12" customHeight="1">
      <c r="H1455" s="133">
        <v>-0.51444226782394697</v>
      </c>
      <c r="I1455" s="133">
        <v>2.735890201429577E-2</v>
      </c>
    </row>
    <row r="1456" spans="8:9" ht="12" customHeight="1">
      <c r="H1456" s="133">
        <v>-0.51317364935623855</v>
      </c>
      <c r="I1456" s="133">
        <v>2.7433695038221063E-2</v>
      </c>
    </row>
    <row r="1457" spans="8:9" ht="12" customHeight="1">
      <c r="H1457" s="133">
        <v>-0.51253528622024469</v>
      </c>
      <c r="I1457" s="133">
        <v>2.747140566464876E-2</v>
      </c>
    </row>
    <row r="1458" spans="8:9" ht="12" customHeight="1">
      <c r="H1458" s="133">
        <v>-0.51250562976154168</v>
      </c>
      <c r="I1458" s="133">
        <v>2.7473158812465641E-2</v>
      </c>
    </row>
    <row r="1459" spans="8:9" ht="12" customHeight="1">
      <c r="H1459" s="133">
        <v>-0.51249748695389141</v>
      </c>
      <c r="I1459" s="133">
        <v>2.7473640195282509E-2</v>
      </c>
    </row>
    <row r="1460" spans="8:9" ht="12" customHeight="1">
      <c r="H1460" s="133">
        <v>-0.51120624634838296</v>
      </c>
      <c r="I1460" s="133">
        <v>2.755007896360678E-2</v>
      </c>
    </row>
    <row r="1461" spans="8:9" ht="12" customHeight="1">
      <c r="H1461" s="133">
        <v>-0.50996583108454108</v>
      </c>
      <c r="I1461" s="133">
        <v>2.7623703561594552E-2</v>
      </c>
    </row>
    <row r="1462" spans="8:9" ht="12" customHeight="1">
      <c r="H1462" s="133">
        <v>-0.50938043356095208</v>
      </c>
      <c r="I1462" s="133">
        <v>2.7658516077285637E-2</v>
      </c>
    </row>
    <row r="1463" spans="8:9" ht="12" customHeight="1">
      <c r="H1463" s="133">
        <v>-0.50932296052936976</v>
      </c>
      <c r="I1463" s="133">
        <v>2.7661936189851674E-2</v>
      </c>
    </row>
    <row r="1464" spans="8:9" ht="12" customHeight="1">
      <c r="H1464" s="133">
        <v>-0.50912961738960727</v>
      </c>
      <c r="I1464" s="133">
        <v>2.7673444694658968E-2</v>
      </c>
    </row>
    <row r="1465" spans="8:9" ht="12" customHeight="1">
      <c r="H1465" s="133">
        <v>-0.50871567231649495</v>
      </c>
      <c r="I1465" s="133">
        <v>2.769809989244636E-2</v>
      </c>
    </row>
    <row r="1466" spans="8:9" ht="12" customHeight="1">
      <c r="H1466" s="133">
        <v>-0.50728375090832345</v>
      </c>
      <c r="I1466" s="133">
        <v>2.7783552004831329E-2</v>
      </c>
    </row>
    <row r="1467" spans="8:9" ht="12" customHeight="1">
      <c r="H1467" s="133">
        <v>-0.50596592956157238</v>
      </c>
      <c r="I1467" s="133">
        <v>2.786242128342567E-2</v>
      </c>
    </row>
    <row r="1468" spans="8:9" ht="12" customHeight="1">
      <c r="H1468" s="133">
        <v>-0.50533725700029752</v>
      </c>
      <c r="I1468" s="133">
        <v>2.7900122802812195E-2</v>
      </c>
    </row>
    <row r="1469" spans="8:9" ht="12" customHeight="1">
      <c r="H1469" s="133">
        <v>-0.50505899437977519</v>
      </c>
      <c r="I1469" s="133">
        <v>2.7916826039291062E-2</v>
      </c>
    </row>
    <row r="1470" spans="8:9" ht="12" customHeight="1">
      <c r="H1470" s="133">
        <v>-0.50466908086411733</v>
      </c>
      <c r="I1470" s="133">
        <v>2.7940247671674735E-2</v>
      </c>
    </row>
    <row r="1471" spans="8:9" ht="12" customHeight="1">
      <c r="H1471" s="133">
        <v>-0.50384461371989098</v>
      </c>
      <c r="I1471" s="133">
        <v>2.798983527428946E-2</v>
      </c>
    </row>
    <row r="1472" spans="8:9" ht="12" customHeight="1">
      <c r="H1472" s="133">
        <v>-0.50328370434945435</v>
      </c>
      <c r="I1472" s="133">
        <v>2.8023620030447654E-2</v>
      </c>
    </row>
    <row r="1473" spans="8:9" ht="12" customHeight="1">
      <c r="H1473" s="133">
        <v>-0.50307078016179663</v>
      </c>
      <c r="I1473" s="133">
        <v>2.8036455271637162E-2</v>
      </c>
    </row>
    <row r="1474" spans="8:9" ht="12" customHeight="1">
      <c r="H1474" s="133">
        <v>-0.50183445362442214</v>
      </c>
      <c r="I1474" s="133">
        <v>2.8111094918697514E-2</v>
      </c>
    </row>
    <row r="1475" spans="8:9" ht="12" customHeight="1">
      <c r="H1475" s="133">
        <v>-0.50137694730743909</v>
      </c>
      <c r="I1475" s="133">
        <v>2.8138764428531957E-2</v>
      </c>
    </row>
    <row r="1476" spans="8:9" ht="12" customHeight="1">
      <c r="H1476" s="133">
        <v>-0.50051587926748176</v>
      </c>
      <c r="I1476" s="133">
        <v>2.8190912678780818E-2</v>
      </c>
    </row>
    <row r="1477" spans="8:9" ht="12" customHeight="1">
      <c r="H1477" s="133">
        <v>-0.50033639933283325</v>
      </c>
      <c r="I1477" s="133">
        <v>2.8201794206812587E-2</v>
      </c>
    </row>
    <row r="1478" spans="8:9" ht="12" customHeight="1">
      <c r="H1478" s="133">
        <v>-0.49853659867234767</v>
      </c>
      <c r="I1478" s="133">
        <v>2.8311138445799581E-2</v>
      </c>
    </row>
    <row r="1479" spans="8:9" ht="12" customHeight="1">
      <c r="H1479" s="133">
        <v>-0.49840869439910251</v>
      </c>
      <c r="I1479" s="133">
        <v>2.8318924727357E-2</v>
      </c>
    </row>
    <row r="1480" spans="8:9" ht="12" customHeight="1">
      <c r="H1480" s="133">
        <v>-0.49466792208709498</v>
      </c>
      <c r="I1480" s="133">
        <v>2.8547569154395876E-2</v>
      </c>
    </row>
    <row r="1481" spans="8:9" ht="12" customHeight="1">
      <c r="H1481" s="133">
        <v>-0.49459482733459159</v>
      </c>
      <c r="I1481" s="133">
        <v>2.8552054671372319E-2</v>
      </c>
    </row>
    <row r="1482" spans="8:9" ht="12" customHeight="1">
      <c r="H1482" s="133">
        <v>-0.49431927321763774</v>
      </c>
      <c r="I1482" s="133">
        <v>2.8568970417517377E-2</v>
      </c>
    </row>
    <row r="1483" spans="8:9" ht="12" customHeight="1">
      <c r="H1483" s="133">
        <v>-0.49406967683621889</v>
      </c>
      <c r="I1483" s="133">
        <v>2.858430106282589E-2</v>
      </c>
    </row>
    <row r="1484" spans="8:9" ht="12" customHeight="1">
      <c r="H1484" s="133">
        <v>-0.49320249487203011</v>
      </c>
      <c r="I1484" s="133">
        <v>2.8637626978383762E-2</v>
      </c>
    </row>
    <row r="1485" spans="8:9" ht="12" customHeight="1">
      <c r="H1485" s="133">
        <v>-0.49313743009015126</v>
      </c>
      <c r="I1485" s="133">
        <v>2.8641631920751292E-2</v>
      </c>
    </row>
    <row r="1486" spans="8:9" ht="12" customHeight="1">
      <c r="H1486" s="133">
        <v>-0.49201804125713106</v>
      </c>
      <c r="I1486" s="133">
        <v>2.8710619009724145E-2</v>
      </c>
    </row>
    <row r="1487" spans="8:9" ht="12" customHeight="1">
      <c r="H1487" s="133">
        <v>-0.49180031592724688</v>
      </c>
      <c r="I1487" s="133">
        <v>2.8724055977504249E-2</v>
      </c>
    </row>
    <row r="1488" spans="8:9" ht="12" customHeight="1">
      <c r="H1488" s="133">
        <v>-0.49142528961326981</v>
      </c>
      <c r="I1488" s="133">
        <v>2.8747215121219114E-2</v>
      </c>
    </row>
    <row r="1489" spans="8:9" ht="12" customHeight="1">
      <c r="H1489" s="133">
        <v>-0.49042434999658174</v>
      </c>
      <c r="I1489" s="133">
        <v>2.8809115281349079E-2</v>
      </c>
    </row>
    <row r="1490" spans="8:9" ht="12" customHeight="1">
      <c r="H1490" s="133">
        <v>-0.48932258423645003</v>
      </c>
      <c r="I1490" s="133">
        <v>2.8877400268646027E-2</v>
      </c>
    </row>
    <row r="1491" spans="8:9" ht="12" customHeight="1">
      <c r="H1491" s="133">
        <v>-0.4886401534172522</v>
      </c>
      <c r="I1491" s="133">
        <v>2.891977454298978E-2</v>
      </c>
    </row>
    <row r="1492" spans="8:9" ht="12" customHeight="1">
      <c r="H1492" s="133">
        <v>-0.48845127566698893</v>
      </c>
      <c r="I1492" s="133">
        <v>2.8931513211358006E-2</v>
      </c>
    </row>
    <row r="1493" spans="8:9" ht="12" customHeight="1">
      <c r="H1493" s="133">
        <v>-0.48628938166001706</v>
      </c>
      <c r="I1493" s="133">
        <v>2.9066203659941399E-2</v>
      </c>
    </row>
    <row r="1494" spans="8:9" ht="12" customHeight="1">
      <c r="H1494" s="133">
        <v>-0.48624394997420495</v>
      </c>
      <c r="I1494" s="133">
        <v>2.9069040663363032E-2</v>
      </c>
    </row>
    <row r="1495" spans="8:9" ht="12" customHeight="1">
      <c r="H1495" s="133">
        <v>-0.48596262794385403</v>
      </c>
      <c r="I1495" s="133">
        <v>2.9086613934900883E-2</v>
      </c>
    </row>
    <row r="1496" spans="8:9" ht="12" customHeight="1">
      <c r="H1496" s="133">
        <v>-0.48523045270423076</v>
      </c>
      <c r="I1496" s="133">
        <v>2.9132398865334155E-2</v>
      </c>
    </row>
    <row r="1497" spans="8:9" ht="12" customHeight="1">
      <c r="H1497" s="133">
        <v>-0.48514455146637164</v>
      </c>
      <c r="I1497" s="133">
        <v>2.9137775085720741E-2</v>
      </c>
    </row>
    <row r="1498" spans="8:9" ht="12" customHeight="1">
      <c r="H1498" s="133">
        <v>-0.48418646685266498</v>
      </c>
      <c r="I1498" s="133">
        <v>2.9197803092448155E-2</v>
      </c>
    </row>
    <row r="1499" spans="8:9" ht="12" customHeight="1">
      <c r="H1499" s="133">
        <v>-0.4837506759347755</v>
      </c>
      <c r="I1499" s="133">
        <v>2.9225146887016662E-2</v>
      </c>
    </row>
    <row r="1500" spans="8:9" ht="12" customHeight="1">
      <c r="H1500" s="133">
        <v>-0.48294068225375131</v>
      </c>
      <c r="I1500" s="133">
        <v>2.92760361111165E-2</v>
      </c>
    </row>
    <row r="1501" spans="8:9" ht="12" customHeight="1">
      <c r="H1501" s="133">
        <v>-0.4823932588352825</v>
      </c>
      <c r="I1501" s="133">
        <v>2.9310477570642465E-2</v>
      </c>
    </row>
    <row r="1502" spans="8:9" ht="12" customHeight="1">
      <c r="H1502" s="133">
        <v>-0.48226689695605962</v>
      </c>
      <c r="I1502" s="133">
        <v>2.9318433281372836E-2</v>
      </c>
    </row>
    <row r="1503" spans="8:9" ht="12" customHeight="1">
      <c r="H1503" s="133">
        <v>-0.48211231712575281</v>
      </c>
      <c r="I1503" s="133">
        <v>2.9328168434806155E-2</v>
      </c>
    </row>
    <row r="1504" spans="8:9" ht="12" customHeight="1">
      <c r="H1504" s="133">
        <v>-0.4818014095545522</v>
      </c>
      <c r="I1504" s="133">
        <v>2.9347758316189035E-2</v>
      </c>
    </row>
    <row r="1505" spans="8:9" ht="12" customHeight="1">
      <c r="H1505" s="133">
        <v>-0.48125563197064225</v>
      </c>
      <c r="I1505" s="133">
        <v>2.9382177744905001E-2</v>
      </c>
    </row>
    <row r="1506" spans="8:9" ht="12" customHeight="1">
      <c r="H1506" s="133">
        <v>-0.47938833845397499</v>
      </c>
      <c r="I1506" s="133">
        <v>2.9500234812326422E-2</v>
      </c>
    </row>
    <row r="1507" spans="8:9" ht="12" customHeight="1">
      <c r="H1507" s="133">
        <v>-0.4781831312299461</v>
      </c>
      <c r="I1507" s="133">
        <v>2.9576676474949836E-2</v>
      </c>
    </row>
    <row r="1508" spans="8:9" ht="12" customHeight="1">
      <c r="H1508" s="133">
        <v>-0.47798116893622178</v>
      </c>
      <c r="I1508" s="133">
        <v>2.9589504940311043E-2</v>
      </c>
    </row>
    <row r="1509" spans="8:9" ht="12" customHeight="1">
      <c r="H1509" s="133">
        <v>-0.47789232727021469</v>
      </c>
      <c r="I1509" s="133">
        <v>2.9595149792244327E-2</v>
      </c>
    </row>
    <row r="1510" spans="8:9" ht="12" customHeight="1">
      <c r="H1510" s="133">
        <v>-0.47763904966426618</v>
      </c>
      <c r="I1510" s="133">
        <v>2.9611248362285379E-2</v>
      </c>
    </row>
    <row r="1511" spans="8:9" ht="12" customHeight="1">
      <c r="H1511" s="133">
        <v>-0.47758046818376071</v>
      </c>
      <c r="I1511" s="133">
        <v>2.9614973066674613E-2</v>
      </c>
    </row>
    <row r="1512" spans="8:9" ht="12" customHeight="1">
      <c r="H1512" s="133">
        <v>-0.4775122061530338</v>
      </c>
      <c r="I1512" s="133">
        <v>2.961931384896959E-2</v>
      </c>
    </row>
    <row r="1513" spans="8:9" ht="12" customHeight="1">
      <c r="H1513" s="133">
        <v>-0.47747114865164453</v>
      </c>
      <c r="I1513" s="133">
        <v>2.9621924992406123E-2</v>
      </c>
    </row>
    <row r="1514" spans="8:9" ht="12" customHeight="1">
      <c r="H1514" s="133">
        <v>-0.47692037166645662</v>
      </c>
      <c r="I1514" s="133">
        <v>2.96569744677578E-2</v>
      </c>
    </row>
    <row r="1515" spans="8:9" ht="12" customHeight="1">
      <c r="H1515" s="133">
        <v>-0.47669978254953554</v>
      </c>
      <c r="I1515" s="133">
        <v>2.967102324195256E-2</v>
      </c>
    </row>
    <row r="1516" spans="8:9" ht="12" customHeight="1">
      <c r="H1516" s="133">
        <v>-0.47609781479364816</v>
      </c>
      <c r="I1516" s="133">
        <v>2.9709393909106433E-2</v>
      </c>
    </row>
    <row r="1517" spans="8:9" ht="12" customHeight="1">
      <c r="H1517" s="133">
        <v>-0.47528108604697894</v>
      </c>
      <c r="I1517" s="133">
        <v>2.9761530797185663E-2</v>
      </c>
    </row>
    <row r="1518" spans="8:9" ht="12" customHeight="1">
      <c r="H1518" s="133">
        <v>-0.4743810339015645</v>
      </c>
      <c r="I1518" s="133">
        <v>2.9819089459213355E-2</v>
      </c>
    </row>
    <row r="1519" spans="8:9" ht="12" customHeight="1">
      <c r="H1519" s="133">
        <v>-0.47423614612816772</v>
      </c>
      <c r="I1519" s="133">
        <v>2.9828365161930565E-2</v>
      </c>
    </row>
    <row r="1520" spans="8:9" ht="12" customHeight="1">
      <c r="H1520" s="133">
        <v>-0.47400913049741511</v>
      </c>
      <c r="I1520" s="133">
        <v>2.9842904307011583E-2</v>
      </c>
    </row>
    <row r="1521" spans="8:9" ht="12" customHeight="1">
      <c r="H1521" s="133">
        <v>-0.47276466454667682</v>
      </c>
      <c r="I1521" s="133">
        <v>2.992272785085686E-2</v>
      </c>
    </row>
    <row r="1522" spans="8:9" ht="12" customHeight="1">
      <c r="H1522" s="133">
        <v>-0.47219114787121497</v>
      </c>
      <c r="I1522" s="133">
        <v>2.9959584441557462E-2</v>
      </c>
    </row>
    <row r="1523" spans="8:9" ht="12" customHeight="1">
      <c r="H1523" s="133">
        <v>-0.47113781296458834</v>
      </c>
      <c r="I1523" s="133">
        <v>3.0027390801827768E-2</v>
      </c>
    </row>
    <row r="1524" spans="8:9" ht="12" customHeight="1">
      <c r="H1524" s="133">
        <v>-0.47013739939329696</v>
      </c>
      <c r="I1524" s="133">
        <v>3.009192813404199E-2</v>
      </c>
    </row>
    <row r="1525" spans="8:9" ht="12" customHeight="1">
      <c r="H1525" s="133">
        <v>-0.46989570548858128</v>
      </c>
      <c r="I1525" s="133">
        <v>3.0107540112519572E-2</v>
      </c>
    </row>
    <row r="1526" spans="8:9" ht="12" customHeight="1">
      <c r="H1526" s="133">
        <v>-0.46865682701053468</v>
      </c>
      <c r="I1526" s="133">
        <v>3.0187687534975173E-2</v>
      </c>
    </row>
    <row r="1527" spans="8:9" ht="12" customHeight="1">
      <c r="H1527" s="133">
        <v>-0.46853323324901841</v>
      </c>
      <c r="I1527" s="133">
        <v>3.0195694582468832E-2</v>
      </c>
    </row>
    <row r="1528" spans="8:9" ht="12" customHeight="1">
      <c r="H1528" s="133">
        <v>-0.46438617140939026</v>
      </c>
      <c r="I1528" s="133">
        <v>3.0465558806176685E-2</v>
      </c>
    </row>
    <row r="1529" spans="8:9" ht="12" customHeight="1">
      <c r="H1529" s="133">
        <v>-0.4638849398779169</v>
      </c>
      <c r="I1529" s="133">
        <v>3.0498333561136352E-2</v>
      </c>
    </row>
    <row r="1530" spans="8:9" ht="12" customHeight="1">
      <c r="H1530" s="133">
        <v>-0.46286224370836759</v>
      </c>
      <c r="I1530" s="133">
        <v>3.0565312038291756E-2</v>
      </c>
    </row>
    <row r="1531" spans="8:9" ht="12" customHeight="1">
      <c r="H1531" s="133">
        <v>-0.46208097217518329</v>
      </c>
      <c r="I1531" s="133">
        <v>3.0616575079196975E-2</v>
      </c>
    </row>
    <row r="1532" spans="8:9" ht="12" customHeight="1">
      <c r="H1532" s="133">
        <v>-0.46191168526473297</v>
      </c>
      <c r="I1532" s="133">
        <v>3.0627693790389696E-2</v>
      </c>
    </row>
    <row r="1533" spans="8:9" ht="12" customHeight="1">
      <c r="H1533" s="133">
        <v>-0.46187145390806406</v>
      </c>
      <c r="I1533" s="133">
        <v>3.0630336748292991E-2</v>
      </c>
    </row>
    <row r="1534" spans="8:9" ht="12" customHeight="1">
      <c r="H1534" s="133">
        <v>-0.46156801878512421</v>
      </c>
      <c r="I1534" s="133">
        <v>3.0650277724945867E-2</v>
      </c>
    </row>
    <row r="1535" spans="8:9" ht="12" customHeight="1">
      <c r="H1535" s="133">
        <v>-0.46106731343704427</v>
      </c>
      <c r="I1535" s="133">
        <v>3.0683210284653425E-2</v>
      </c>
    </row>
    <row r="1536" spans="8:9" ht="12" customHeight="1">
      <c r="H1536" s="133">
        <v>-0.4598454453402866</v>
      </c>
      <c r="I1536" s="133">
        <v>3.0763719295763915E-2</v>
      </c>
    </row>
    <row r="1537" spans="8:9" ht="12" customHeight="1">
      <c r="H1537" s="133">
        <v>-0.45679912089324526</v>
      </c>
      <c r="I1537" s="133">
        <v>3.0965333573747058E-2</v>
      </c>
    </row>
    <row r="1538" spans="8:9" ht="12" customHeight="1">
      <c r="H1538" s="133">
        <v>-0.45653368685251022</v>
      </c>
      <c r="I1538" s="133">
        <v>3.0982961200608613E-2</v>
      </c>
    </row>
    <row r="1539" spans="8:9" ht="12" customHeight="1">
      <c r="H1539" s="133">
        <v>-0.45546797888237844</v>
      </c>
      <c r="I1539" s="133">
        <v>3.1053833322157245E-2</v>
      </c>
    </row>
    <row r="1540" spans="8:9" ht="12" customHeight="1">
      <c r="H1540" s="133">
        <v>-0.45478566234974738</v>
      </c>
      <c r="I1540" s="133">
        <v>3.1099291368792605E-2</v>
      </c>
    </row>
    <row r="1541" spans="8:9" ht="12" customHeight="1">
      <c r="H1541" s="133">
        <v>-0.45385179653014968</v>
      </c>
      <c r="I1541" s="133">
        <v>3.1161612824763828E-2</v>
      </c>
    </row>
    <row r="1542" spans="8:9" ht="12" customHeight="1">
      <c r="H1542" s="133">
        <v>-0.45294527766601367</v>
      </c>
      <c r="I1542" s="133">
        <v>3.1222224889189423E-2</v>
      </c>
    </row>
    <row r="1543" spans="8:9" ht="12" customHeight="1">
      <c r="H1543" s="133">
        <v>-0.45244580204657509</v>
      </c>
      <c r="I1543" s="133">
        <v>3.125566978388461E-2</v>
      </c>
    </row>
    <row r="1544" spans="8:9" ht="12" customHeight="1">
      <c r="H1544" s="133">
        <v>-0.45221770757655216</v>
      </c>
      <c r="I1544" s="133">
        <v>3.1270954521923619E-2</v>
      </c>
    </row>
    <row r="1545" spans="8:9" ht="12" customHeight="1">
      <c r="H1545" s="133">
        <v>-0.45205945006817283</v>
      </c>
      <c r="I1545" s="133">
        <v>3.1281563696185739E-2</v>
      </c>
    </row>
    <row r="1546" spans="8:9" ht="12" customHeight="1">
      <c r="H1546" s="133">
        <v>-0.45186635156586397</v>
      </c>
      <c r="I1546" s="133">
        <v>3.1294513238411779E-2</v>
      </c>
    </row>
    <row r="1547" spans="8:9" ht="12" customHeight="1">
      <c r="H1547" s="133">
        <v>-0.45184090038122127</v>
      </c>
      <c r="I1547" s="133">
        <v>3.1296220428743401E-2</v>
      </c>
    </row>
    <row r="1548" spans="8:9" ht="12" customHeight="1">
      <c r="H1548" s="133">
        <v>-0.45161817000571525</v>
      </c>
      <c r="I1548" s="133">
        <v>3.1311164370645739E-2</v>
      </c>
    </row>
    <row r="1549" spans="8:9" ht="12" customHeight="1">
      <c r="H1549" s="133">
        <v>-0.4497497992950964</v>
      </c>
      <c r="I1549" s="133">
        <v>3.1436793612514349E-2</v>
      </c>
    </row>
    <row r="1550" spans="8:9" ht="12" customHeight="1">
      <c r="H1550" s="133">
        <v>-0.44970014538091274</v>
      </c>
      <c r="I1550" s="133">
        <v>3.1440138985724064E-2</v>
      </c>
    </row>
    <row r="1551" spans="8:9" ht="12" customHeight="1">
      <c r="H1551" s="133">
        <v>-0.44834910778180376</v>
      </c>
      <c r="I1551" s="133">
        <v>3.1531295829986525E-2</v>
      </c>
    </row>
    <row r="1552" spans="8:9" ht="12" customHeight="1">
      <c r="H1552" s="133">
        <v>-0.44745014814430817</v>
      </c>
      <c r="I1552" s="133">
        <v>3.1592091806985557E-2</v>
      </c>
    </row>
    <row r="1553" spans="8:9" ht="12" customHeight="1">
      <c r="H1553" s="133">
        <v>-0.44726724208465107</v>
      </c>
      <c r="I1553" s="133">
        <v>3.1604475484949782E-2</v>
      </c>
    </row>
    <row r="1554" spans="8:9" ht="12" customHeight="1">
      <c r="H1554" s="133">
        <v>-0.44650607424849037</v>
      </c>
      <c r="I1554" s="133">
        <v>3.1656060900499307E-2</v>
      </c>
    </row>
    <row r="1555" spans="8:9" ht="12" customHeight="1">
      <c r="H1555" s="133">
        <v>-0.4463660422630597</v>
      </c>
      <c r="I1555" s="133">
        <v>3.1665559931314244E-2</v>
      </c>
    </row>
    <row r="1556" spans="8:9" ht="12" customHeight="1">
      <c r="H1556" s="133">
        <v>-0.44553621155535839</v>
      </c>
      <c r="I1556" s="133">
        <v>3.1721907873203802E-2</v>
      </c>
    </row>
    <row r="1557" spans="8:9" ht="12" customHeight="1">
      <c r="H1557" s="133">
        <v>-0.44536878708210037</v>
      </c>
      <c r="I1557" s="133">
        <v>3.1733288238505825E-2</v>
      </c>
    </row>
    <row r="1558" spans="8:9" ht="12" customHeight="1">
      <c r="H1558" s="133">
        <v>-0.4448907444022146</v>
      </c>
      <c r="I1558" s="133">
        <v>3.1765804034021759E-2</v>
      </c>
    </row>
    <row r="1559" spans="8:9" ht="12" customHeight="1">
      <c r="H1559" s="133">
        <v>-0.44460434784173752</v>
      </c>
      <c r="I1559" s="133">
        <v>3.1785299761670147E-2</v>
      </c>
    </row>
    <row r="1560" spans="8:9" ht="12" customHeight="1">
      <c r="H1560" s="133">
        <v>-0.44304072863255983</v>
      </c>
      <c r="I1560" s="133">
        <v>3.1891943444079106E-2</v>
      </c>
    </row>
    <row r="1561" spans="8:9" ht="12" customHeight="1">
      <c r="H1561" s="133">
        <v>-0.44236214889999437</v>
      </c>
      <c r="I1561" s="133">
        <v>3.1938332280762836E-2</v>
      </c>
    </row>
    <row r="1562" spans="8:9" ht="12" customHeight="1">
      <c r="H1562" s="133">
        <v>-0.44218376944412563</v>
      </c>
      <c r="I1562" s="133">
        <v>3.1950537422925127E-2</v>
      </c>
    </row>
    <row r="1563" spans="8:9" ht="12" customHeight="1">
      <c r="H1563" s="133">
        <v>-0.4413281978927322</v>
      </c>
      <c r="I1563" s="133">
        <v>3.2009140363602036E-2</v>
      </c>
    </row>
    <row r="1564" spans="8:9" ht="12" customHeight="1">
      <c r="H1564" s="133">
        <v>-0.440781028858719</v>
      </c>
      <c r="I1564" s="133">
        <v>3.2046673544804727E-2</v>
      </c>
    </row>
    <row r="1565" spans="8:9" ht="12" customHeight="1">
      <c r="H1565" s="133">
        <v>-0.44063506320686885</v>
      </c>
      <c r="I1565" s="133">
        <v>3.2056693278947328E-2</v>
      </c>
    </row>
    <row r="1566" spans="8:9" ht="12" customHeight="1">
      <c r="H1566" s="133">
        <v>-0.4392088344149005</v>
      </c>
      <c r="I1566" s="133">
        <v>3.2154755513382025E-2</v>
      </c>
    </row>
    <row r="1567" spans="8:9" ht="12" customHeight="1">
      <c r="H1567" s="133">
        <v>-0.43870670492400443</v>
      </c>
      <c r="I1567" s="133">
        <v>3.2189349063307345E-2</v>
      </c>
    </row>
    <row r="1568" spans="8:9" ht="12" customHeight="1">
      <c r="H1568" s="133">
        <v>-0.43837397672590694</v>
      </c>
      <c r="I1568" s="133">
        <v>3.2212291751042475E-2</v>
      </c>
    </row>
    <row r="1569" spans="8:9" ht="12" customHeight="1">
      <c r="H1569" s="133">
        <v>-0.43801873687391957</v>
      </c>
      <c r="I1569" s="133">
        <v>3.2236804138527413E-2</v>
      </c>
    </row>
    <row r="1570" spans="8:9" ht="12" customHeight="1">
      <c r="H1570" s="133">
        <v>-0.43647105388352692</v>
      </c>
      <c r="I1570" s="133">
        <v>3.2343808480022745E-2</v>
      </c>
    </row>
    <row r="1571" spans="8:9" ht="12" customHeight="1">
      <c r="H1571" s="133">
        <v>-0.43523107267694017</v>
      </c>
      <c r="I1571" s="133">
        <v>3.2429786445570166E-2</v>
      </c>
    </row>
    <row r="1572" spans="8:9" ht="12" customHeight="1">
      <c r="H1572" s="133">
        <v>-0.43473917999413941</v>
      </c>
      <c r="I1572" s="133">
        <v>3.246395451792411E-2</v>
      </c>
    </row>
    <row r="1573" spans="8:9" ht="12" customHeight="1">
      <c r="H1573" s="133">
        <v>-0.43472988010344243</v>
      </c>
      <c r="I1573" s="133">
        <v>3.2464600846138426E-2</v>
      </c>
    </row>
    <row r="1574" spans="8:9" ht="12" customHeight="1">
      <c r="H1574" s="133">
        <v>-0.43445097133393651</v>
      </c>
      <c r="I1574" s="133">
        <v>3.2483990360249959E-2</v>
      </c>
    </row>
    <row r="1575" spans="8:9" ht="12" customHeight="1">
      <c r="H1575" s="133">
        <v>-0.43381849454650057</v>
      </c>
      <c r="I1575" s="133">
        <v>3.2528001113409165E-2</v>
      </c>
    </row>
    <row r="1576" spans="8:9" ht="12" customHeight="1">
      <c r="H1576" s="133">
        <v>-0.43380317297365312</v>
      </c>
      <c r="I1576" s="133">
        <v>3.2529067976107648E-2</v>
      </c>
    </row>
    <row r="1577" spans="8:9" ht="12" customHeight="1">
      <c r="H1577" s="133">
        <v>-0.43229471186072199</v>
      </c>
      <c r="I1577" s="133">
        <v>3.2634269955325576E-2</v>
      </c>
    </row>
    <row r="1578" spans="8:9" ht="12" customHeight="1">
      <c r="H1578" s="133">
        <v>-0.43199326429858326</v>
      </c>
      <c r="I1578" s="133">
        <v>3.2655332666794053E-2</v>
      </c>
    </row>
    <row r="1579" spans="8:9" ht="12" customHeight="1">
      <c r="H1579" s="133">
        <v>-0.43193985009831659</v>
      </c>
      <c r="I1579" s="133">
        <v>3.2659066187717536E-2</v>
      </c>
    </row>
    <row r="1580" spans="8:9" ht="12" customHeight="1">
      <c r="H1580" s="133">
        <v>-0.4313279613361593</v>
      </c>
      <c r="I1580" s="133">
        <v>3.2701865139133687E-2</v>
      </c>
    </row>
    <row r="1581" spans="8:9" ht="12" customHeight="1">
      <c r="H1581" s="133">
        <v>-0.42904413579648726</v>
      </c>
      <c r="I1581" s="133">
        <v>3.2862087867159773E-2</v>
      </c>
    </row>
    <row r="1582" spans="8:9" ht="12" customHeight="1">
      <c r="H1582" s="133">
        <v>-0.42837150915640654</v>
      </c>
      <c r="I1582" s="133">
        <v>3.2909420656324045E-2</v>
      </c>
    </row>
    <row r="1583" spans="8:9" ht="12" customHeight="1">
      <c r="H1583" s="133">
        <v>-0.4273131536538235</v>
      </c>
      <c r="I1583" s="133">
        <v>3.2984030575401238E-2</v>
      </c>
    </row>
    <row r="1584" spans="8:9" ht="12" customHeight="1">
      <c r="H1584" s="133">
        <v>-0.42716616918126216</v>
      </c>
      <c r="I1584" s="133">
        <v>3.2994405317484071E-2</v>
      </c>
    </row>
    <row r="1585" spans="8:9" ht="12" customHeight="1">
      <c r="H1585" s="133">
        <v>-0.42575808089572226</v>
      </c>
      <c r="I1585" s="133">
        <v>3.3093953581111661E-2</v>
      </c>
    </row>
    <row r="1586" spans="8:9" ht="12" customHeight="1">
      <c r="H1586" s="133">
        <v>-0.42527895929063819</v>
      </c>
      <c r="I1586" s="133">
        <v>3.3127892357204577E-2</v>
      </c>
    </row>
    <row r="1587" spans="8:9" ht="12" customHeight="1">
      <c r="H1587" s="133">
        <v>-0.42470115986057044</v>
      </c>
      <c r="I1587" s="133">
        <v>3.3168865728483779E-2</v>
      </c>
    </row>
    <row r="1588" spans="8:9" ht="12" customHeight="1">
      <c r="H1588" s="133">
        <v>-0.42464374179509978</v>
      </c>
      <c r="I1588" s="133">
        <v>3.3172940076089459E-2</v>
      </c>
    </row>
    <row r="1589" spans="8:9" ht="12" customHeight="1">
      <c r="H1589" s="133">
        <v>-0.42448779972550327</v>
      </c>
      <c r="I1589" s="133">
        <v>3.318400806019485E-2</v>
      </c>
    </row>
    <row r="1590" spans="8:9" ht="12" customHeight="1">
      <c r="H1590" s="133">
        <v>-0.42393918464546343</v>
      </c>
      <c r="I1590" s="133">
        <v>3.3222974348021607E-2</v>
      </c>
    </row>
    <row r="1591" spans="8:9" ht="12" customHeight="1">
      <c r="H1591" s="133">
        <v>-0.42326110838066222</v>
      </c>
      <c r="I1591" s="133">
        <v>3.3271196885396509E-2</v>
      </c>
    </row>
    <row r="1592" spans="8:9" ht="12" customHeight="1">
      <c r="H1592" s="133">
        <v>-0.42290222632570451</v>
      </c>
      <c r="I1592" s="133">
        <v>3.3296746732447306E-2</v>
      </c>
    </row>
    <row r="1593" spans="8:9" ht="12" customHeight="1">
      <c r="H1593" s="133">
        <v>-0.42290198364626175</v>
      </c>
      <c r="I1593" s="133">
        <v>3.3296764015903681E-2</v>
      </c>
    </row>
    <row r="1594" spans="8:9" ht="12" customHeight="1">
      <c r="H1594" s="133">
        <v>-0.42211921274492525</v>
      </c>
      <c r="I1594" s="133">
        <v>3.3352557498259341E-2</v>
      </c>
    </row>
    <row r="1595" spans="8:9" ht="12" customHeight="1">
      <c r="H1595" s="133">
        <v>-0.42143992674810754</v>
      </c>
      <c r="I1595" s="133">
        <v>3.3401048041680446E-2</v>
      </c>
    </row>
    <row r="1596" spans="8:9" ht="12" customHeight="1">
      <c r="H1596" s="133">
        <v>-0.42136593322961124</v>
      </c>
      <c r="I1596" s="133">
        <v>3.3406334146698836E-2</v>
      </c>
    </row>
    <row r="1597" spans="8:9" ht="12" customHeight="1">
      <c r="H1597" s="133">
        <v>-0.42132536618672345</v>
      </c>
      <c r="I1597" s="133">
        <v>3.3409232603440309E-2</v>
      </c>
    </row>
    <row r="1598" spans="8:9" ht="12" customHeight="1">
      <c r="H1598" s="133">
        <v>-0.420474933371214</v>
      </c>
      <c r="I1598" s="133">
        <v>3.3470050725515933E-2</v>
      </c>
    </row>
    <row r="1599" spans="8:9" ht="12" customHeight="1">
      <c r="H1599" s="133">
        <v>-0.41993248338417077</v>
      </c>
      <c r="I1599" s="133">
        <v>3.3508899480209041E-2</v>
      </c>
    </row>
    <row r="1600" spans="8:9" ht="12" customHeight="1">
      <c r="H1600" s="133">
        <v>-0.41981882467438364</v>
      </c>
      <c r="I1600" s="133">
        <v>3.351704491390272E-2</v>
      </c>
    </row>
    <row r="1601" spans="8:9" ht="12" customHeight="1">
      <c r="H1601" s="133">
        <v>-0.41761412160637124</v>
      </c>
      <c r="I1601" s="133">
        <v>3.3675425180939411E-2</v>
      </c>
    </row>
    <row r="1602" spans="8:9" ht="12" customHeight="1">
      <c r="H1602" s="133">
        <v>-0.41721543545208484</v>
      </c>
      <c r="I1602" s="133">
        <v>3.3704142800846985E-2</v>
      </c>
    </row>
    <row r="1603" spans="8:9" ht="12" customHeight="1">
      <c r="H1603" s="133">
        <v>-0.41633308979774453</v>
      </c>
      <c r="I1603" s="133">
        <v>3.37677827859411E-2</v>
      </c>
    </row>
    <row r="1604" spans="8:9" ht="12" customHeight="1">
      <c r="H1604" s="133">
        <v>-0.41609885509400751</v>
      </c>
      <c r="I1604" s="133">
        <v>3.3784696647035789E-2</v>
      </c>
    </row>
    <row r="1605" spans="8:9" ht="12" customHeight="1">
      <c r="H1605" s="133">
        <v>-0.41606696200437665</v>
      </c>
      <c r="I1605" s="133">
        <v>3.378700024843892E-2</v>
      </c>
    </row>
    <row r="1606" spans="8:9" ht="12" customHeight="1">
      <c r="H1606" s="133">
        <v>-0.41591254949024059</v>
      </c>
      <c r="I1606" s="133">
        <v>3.3798155431458698E-2</v>
      </c>
    </row>
    <row r="1607" spans="8:9" ht="12" customHeight="1">
      <c r="H1607" s="133">
        <v>-0.41518772463626574</v>
      </c>
      <c r="I1607" s="133">
        <v>3.3850566280149472E-2</v>
      </c>
    </row>
    <row r="1608" spans="8:9" ht="12" customHeight="1">
      <c r="H1608" s="133">
        <v>-0.41518078985964108</v>
      </c>
      <c r="I1608" s="133">
        <v>3.3851068100584296E-2</v>
      </c>
    </row>
    <row r="1609" spans="8:9" ht="12" customHeight="1">
      <c r="H1609" s="133">
        <v>-0.41434034768464001</v>
      </c>
      <c r="I1609" s="133">
        <v>3.3911938101536948E-2</v>
      </c>
    </row>
    <row r="1610" spans="8:9" ht="12" customHeight="1">
      <c r="H1610" s="133">
        <v>-0.41429699459914981</v>
      </c>
      <c r="I1610" s="133">
        <v>3.3915080861940956E-2</v>
      </c>
    </row>
    <row r="1611" spans="8:9" ht="12" customHeight="1">
      <c r="H1611" s="133">
        <v>-0.41392680840000284</v>
      </c>
      <c r="I1611" s="133">
        <v>3.3941927920095046E-2</v>
      </c>
    </row>
    <row r="1612" spans="8:9" ht="12" customHeight="1">
      <c r="H1612" s="133">
        <v>-0.41346630583960048</v>
      </c>
      <c r="I1612" s="133">
        <v>3.3975353623249868E-2</v>
      </c>
    </row>
    <row r="1613" spans="8:9" ht="12" customHeight="1">
      <c r="H1613" s="133">
        <v>-0.41302552495561551</v>
      </c>
      <c r="I1613" s="133">
        <v>3.4007377570290785E-2</v>
      </c>
    </row>
    <row r="1614" spans="8:9" ht="12" customHeight="1">
      <c r="H1614" s="133">
        <v>-0.41264925274457293</v>
      </c>
      <c r="I1614" s="133">
        <v>3.4034737823414769E-2</v>
      </c>
    </row>
    <row r="1615" spans="8:9" ht="12" customHeight="1">
      <c r="H1615" s="133">
        <v>-0.41158347465688416</v>
      </c>
      <c r="I1615" s="133">
        <v>3.4112350112189466E-2</v>
      </c>
    </row>
    <row r="1616" spans="8:9" ht="12" customHeight="1">
      <c r="H1616" s="133">
        <v>-0.41048442332072199</v>
      </c>
      <c r="I1616" s="133">
        <v>3.4192564234877758E-2</v>
      </c>
    </row>
    <row r="1617" spans="8:9" ht="12" customHeight="1">
      <c r="H1617" s="133">
        <v>-0.4096780444419722</v>
      </c>
      <c r="I1617" s="133">
        <v>3.4251533382487438E-2</v>
      </c>
    </row>
    <row r="1618" spans="8:9" ht="12" customHeight="1">
      <c r="H1618" s="133">
        <v>-0.40875181668929983</v>
      </c>
      <c r="I1618" s="133">
        <v>3.4319387925382742E-2</v>
      </c>
    </row>
    <row r="1619" spans="8:9" ht="12" customHeight="1">
      <c r="H1619" s="133">
        <v>-0.4076920038613786</v>
      </c>
      <c r="I1619" s="133">
        <v>3.4397187825915068E-2</v>
      </c>
    </row>
    <row r="1620" spans="8:9" ht="12" customHeight="1">
      <c r="H1620" s="133">
        <v>-0.40752035070228165</v>
      </c>
      <c r="I1620" s="133">
        <v>3.4409804723511621E-2</v>
      </c>
    </row>
    <row r="1621" spans="8:9" ht="12" customHeight="1">
      <c r="H1621" s="133">
        <v>-0.40690063491834522</v>
      </c>
      <c r="I1621" s="133">
        <v>3.4455392394811497E-2</v>
      </c>
    </row>
    <row r="1622" spans="8:9" ht="12" customHeight="1">
      <c r="H1622" s="133">
        <v>-0.40557423967406792</v>
      </c>
      <c r="I1622" s="133">
        <v>3.4553160787165672E-2</v>
      </c>
    </row>
    <row r="1623" spans="8:9" ht="12" customHeight="1">
      <c r="H1623" s="133">
        <v>-0.40497050287549574</v>
      </c>
      <c r="I1623" s="133">
        <v>3.4597750672530216E-2</v>
      </c>
    </row>
    <row r="1624" spans="8:9" ht="12" customHeight="1">
      <c r="H1624" s="133">
        <v>-0.40476652206624186</v>
      </c>
      <c r="I1624" s="133">
        <v>3.4612828515784358E-2</v>
      </c>
    </row>
    <row r="1625" spans="8:9" ht="12" customHeight="1">
      <c r="H1625" s="133">
        <v>-0.40437156351248527</v>
      </c>
      <c r="I1625" s="133">
        <v>3.4642041053700008E-2</v>
      </c>
    </row>
    <row r="1626" spans="8:9" ht="12" customHeight="1">
      <c r="H1626" s="133">
        <v>-0.40427097688791358</v>
      </c>
      <c r="I1626" s="133">
        <v>3.4649484594712773E-2</v>
      </c>
    </row>
    <row r="1627" spans="8:9" ht="12" customHeight="1">
      <c r="H1627" s="133">
        <v>-0.40392181725353316</v>
      </c>
      <c r="I1627" s="133">
        <v>3.4675334829824857E-2</v>
      </c>
    </row>
    <row r="1628" spans="8:9" ht="12" customHeight="1">
      <c r="H1628" s="133">
        <v>-0.40323484437283852</v>
      </c>
      <c r="I1628" s="133">
        <v>3.4726249551554435E-2</v>
      </c>
    </row>
    <row r="1629" spans="8:9" ht="12" customHeight="1">
      <c r="H1629" s="133">
        <v>-0.40294983854436511</v>
      </c>
      <c r="I1629" s="133">
        <v>3.4747393790831853E-2</v>
      </c>
    </row>
    <row r="1630" spans="8:9" ht="12" customHeight="1">
      <c r="H1630" s="133">
        <v>-0.4021062302816748</v>
      </c>
      <c r="I1630" s="133">
        <v>3.4810052832885352E-2</v>
      </c>
    </row>
    <row r="1631" spans="8:9" ht="12" customHeight="1">
      <c r="H1631" s="133">
        <v>-0.40187650917697731</v>
      </c>
      <c r="I1631" s="133">
        <v>3.4827134237350017E-2</v>
      </c>
    </row>
    <row r="1632" spans="8:9" ht="12" customHeight="1">
      <c r="H1632" s="133">
        <v>-0.40100874136676301</v>
      </c>
      <c r="I1632" s="133">
        <v>3.4891731902899133E-2</v>
      </c>
    </row>
    <row r="1633" spans="8:9" ht="12" customHeight="1">
      <c r="H1633" s="133">
        <v>-0.40093018199952668</v>
      </c>
      <c r="I1633" s="133">
        <v>3.489758565286525E-2</v>
      </c>
    </row>
    <row r="1634" spans="8:9" ht="12" customHeight="1">
      <c r="H1634" s="133">
        <v>-0.40091238122577455</v>
      </c>
      <c r="I1634" s="133">
        <v>3.4898912186106738E-2</v>
      </c>
    </row>
    <row r="1635" spans="8:9" ht="12" customHeight="1">
      <c r="H1635" s="133">
        <v>-0.40051055803784114</v>
      </c>
      <c r="I1635" s="133">
        <v>3.4928869426241176E-2</v>
      </c>
    </row>
    <row r="1636" spans="8:9" ht="12" customHeight="1">
      <c r="H1636" s="133">
        <v>-0.39998640215703662</v>
      </c>
      <c r="I1636" s="133">
        <v>3.4967984224139513E-2</v>
      </c>
    </row>
    <row r="1637" spans="8:9" ht="12" customHeight="1">
      <c r="H1637" s="133">
        <v>-0.39987680068123665</v>
      </c>
      <c r="I1637" s="133">
        <v>3.4976168499177313E-2</v>
      </c>
    </row>
    <row r="1638" spans="8:9" ht="12" customHeight="1">
      <c r="H1638" s="133">
        <v>-0.39953362373196744</v>
      </c>
      <c r="I1638" s="133">
        <v>3.5001806505635058E-2</v>
      </c>
    </row>
    <row r="1639" spans="8:9" ht="12" customHeight="1">
      <c r="H1639" s="133">
        <v>-0.39929272976430935</v>
      </c>
      <c r="I1639" s="133">
        <v>3.5019813989855333E-2</v>
      </c>
    </row>
    <row r="1640" spans="8:9" ht="12" customHeight="1">
      <c r="H1640" s="133">
        <v>-0.3991771108157624</v>
      </c>
      <c r="I1640" s="133">
        <v>3.5028459993698607E-2</v>
      </c>
    </row>
    <row r="1641" spans="8:9" ht="12" customHeight="1">
      <c r="H1641" s="133">
        <v>-0.39916134988723406</v>
      </c>
      <c r="I1641" s="133">
        <v>3.5029638757819018E-2</v>
      </c>
    </row>
    <row r="1642" spans="8:9" ht="12" customHeight="1">
      <c r="H1642" s="133">
        <v>-0.39696971874572229</v>
      </c>
      <c r="I1642" s="133">
        <v>3.51939242012703E-2</v>
      </c>
    </row>
    <row r="1643" spans="8:9" ht="12" customHeight="1">
      <c r="H1643" s="133">
        <v>-0.39687290746795745</v>
      </c>
      <c r="I1643" s="133">
        <v>3.520119830406708E-2</v>
      </c>
    </row>
    <row r="1644" spans="8:9" ht="12" customHeight="1">
      <c r="H1644" s="133">
        <v>-0.39641253359857653</v>
      </c>
      <c r="I1644" s="133">
        <v>3.5235809213883709E-2</v>
      </c>
    </row>
    <row r="1645" spans="8:9" ht="12" customHeight="1">
      <c r="H1645" s="133">
        <v>-0.39593331253956338</v>
      </c>
      <c r="I1645" s="133">
        <v>3.5271871883217884E-2</v>
      </c>
    </row>
    <row r="1646" spans="8:9" ht="12" customHeight="1">
      <c r="H1646" s="133">
        <v>-0.3958471608503456</v>
      </c>
      <c r="I1646" s="133">
        <v>3.5278358798664394E-2</v>
      </c>
    </row>
    <row r="1647" spans="8:9" ht="12" customHeight="1">
      <c r="H1647" s="133">
        <v>-0.39536344444460825</v>
      </c>
      <c r="I1647" s="133">
        <v>3.531480227094172E-2</v>
      </c>
    </row>
    <row r="1648" spans="8:9" ht="12" customHeight="1">
      <c r="H1648" s="133">
        <v>-0.39522360534446571</v>
      </c>
      <c r="I1648" s="133">
        <v>3.5325344585597933E-2</v>
      </c>
    </row>
    <row r="1649" spans="8:9" ht="12" customHeight="1">
      <c r="H1649" s="133">
        <v>-0.39439715014519983</v>
      </c>
      <c r="I1649" s="133">
        <v>3.5387712061711207E-2</v>
      </c>
    </row>
    <row r="1650" spans="8:9" ht="12" customHeight="1">
      <c r="H1650" s="133">
        <v>-0.39411647174844033</v>
      </c>
      <c r="I1650" s="133">
        <v>3.5408917248086424E-2</v>
      </c>
    </row>
    <row r="1651" spans="8:9" ht="12" customHeight="1">
      <c r="H1651" s="133">
        <v>-0.39241209323740056</v>
      </c>
      <c r="I1651" s="133">
        <v>3.5537945704586633E-2</v>
      </c>
    </row>
    <row r="1652" spans="8:9" ht="12" customHeight="1">
      <c r="H1652" s="133">
        <v>-0.39152210067792997</v>
      </c>
      <c r="I1652" s="133">
        <v>3.5605501655679363E-2</v>
      </c>
    </row>
    <row r="1653" spans="8:9" ht="12" customHeight="1">
      <c r="H1653" s="133">
        <v>-0.39001039126896409</v>
      </c>
      <c r="I1653" s="133">
        <v>3.5720533313647246E-2</v>
      </c>
    </row>
    <row r="1654" spans="8:9" ht="12" customHeight="1">
      <c r="H1654" s="133">
        <v>-0.38995651545488319</v>
      </c>
      <c r="I1654" s="133">
        <v>3.5724639524556207E-2</v>
      </c>
    </row>
    <row r="1655" spans="8:9" ht="12" customHeight="1">
      <c r="H1655" s="133">
        <v>-0.38911094949724712</v>
      </c>
      <c r="I1655" s="133">
        <v>3.5789144943890801E-2</v>
      </c>
    </row>
    <row r="1656" spans="8:9" ht="12" customHeight="1">
      <c r="H1656" s="133">
        <v>-0.38877212107951292</v>
      </c>
      <c r="I1656" s="133">
        <v>3.5815024500482663E-2</v>
      </c>
    </row>
    <row r="1657" spans="8:9" ht="12" customHeight="1">
      <c r="H1657" s="133">
        <v>-0.38834243728329265</v>
      </c>
      <c r="I1657" s="133">
        <v>3.5847869463237876E-2</v>
      </c>
    </row>
    <row r="1658" spans="8:9" ht="12" customHeight="1">
      <c r="H1658" s="133">
        <v>-0.3880571528379545</v>
      </c>
      <c r="I1658" s="133">
        <v>3.5869692579684483E-2</v>
      </c>
    </row>
    <row r="1659" spans="8:9" ht="12" customHeight="1">
      <c r="H1659" s="133">
        <v>-0.38762015446351955</v>
      </c>
      <c r="I1659" s="133">
        <v>3.5903146008400583E-2</v>
      </c>
    </row>
    <row r="1660" spans="8:9" ht="12" customHeight="1">
      <c r="H1660" s="133">
        <v>-0.38699076373386621</v>
      </c>
      <c r="I1660" s="133">
        <v>3.5951380392074232E-2</v>
      </c>
    </row>
    <row r="1661" spans="8:9" ht="12" customHeight="1">
      <c r="H1661" s="133">
        <v>-0.38677450040461003</v>
      </c>
      <c r="I1661" s="133">
        <v>3.5967968480675329E-2</v>
      </c>
    </row>
    <row r="1662" spans="8:9" ht="12" customHeight="1">
      <c r="H1662" s="133">
        <v>-0.38669949703925877</v>
      </c>
      <c r="I1662" s="133">
        <v>3.597372319918582E-2</v>
      </c>
    </row>
    <row r="1663" spans="8:9" ht="12" customHeight="1">
      <c r="H1663" s="133">
        <v>-0.38632080908989835</v>
      </c>
      <c r="I1663" s="133">
        <v>3.6002792000555874E-2</v>
      </c>
    </row>
    <row r="1664" spans="8:9" ht="12" customHeight="1">
      <c r="H1664" s="133">
        <v>-0.3861107269434142</v>
      </c>
      <c r="I1664" s="133">
        <v>3.6018928052802025E-2</v>
      </c>
    </row>
    <row r="1665" spans="8:9" ht="12" customHeight="1">
      <c r="H1665" s="133">
        <v>-0.38608912779717486</v>
      </c>
      <c r="I1665" s="133">
        <v>3.6020587441098151E-2</v>
      </c>
    </row>
    <row r="1666" spans="8:9" ht="12" customHeight="1">
      <c r="H1666" s="133">
        <v>-0.3859006514432492</v>
      </c>
      <c r="I1666" s="133">
        <v>3.6035070555886541E-2</v>
      </c>
    </row>
    <row r="1667" spans="8:9" ht="12" customHeight="1">
      <c r="H1667" s="133">
        <v>-0.38503280454276517</v>
      </c>
      <c r="I1667" s="133">
        <v>3.6101830997111124E-2</v>
      </c>
    </row>
    <row r="1668" spans="8:9" ht="12" customHeight="1">
      <c r="H1668" s="133">
        <v>-0.38464498566978622</v>
      </c>
      <c r="I1668" s="133">
        <v>3.613170302642587E-2</v>
      </c>
    </row>
    <row r="1669" spans="8:9" ht="12" customHeight="1">
      <c r="H1669" s="133">
        <v>-0.38437042220336104</v>
      </c>
      <c r="I1669" s="133">
        <v>3.6152865858336436E-2</v>
      </c>
    </row>
    <row r="1670" spans="8:9" ht="12" customHeight="1">
      <c r="H1670" s="133">
        <v>-0.38367976149892763</v>
      </c>
      <c r="I1670" s="133">
        <v>3.6206153441137173E-2</v>
      </c>
    </row>
    <row r="1671" spans="8:9" ht="12" customHeight="1">
      <c r="H1671" s="133">
        <v>-0.38363969763310812</v>
      </c>
      <c r="I1671" s="133">
        <v>3.6209246867356687E-2</v>
      </c>
    </row>
    <row r="1672" spans="8:9" ht="12" customHeight="1">
      <c r="H1672" s="133">
        <v>-0.38302639204294719</v>
      </c>
      <c r="I1672" s="133">
        <v>3.6256633411396982E-2</v>
      </c>
    </row>
    <row r="1673" spans="8:9" ht="12" customHeight="1">
      <c r="H1673" s="133">
        <v>-0.38105912658314417</v>
      </c>
      <c r="I1673" s="133">
        <v>3.6409035603278357E-2</v>
      </c>
    </row>
    <row r="1674" spans="8:9" ht="12" customHeight="1">
      <c r="H1674" s="133">
        <v>-0.38045389891474191</v>
      </c>
      <c r="I1674" s="133">
        <v>3.6456045881069876E-2</v>
      </c>
    </row>
    <row r="1675" spans="8:9" ht="12" customHeight="1">
      <c r="H1675" s="133">
        <v>-0.38043844081516792</v>
      </c>
      <c r="I1675" s="133">
        <v>3.6457247333544711E-2</v>
      </c>
    </row>
    <row r="1676" spans="8:9" ht="12" customHeight="1">
      <c r="H1676" s="133">
        <v>-0.38037264269583171</v>
      </c>
      <c r="I1676" s="133">
        <v>3.6462361798067548E-2</v>
      </c>
    </row>
    <row r="1677" spans="8:9" ht="12" customHeight="1">
      <c r="H1677" s="133">
        <v>-0.379548666943755</v>
      </c>
      <c r="I1677" s="133">
        <v>3.6526467621174834E-2</v>
      </c>
    </row>
    <row r="1678" spans="8:9" ht="12" customHeight="1">
      <c r="H1678" s="133">
        <v>-0.37936905457794656</v>
      </c>
      <c r="I1678" s="133">
        <v>3.6540455962090088E-2</v>
      </c>
    </row>
    <row r="1679" spans="8:9" ht="12" customHeight="1">
      <c r="H1679" s="133">
        <v>-0.37683744914694994</v>
      </c>
      <c r="I1679" s="133">
        <v>3.6738168291265347E-2</v>
      </c>
    </row>
    <row r="1680" spans="8:9" ht="12" customHeight="1">
      <c r="H1680" s="133">
        <v>-0.37640972495706565</v>
      </c>
      <c r="I1680" s="133">
        <v>3.6771673983509626E-2</v>
      </c>
    </row>
    <row r="1681" spans="8:9" ht="12" customHeight="1">
      <c r="H1681" s="133">
        <v>-0.37631137167480089</v>
      </c>
      <c r="I1681" s="133">
        <v>3.6779382624178777E-2</v>
      </c>
    </row>
    <row r="1682" spans="8:9" ht="12" customHeight="1">
      <c r="H1682" s="133">
        <v>-0.37609046784673977</v>
      </c>
      <c r="I1682" s="133">
        <v>3.6796702082095116E-2</v>
      </c>
    </row>
    <row r="1683" spans="8:9" ht="12" customHeight="1">
      <c r="H1683" s="133">
        <v>-0.37559148540560872</v>
      </c>
      <c r="I1683" s="133">
        <v>3.6835852531221416E-2</v>
      </c>
    </row>
    <row r="1684" spans="8:9" ht="12" customHeight="1">
      <c r="H1684" s="133">
        <v>-0.37549544054508965</v>
      </c>
      <c r="I1684" s="133">
        <v>3.6843392862522778E-2</v>
      </c>
    </row>
    <row r="1685" spans="8:9" ht="12" customHeight="1">
      <c r="H1685" s="133">
        <v>-0.37516415015374543</v>
      </c>
      <c r="I1685" s="133">
        <v>3.6869413344154389E-2</v>
      </c>
    </row>
    <row r="1686" spans="8:9" ht="12" customHeight="1">
      <c r="H1686" s="133">
        <v>-0.37490164950928084</v>
      </c>
      <c r="I1686" s="133">
        <v>3.6890043433954064E-2</v>
      </c>
    </row>
    <row r="1687" spans="8:9" ht="12" customHeight="1">
      <c r="H1687" s="133">
        <v>-0.37432411214241024</v>
      </c>
      <c r="I1687" s="133">
        <v>3.6935471544367243E-2</v>
      </c>
    </row>
    <row r="1688" spans="8:9" ht="12" customHeight="1">
      <c r="H1688" s="133">
        <v>-0.37377919284394323</v>
      </c>
      <c r="I1688" s="133">
        <v>3.6978383294558256E-2</v>
      </c>
    </row>
    <row r="1689" spans="8:9" ht="12" customHeight="1">
      <c r="H1689" s="133">
        <v>-0.37341255367159665</v>
      </c>
      <c r="I1689" s="133">
        <v>3.7007282670929446E-2</v>
      </c>
    </row>
    <row r="1690" spans="8:9" ht="12" customHeight="1">
      <c r="H1690" s="133">
        <v>-0.37336784177644167</v>
      </c>
      <c r="I1690" s="133">
        <v>3.7010808454812721E-2</v>
      </c>
    </row>
    <row r="1691" spans="8:9" ht="12" customHeight="1">
      <c r="H1691" s="133">
        <v>-0.37297391341862252</v>
      </c>
      <c r="I1691" s="133">
        <v>3.7041885878757591E-2</v>
      </c>
    </row>
    <row r="1692" spans="8:9" ht="12" customHeight="1">
      <c r="H1692" s="133">
        <v>-0.372865269208006</v>
      </c>
      <c r="I1692" s="133">
        <v>3.7050461348626121E-2</v>
      </c>
    </row>
    <row r="1693" spans="8:9" ht="12" customHeight="1">
      <c r="H1693" s="133">
        <v>-0.37271621089006912</v>
      </c>
      <c r="I1693" s="133">
        <v>3.7062229877952685E-2</v>
      </c>
    </row>
    <row r="1694" spans="8:9" ht="12" customHeight="1">
      <c r="H1694" s="133">
        <v>-0.37165549792140062</v>
      </c>
      <c r="I1694" s="133">
        <v>3.714607968624474E-2</v>
      </c>
    </row>
    <row r="1695" spans="8:9" ht="12" customHeight="1">
      <c r="H1695" s="133">
        <v>-0.3708602161048421</v>
      </c>
      <c r="I1695" s="133">
        <v>3.7209066654493493E-2</v>
      </c>
    </row>
    <row r="1696" spans="8:9" ht="12" customHeight="1">
      <c r="H1696" s="133">
        <v>-0.37032942148878512</v>
      </c>
      <c r="I1696" s="133">
        <v>3.7251163141581244E-2</v>
      </c>
    </row>
    <row r="1697" spans="8:9" ht="12" customHeight="1">
      <c r="H1697" s="133">
        <v>-0.37013482785053953</v>
      </c>
      <c r="I1697" s="133">
        <v>3.7266607523288552E-2</v>
      </c>
    </row>
    <row r="1698" spans="8:9" ht="12" customHeight="1">
      <c r="H1698" s="133">
        <v>-0.36983446418992533</v>
      </c>
      <c r="I1698" s="133">
        <v>3.7290458675409144E-2</v>
      </c>
    </row>
    <row r="1699" spans="8:9" ht="12" customHeight="1">
      <c r="H1699" s="133">
        <v>-0.36963242224381798</v>
      </c>
      <c r="I1699" s="133">
        <v>3.7306510592102209E-2</v>
      </c>
    </row>
    <row r="1700" spans="8:9" ht="12" customHeight="1">
      <c r="H1700" s="133">
        <v>-0.36934916707541932</v>
      </c>
      <c r="I1700" s="133">
        <v>3.7329025955841012E-2</v>
      </c>
    </row>
    <row r="1701" spans="8:9" ht="12" customHeight="1">
      <c r="H1701" s="133">
        <v>-0.36897010887984338</v>
      </c>
      <c r="I1701" s="133">
        <v>3.7359176938859713E-2</v>
      </c>
    </row>
    <row r="1702" spans="8:9" ht="12" customHeight="1">
      <c r="H1702" s="133">
        <v>-0.36847048643549141</v>
      </c>
      <c r="I1702" s="133">
        <v>3.739895358455482E-2</v>
      </c>
    </row>
    <row r="1703" spans="8:9" ht="12" customHeight="1">
      <c r="H1703" s="133">
        <v>-0.36820257971924508</v>
      </c>
      <c r="I1703" s="133">
        <v>3.7420299313639285E-2</v>
      </c>
    </row>
    <row r="1704" spans="8:9" ht="12" customHeight="1">
      <c r="H1704" s="133">
        <v>-0.36687858430389569</v>
      </c>
      <c r="I1704" s="133">
        <v>3.7525961978803771E-2</v>
      </c>
    </row>
    <row r="1705" spans="8:9" ht="12" customHeight="1">
      <c r="H1705" s="133">
        <v>-0.36621929072822595</v>
      </c>
      <c r="I1705" s="133">
        <v>3.7578684386013153E-2</v>
      </c>
    </row>
    <row r="1706" spans="8:9" ht="12" customHeight="1">
      <c r="H1706" s="133">
        <v>-0.36566705839946467</v>
      </c>
      <c r="I1706" s="133">
        <v>3.7622900090513632E-2</v>
      </c>
    </row>
    <row r="1707" spans="8:9" ht="12" customHeight="1">
      <c r="H1707" s="133">
        <v>-0.36553858454710042</v>
      </c>
      <c r="I1707" s="133">
        <v>3.7633193799747694E-2</v>
      </c>
    </row>
    <row r="1708" spans="8:9" ht="12" customHeight="1">
      <c r="H1708" s="133">
        <v>-0.36553665135578867</v>
      </c>
      <c r="I1708" s="133">
        <v>3.7633348713481972E-2</v>
      </c>
    </row>
    <row r="1709" spans="8:9" ht="12" customHeight="1">
      <c r="H1709" s="133">
        <v>-0.36435397296939642</v>
      </c>
      <c r="I1709" s="133">
        <v>3.772823602412563E-2</v>
      </c>
    </row>
    <row r="1710" spans="8:9" ht="12" customHeight="1">
      <c r="H1710" s="133">
        <v>-0.36301744378804784</v>
      </c>
      <c r="I1710" s="133">
        <v>3.7835743580097739E-2</v>
      </c>
    </row>
    <row r="1711" spans="8:9" ht="12" customHeight="1">
      <c r="H1711" s="133">
        <v>-0.36200294791280507</v>
      </c>
      <c r="I1711" s="133">
        <v>3.7917543878366843E-2</v>
      </c>
    </row>
    <row r="1712" spans="8:9" ht="12" customHeight="1">
      <c r="H1712" s="133">
        <v>-0.36085036486257993</v>
      </c>
      <c r="I1712" s="133">
        <v>3.8010684488778576E-2</v>
      </c>
    </row>
    <row r="1713" spans="8:9" ht="12" customHeight="1">
      <c r="H1713" s="133">
        <v>-0.36069930629353297</v>
      </c>
      <c r="I1713" s="133">
        <v>3.8022907856694564E-2</v>
      </c>
    </row>
    <row r="1714" spans="8:9" ht="12" customHeight="1">
      <c r="H1714" s="133">
        <v>-0.36010487232636018</v>
      </c>
      <c r="I1714" s="133">
        <v>3.8071044975548751E-2</v>
      </c>
    </row>
    <row r="1715" spans="8:9" ht="12" customHeight="1">
      <c r="H1715" s="133">
        <v>-0.36000615061649255</v>
      </c>
      <c r="I1715" s="133">
        <v>3.8079045101089011E-2</v>
      </c>
    </row>
    <row r="1716" spans="8:9" ht="12" customHeight="1">
      <c r="H1716" s="133">
        <v>-0.35843702642768849</v>
      </c>
      <c r="I1716" s="133">
        <v>3.8206419420609865E-2</v>
      </c>
    </row>
    <row r="1717" spans="8:9" ht="12" customHeight="1">
      <c r="H1717" s="133">
        <v>-0.35840983135410931</v>
      </c>
      <c r="I1717" s="133">
        <v>3.8208630595207439E-2</v>
      </c>
    </row>
    <row r="1718" spans="8:9" ht="12" customHeight="1">
      <c r="H1718" s="133">
        <v>-0.35836716745363301</v>
      </c>
      <c r="I1718" s="133">
        <v>3.8212099755408395E-2</v>
      </c>
    </row>
    <row r="1719" spans="8:9" ht="12" customHeight="1">
      <c r="H1719" s="133">
        <v>-0.35821039555637413</v>
      </c>
      <c r="I1719" s="133">
        <v>3.8224850058568731E-2</v>
      </c>
    </row>
    <row r="1720" spans="8:9" ht="12" customHeight="1">
      <c r="H1720" s="133">
        <v>-0.35814543688136757</v>
      </c>
      <c r="I1720" s="133">
        <v>3.8230134363148267E-2</v>
      </c>
    </row>
    <row r="1721" spans="8:9" ht="12" customHeight="1">
      <c r="H1721" s="133">
        <v>-0.3577032704127947</v>
      </c>
      <c r="I1721" s="133">
        <v>3.8266122678865082E-2</v>
      </c>
    </row>
    <row r="1722" spans="8:9" ht="12" customHeight="1">
      <c r="H1722" s="133">
        <v>-0.35763561025752055</v>
      </c>
      <c r="I1722" s="133">
        <v>3.8271632467030116E-2</v>
      </c>
    </row>
    <row r="1723" spans="8:9" ht="12" customHeight="1">
      <c r="H1723" s="133">
        <v>-0.35759110856872589</v>
      </c>
      <c r="I1723" s="133">
        <v>3.8275256800655445E-2</v>
      </c>
    </row>
    <row r="1724" spans="8:9" ht="12" customHeight="1">
      <c r="H1724" s="133">
        <v>-0.35754882647308528</v>
      </c>
      <c r="I1724" s="133">
        <v>3.827870067014158E-2</v>
      </c>
    </row>
    <row r="1725" spans="8:9" ht="12" customHeight="1">
      <c r="H1725" s="133">
        <v>-0.35725131604683991</v>
      </c>
      <c r="I1725" s="133">
        <v>3.8302941257164082E-2</v>
      </c>
    </row>
    <row r="1726" spans="8:9" ht="12" customHeight="1">
      <c r="H1726" s="133">
        <v>-0.3569684145417189</v>
      </c>
      <c r="I1726" s="133">
        <v>3.8326005207912274E-2</v>
      </c>
    </row>
    <row r="1727" spans="8:9" ht="12" customHeight="1">
      <c r="H1727" s="133">
        <v>-0.35600438565186387</v>
      </c>
      <c r="I1727" s="133">
        <v>3.8404699224453498E-2</v>
      </c>
    </row>
    <row r="1728" spans="8:9" ht="12" customHeight="1">
      <c r="H1728" s="133">
        <v>-0.35575232463776851</v>
      </c>
      <c r="I1728" s="133">
        <v>3.8425300622977422E-2</v>
      </c>
    </row>
    <row r="1729" spans="8:9" ht="12" customHeight="1">
      <c r="H1729" s="133">
        <v>-0.3554751249923267</v>
      </c>
      <c r="I1729" s="133">
        <v>3.8447968896349556E-2</v>
      </c>
    </row>
    <row r="1730" spans="8:9" ht="12" customHeight="1">
      <c r="H1730" s="133">
        <v>-0.35473537675719446</v>
      </c>
      <c r="I1730" s="133">
        <v>3.8508525395860645E-2</v>
      </c>
    </row>
    <row r="1731" spans="8:9" ht="12" customHeight="1">
      <c r="H1731" s="133">
        <v>-0.3529268898881423</v>
      </c>
      <c r="I1731" s="133">
        <v>3.8656955621879499E-2</v>
      </c>
    </row>
    <row r="1732" spans="8:9" ht="12" customHeight="1">
      <c r="H1732" s="133">
        <v>-0.35095270650464705</v>
      </c>
      <c r="I1732" s="133">
        <v>3.8819612120643811E-2</v>
      </c>
    </row>
    <row r="1733" spans="8:9" ht="12" customHeight="1">
      <c r="H1733" s="133">
        <v>-0.35073622495801449</v>
      </c>
      <c r="I1733" s="133">
        <v>3.8837488329892103E-2</v>
      </c>
    </row>
    <row r="1734" spans="8:9" ht="12" customHeight="1">
      <c r="H1734" s="133">
        <v>-0.3507026999765791</v>
      </c>
      <c r="I1734" s="133">
        <v>3.8840257399539516E-2</v>
      </c>
    </row>
    <row r="1735" spans="8:9" ht="12" customHeight="1">
      <c r="H1735" s="133">
        <v>-0.35008775311836848</v>
      </c>
      <c r="I1735" s="133">
        <v>3.8891083910795377E-2</v>
      </c>
    </row>
    <row r="1736" spans="8:9" ht="12" customHeight="1">
      <c r="H1736" s="133">
        <v>-0.34949231651976254</v>
      </c>
      <c r="I1736" s="133">
        <v>3.8940358673829077E-2</v>
      </c>
    </row>
    <row r="1737" spans="8:9" ht="12" customHeight="1">
      <c r="H1737" s="133">
        <v>-0.34933860007786399</v>
      </c>
      <c r="I1737" s="133">
        <v>3.8953089049854311E-2</v>
      </c>
    </row>
    <row r="1738" spans="8:9" ht="12" customHeight="1">
      <c r="H1738" s="133">
        <v>-0.34923836229532512</v>
      </c>
      <c r="I1738" s="133">
        <v>3.8961392620169566E-2</v>
      </c>
    </row>
    <row r="1739" spans="8:9" ht="12" customHeight="1">
      <c r="H1739" s="133">
        <v>-0.34848860323491671</v>
      </c>
      <c r="I1739" s="133">
        <v>3.9023555586883932E-2</v>
      </c>
    </row>
    <row r="1740" spans="8:9" ht="12" customHeight="1">
      <c r="H1740" s="133">
        <v>-0.34671371533613105</v>
      </c>
      <c r="I1740" s="133">
        <v>3.9171092055761886E-2</v>
      </c>
    </row>
    <row r="1741" spans="8:9" ht="12" customHeight="1">
      <c r="H1741" s="133">
        <v>-0.34661405474237567</v>
      </c>
      <c r="I1741" s="133">
        <v>3.917939212777316E-2</v>
      </c>
    </row>
    <row r="1742" spans="8:9" ht="12" customHeight="1">
      <c r="H1742" s="133">
        <v>-0.34625511146358262</v>
      </c>
      <c r="I1742" s="133">
        <v>3.9209300122568923E-2</v>
      </c>
    </row>
    <row r="1743" spans="8:9" ht="12" customHeight="1">
      <c r="H1743" s="133">
        <v>-0.34613883821039043</v>
      </c>
      <c r="I1743" s="133">
        <v>3.9218992977358001E-2</v>
      </c>
    </row>
    <row r="1744" spans="8:9" ht="12" customHeight="1">
      <c r="H1744" s="133">
        <v>-0.34595592079700754</v>
      </c>
      <c r="I1744" s="133">
        <v>3.9234246122711702E-2</v>
      </c>
    </row>
    <row r="1745" spans="8:9" ht="12" customHeight="1">
      <c r="H1745" s="133">
        <v>-0.3450804676886885</v>
      </c>
      <c r="I1745" s="133">
        <v>3.9307327358852229E-2</v>
      </c>
    </row>
    <row r="1746" spans="8:9" ht="12" customHeight="1">
      <c r="H1746" s="133">
        <v>-0.34486415295454992</v>
      </c>
      <c r="I1746" s="133">
        <v>3.9325405025587241E-2</v>
      </c>
    </row>
    <row r="1747" spans="8:9" ht="12" customHeight="1">
      <c r="H1747" s="133">
        <v>-0.34469081738039214</v>
      </c>
      <c r="I1747" s="133">
        <v>3.9339896629761811E-2</v>
      </c>
    </row>
    <row r="1748" spans="8:9" ht="12" customHeight="1">
      <c r="H1748" s="133">
        <v>-0.34446345664056144</v>
      </c>
      <c r="I1748" s="133">
        <v>3.935891273646671E-2</v>
      </c>
    </row>
    <row r="1749" spans="8:9" ht="12" customHeight="1">
      <c r="H1749" s="133">
        <v>-0.34408021354069818</v>
      </c>
      <c r="I1749" s="133">
        <v>3.9390986561649736E-2</v>
      </c>
    </row>
    <row r="1750" spans="8:9" ht="12" customHeight="1">
      <c r="H1750" s="133">
        <v>-0.34356320378764915</v>
      </c>
      <c r="I1750" s="133">
        <v>3.943429510873396E-2</v>
      </c>
    </row>
    <row r="1751" spans="8:9" ht="12" customHeight="1">
      <c r="H1751" s="133">
        <v>-0.34339504690318595</v>
      </c>
      <c r="I1751" s="133">
        <v>3.9448391006813632E-2</v>
      </c>
    </row>
    <row r="1752" spans="8:9" ht="12" customHeight="1">
      <c r="H1752" s="133">
        <v>-0.34333190226562438</v>
      </c>
      <c r="I1752" s="133">
        <v>3.9453685409075678E-2</v>
      </c>
    </row>
    <row r="1753" spans="8:9" ht="12" customHeight="1">
      <c r="H1753" s="133">
        <v>-0.34205139841478338</v>
      </c>
      <c r="I1753" s="133">
        <v>3.9561197190246519E-2</v>
      </c>
    </row>
    <row r="1754" spans="8:9" ht="12" customHeight="1">
      <c r="H1754" s="133">
        <v>-0.34163315779228914</v>
      </c>
      <c r="I1754" s="133">
        <v>3.9596373713255195E-2</v>
      </c>
    </row>
    <row r="1755" spans="8:9" ht="12" customHeight="1">
      <c r="H1755" s="133">
        <v>-0.34111250696282042</v>
      </c>
      <c r="I1755" s="133">
        <v>3.9640205446294048E-2</v>
      </c>
    </row>
    <row r="1756" spans="8:9" ht="12" customHeight="1">
      <c r="H1756" s="133">
        <v>-0.34080223316924663</v>
      </c>
      <c r="I1756" s="133">
        <v>3.9666348405175252E-2</v>
      </c>
    </row>
    <row r="1757" spans="8:9" ht="12" customHeight="1">
      <c r="H1757" s="133">
        <v>-0.33998985816894101</v>
      </c>
      <c r="I1757" s="133">
        <v>3.9734875578455578E-2</v>
      </c>
    </row>
    <row r="1758" spans="8:9" ht="12" customHeight="1">
      <c r="H1758" s="133">
        <v>-0.33958812432441676</v>
      </c>
      <c r="I1758" s="133">
        <v>3.9768805404854904E-2</v>
      </c>
    </row>
    <row r="1759" spans="8:9" ht="12" customHeight="1">
      <c r="H1759" s="133">
        <v>-0.33942101650391637</v>
      </c>
      <c r="I1759" s="133">
        <v>3.9782927253503332E-2</v>
      </c>
    </row>
    <row r="1760" spans="8:9" ht="12" customHeight="1">
      <c r="H1760" s="133">
        <v>-0.33922491391204368</v>
      </c>
      <c r="I1760" s="133">
        <v>3.9799505505427914E-2</v>
      </c>
    </row>
    <row r="1761" spans="8:9" ht="12" customHeight="1">
      <c r="H1761" s="133">
        <v>-0.33920958060417766</v>
      </c>
      <c r="I1761" s="133">
        <v>3.9800802041950918E-2</v>
      </c>
    </row>
    <row r="1762" spans="8:9" ht="12" customHeight="1">
      <c r="H1762" s="133">
        <v>-0.33907397152100416</v>
      </c>
      <c r="I1762" s="133">
        <v>3.9812270484124349E-2</v>
      </c>
    </row>
    <row r="1763" spans="8:9" ht="12" customHeight="1">
      <c r="H1763" s="133">
        <v>-0.33675397830771059</v>
      </c>
      <c r="I1763" s="133">
        <v>4.000896329908854E-2</v>
      </c>
    </row>
    <row r="1764" spans="8:9" ht="12" customHeight="1">
      <c r="H1764" s="133">
        <v>-0.33666703561474665</v>
      </c>
      <c r="I1764" s="133">
        <v>4.0016352517641275E-2</v>
      </c>
    </row>
    <row r="1765" spans="8:9" ht="12" customHeight="1">
      <c r="H1765" s="133">
        <v>-0.33641173801482077</v>
      </c>
      <c r="I1765" s="133">
        <v>4.0038057699623979E-2</v>
      </c>
    </row>
    <row r="1766" spans="8:9" ht="12" customHeight="1">
      <c r="H1766" s="133">
        <v>-0.3359967779262506</v>
      </c>
      <c r="I1766" s="133">
        <v>4.0073361322639008E-2</v>
      </c>
    </row>
    <row r="1767" spans="8:9" ht="12" customHeight="1">
      <c r="H1767" s="133">
        <v>-0.3358485367955763</v>
      </c>
      <c r="I1767" s="133">
        <v>4.0085980486185897E-2</v>
      </c>
    </row>
    <row r="1768" spans="8:9" ht="12" customHeight="1">
      <c r="H1768" s="133">
        <v>-0.3352854331900964</v>
      </c>
      <c r="I1768" s="133">
        <v>4.0133949914653771E-2</v>
      </c>
    </row>
    <row r="1769" spans="8:9" ht="12" customHeight="1">
      <c r="H1769" s="133">
        <v>-0.33476896129722794</v>
      </c>
      <c r="I1769" s="133">
        <v>4.0177995256317434E-2</v>
      </c>
    </row>
    <row r="1770" spans="8:9" ht="12" customHeight="1">
      <c r="H1770" s="133">
        <v>-0.33451798005803113</v>
      </c>
      <c r="I1770" s="133">
        <v>4.0199415955468637E-2</v>
      </c>
    </row>
    <row r="1771" spans="8:9" ht="12" customHeight="1">
      <c r="H1771" s="133">
        <v>-0.33331586400506763</v>
      </c>
      <c r="I1771" s="133">
        <v>4.0302165727862875E-2</v>
      </c>
    </row>
    <row r="1772" spans="8:9" ht="12" customHeight="1">
      <c r="H1772" s="133">
        <v>-0.33214900644030343</v>
      </c>
      <c r="I1772" s="133">
        <v>4.0402142420661501E-2</v>
      </c>
    </row>
    <row r="1773" spans="8:9" ht="12" customHeight="1">
      <c r="H1773" s="133">
        <v>-0.33179987018003743</v>
      </c>
      <c r="I1773" s="133">
        <v>4.0432102663913581E-2</v>
      </c>
    </row>
    <row r="1774" spans="8:9" ht="12" customHeight="1">
      <c r="H1774" s="133">
        <v>-0.33001643035971651</v>
      </c>
      <c r="I1774" s="133">
        <v>4.058547631109978E-2</v>
      </c>
    </row>
    <row r="1775" spans="8:9" ht="12" customHeight="1">
      <c r="H1775" s="133">
        <v>-0.3299476611036275</v>
      </c>
      <c r="I1775" s="133">
        <v>4.0591401526443083E-2</v>
      </c>
    </row>
    <row r="1776" spans="8:9" ht="12" customHeight="1">
      <c r="H1776" s="133">
        <v>-0.32920697271754001</v>
      </c>
      <c r="I1776" s="133">
        <v>4.0655272378786404E-2</v>
      </c>
    </row>
    <row r="1777" spans="8:9" ht="12" customHeight="1">
      <c r="H1777" s="133">
        <v>-0.32828717236970595</v>
      </c>
      <c r="I1777" s="133">
        <v>4.0734722339815441E-2</v>
      </c>
    </row>
    <row r="1778" spans="8:9" ht="12" customHeight="1">
      <c r="H1778" s="133">
        <v>-0.32681580528453413</v>
      </c>
      <c r="I1778" s="133">
        <v>4.0862124408486418E-2</v>
      </c>
    </row>
    <row r="1779" spans="8:9" ht="12" customHeight="1">
      <c r="H1779" s="133">
        <v>-0.32597548191915893</v>
      </c>
      <c r="I1779" s="133">
        <v>4.093505701230362E-2</v>
      </c>
    </row>
    <row r="1780" spans="8:9" ht="12" customHeight="1">
      <c r="H1780" s="133">
        <v>-0.3248578143029065</v>
      </c>
      <c r="I1780" s="133">
        <v>4.1032253750315092E-2</v>
      </c>
    </row>
    <row r="1781" spans="8:9" ht="12" customHeight="1">
      <c r="H1781" s="133">
        <v>-0.32392611615654454</v>
      </c>
      <c r="I1781" s="133">
        <v>4.1113446653278422E-2</v>
      </c>
    </row>
    <row r="1782" spans="8:9" ht="12" customHeight="1">
      <c r="H1782" s="133">
        <v>-0.32391529152653853</v>
      </c>
      <c r="I1782" s="133">
        <v>4.1114390869519533E-2</v>
      </c>
    </row>
    <row r="1783" spans="8:9" ht="12" customHeight="1">
      <c r="H1783" s="133">
        <v>-0.32367673856339729</v>
      </c>
      <c r="I1783" s="133">
        <v>4.1135204756267189E-2</v>
      </c>
    </row>
    <row r="1784" spans="8:9" ht="12" customHeight="1">
      <c r="H1784" s="133">
        <v>-0.32356591954796099</v>
      </c>
      <c r="I1784" s="133">
        <v>4.1144877211008672E-2</v>
      </c>
    </row>
    <row r="1785" spans="8:9" ht="12" customHeight="1">
      <c r="H1785" s="133">
        <v>-0.32347344894718599</v>
      </c>
      <c r="I1785" s="133">
        <v>4.1152949853748955E-2</v>
      </c>
    </row>
    <row r="1786" spans="8:9" ht="12" customHeight="1">
      <c r="H1786" s="133">
        <v>-0.32338998389761275</v>
      </c>
      <c r="I1786" s="133">
        <v>4.1160237617439317E-2</v>
      </c>
    </row>
    <row r="1787" spans="8:9" ht="12" customHeight="1">
      <c r="H1787" s="133">
        <v>-0.32323427380752456</v>
      </c>
      <c r="I1787" s="133">
        <v>4.1173836769730375E-2</v>
      </c>
    </row>
    <row r="1788" spans="8:9" ht="12" customHeight="1">
      <c r="H1788" s="133">
        <v>-0.32223173675302741</v>
      </c>
      <c r="I1788" s="133">
        <v>4.12614977303737E-2</v>
      </c>
    </row>
    <row r="1789" spans="8:9" ht="12" customHeight="1">
      <c r="H1789" s="133">
        <v>-0.32165971249645531</v>
      </c>
      <c r="I1789" s="133">
        <v>4.131159502681131E-2</v>
      </c>
    </row>
    <row r="1790" spans="8:9" ht="12" customHeight="1">
      <c r="H1790" s="133">
        <v>-0.321125005041343</v>
      </c>
      <c r="I1790" s="133">
        <v>4.1358476784624697E-2</v>
      </c>
    </row>
    <row r="1791" spans="8:9" ht="12" customHeight="1">
      <c r="H1791" s="133">
        <v>-0.32050643142145385</v>
      </c>
      <c r="I1791" s="133">
        <v>4.1412775220334666E-2</v>
      </c>
    </row>
    <row r="1792" spans="8:9" ht="12" customHeight="1">
      <c r="H1792" s="133">
        <v>-0.31923592101445397</v>
      </c>
      <c r="I1792" s="133">
        <v>4.1524514704147614E-2</v>
      </c>
    </row>
    <row r="1793" spans="8:9" ht="12" customHeight="1">
      <c r="H1793" s="133">
        <v>-0.3183491379984823</v>
      </c>
      <c r="I1793" s="133">
        <v>4.1602676796181064E-2</v>
      </c>
    </row>
    <row r="1794" spans="8:9" ht="12" customHeight="1">
      <c r="H1794" s="133">
        <v>-0.31796501476073946</v>
      </c>
      <c r="I1794" s="133">
        <v>4.1636577535670884E-2</v>
      </c>
    </row>
    <row r="1795" spans="8:9" ht="12" customHeight="1">
      <c r="H1795" s="133">
        <v>-0.31710999756316793</v>
      </c>
      <c r="I1795" s="133">
        <v>4.171213184633038E-2</v>
      </c>
    </row>
    <row r="1796" spans="8:9" ht="12" customHeight="1">
      <c r="H1796" s="133">
        <v>-0.31511549249685833</v>
      </c>
      <c r="I1796" s="133">
        <v>4.1888888005658341E-2</v>
      </c>
    </row>
    <row r="1797" spans="8:9" ht="12" customHeight="1">
      <c r="H1797" s="133">
        <v>-0.31496336253356583</v>
      </c>
      <c r="I1797" s="133">
        <v>4.1902399362264149E-2</v>
      </c>
    </row>
    <row r="1798" spans="8:9" ht="12" customHeight="1">
      <c r="H1798" s="133">
        <v>-0.31480496002902314</v>
      </c>
      <c r="I1798" s="133">
        <v>4.1916472240659183E-2</v>
      </c>
    </row>
    <row r="1799" spans="8:9" ht="12" customHeight="1">
      <c r="H1799" s="133">
        <v>-0.31437051468848809</v>
      </c>
      <c r="I1799" s="133">
        <v>4.1955092661560202E-2</v>
      </c>
    </row>
    <row r="1800" spans="8:9" ht="12" customHeight="1">
      <c r="H1800" s="133">
        <v>-0.3130823497084263</v>
      </c>
      <c r="I1800" s="133">
        <v>4.2069805390454441E-2</v>
      </c>
    </row>
    <row r="1801" spans="8:9" ht="12" customHeight="1">
      <c r="H1801" s="133">
        <v>-0.31304553590195949</v>
      </c>
      <c r="I1801" s="133">
        <v>4.2073088110200399E-2</v>
      </c>
    </row>
    <row r="1802" spans="8:9" ht="12" customHeight="1">
      <c r="H1802" s="133">
        <v>-0.31270704034082919</v>
      </c>
      <c r="I1802" s="133">
        <v>4.2103283539839359E-2</v>
      </c>
    </row>
    <row r="1803" spans="8:9" ht="12" customHeight="1">
      <c r="H1803" s="133">
        <v>-0.31131423939082165</v>
      </c>
      <c r="I1803" s="133">
        <v>4.222774621936929E-2</v>
      </c>
    </row>
    <row r="1804" spans="8:9" ht="12" customHeight="1">
      <c r="H1804" s="133">
        <v>-0.31081004646533772</v>
      </c>
      <c r="I1804" s="133">
        <v>4.2272888263043824E-2</v>
      </c>
    </row>
    <row r="1805" spans="8:9" ht="12" customHeight="1">
      <c r="H1805" s="133">
        <v>-0.31053357242070634</v>
      </c>
      <c r="I1805" s="133">
        <v>4.2297661467927412E-2</v>
      </c>
    </row>
    <row r="1806" spans="8:9" ht="12" customHeight="1">
      <c r="H1806" s="133">
        <v>-0.31029014624972429</v>
      </c>
      <c r="I1806" s="133">
        <v>4.2319484935385676E-2</v>
      </c>
    </row>
    <row r="1807" spans="8:9" ht="12" customHeight="1">
      <c r="H1807" s="133">
        <v>-0.30979090723482522</v>
      </c>
      <c r="I1807" s="133">
        <v>4.2364276025609514E-2</v>
      </c>
    </row>
    <row r="1808" spans="8:9" ht="12" customHeight="1">
      <c r="H1808" s="133">
        <v>-0.30959284551212246</v>
      </c>
      <c r="I1808" s="133">
        <v>4.2382058422413195E-2</v>
      </c>
    </row>
    <row r="1809" spans="8:9" ht="12" customHeight="1">
      <c r="H1809" s="133">
        <v>-0.30927773188550212</v>
      </c>
      <c r="I1809" s="133">
        <v>4.2410364688978831E-2</v>
      </c>
    </row>
    <row r="1810" spans="8:9" ht="12" customHeight="1">
      <c r="H1810" s="133">
        <v>-0.30767027923251733</v>
      </c>
      <c r="I1810" s="133">
        <v>4.2555041549427644E-2</v>
      </c>
    </row>
    <row r="1811" spans="8:9" ht="12" customHeight="1">
      <c r="H1811" s="133">
        <v>-0.30760081742496681</v>
      </c>
      <c r="I1811" s="133">
        <v>4.2561303995035361E-2</v>
      </c>
    </row>
    <row r="1812" spans="8:9" ht="12" customHeight="1">
      <c r="H1812" s="133">
        <v>-0.30713338833472048</v>
      </c>
      <c r="I1812" s="133">
        <v>4.260346875474752E-2</v>
      </c>
    </row>
    <row r="1813" spans="8:9" ht="12" customHeight="1">
      <c r="H1813" s="133">
        <v>-0.30645126213425777</v>
      </c>
      <c r="I1813" s="133">
        <v>4.2665072042179016E-2</v>
      </c>
    </row>
    <row r="1814" spans="8:9" ht="12" customHeight="1">
      <c r="H1814" s="133">
        <v>-0.30620798710029734</v>
      </c>
      <c r="I1814" s="133">
        <v>4.268706296020551E-2</v>
      </c>
    </row>
    <row r="1815" spans="8:9" ht="12" customHeight="1">
      <c r="H1815" s="133">
        <v>-0.3044464114512494</v>
      </c>
      <c r="I1815" s="133">
        <v>4.2846624517533113E-2</v>
      </c>
    </row>
    <row r="1816" spans="8:9" ht="12" customHeight="1">
      <c r="H1816" s="133">
        <v>-0.30424556286411192</v>
      </c>
      <c r="I1816" s="133">
        <v>4.2864853300721241E-2</v>
      </c>
    </row>
    <row r="1817" spans="8:9" ht="12" customHeight="1">
      <c r="H1817" s="133">
        <v>-0.30389605319529867</v>
      </c>
      <c r="I1817" s="133">
        <v>4.2896592053205861E-2</v>
      </c>
    </row>
    <row r="1818" spans="8:9" ht="12" customHeight="1">
      <c r="H1818" s="133">
        <v>-0.30334383175412033</v>
      </c>
      <c r="I1818" s="133">
        <v>4.2946784689507696E-2</v>
      </c>
    </row>
    <row r="1819" spans="8:9" ht="12" customHeight="1">
      <c r="H1819" s="133">
        <v>-0.30330553740499816</v>
      </c>
      <c r="I1819" s="133">
        <v>4.2950267427231077E-2</v>
      </c>
    </row>
    <row r="1820" spans="8:9" ht="12" customHeight="1">
      <c r="H1820" s="133">
        <v>-0.30324191081173046</v>
      </c>
      <c r="I1820" s="133">
        <v>4.2956054640815367E-2</v>
      </c>
    </row>
    <row r="1821" spans="8:9" ht="12" customHeight="1">
      <c r="H1821" s="133">
        <v>-0.30193659854731913</v>
      </c>
      <c r="I1821" s="133">
        <v>4.3074944975240247E-2</v>
      </c>
    </row>
    <row r="1822" spans="8:9" ht="12" customHeight="1">
      <c r="H1822" s="133">
        <v>-0.30168053115083282</v>
      </c>
      <c r="I1822" s="133">
        <v>4.3098304924465675E-2</v>
      </c>
    </row>
    <row r="1823" spans="8:9" ht="12" customHeight="1">
      <c r="H1823" s="133">
        <v>-0.30012810639566861</v>
      </c>
      <c r="I1823" s="133">
        <v>4.3240185284960431E-2</v>
      </c>
    </row>
    <row r="1824" spans="8:9" ht="12" customHeight="1">
      <c r="H1824" s="133">
        <v>-0.29971761782398343</v>
      </c>
      <c r="I1824" s="133">
        <v>4.3277775450221455E-2</v>
      </c>
    </row>
    <row r="1825" spans="8:9" ht="12" customHeight="1">
      <c r="H1825" s="133">
        <v>-0.29915705988445174</v>
      </c>
      <c r="I1825" s="133">
        <v>4.3329158496168863E-2</v>
      </c>
    </row>
    <row r="1826" spans="8:9" ht="12" customHeight="1">
      <c r="H1826" s="133">
        <v>-0.29775027557880823</v>
      </c>
      <c r="I1826" s="133">
        <v>4.3458366745540239E-2</v>
      </c>
    </row>
    <row r="1827" spans="8:9" ht="12" customHeight="1">
      <c r="H1827" s="133">
        <v>-0.29697191974000964</v>
      </c>
      <c r="I1827" s="133">
        <v>4.353001398705459E-2</v>
      </c>
    </row>
    <row r="1828" spans="8:9" ht="12" customHeight="1">
      <c r="H1828" s="133">
        <v>-0.29686215422573892</v>
      </c>
      <c r="I1828" s="133">
        <v>4.3540126910838188E-2</v>
      </c>
    </row>
    <row r="1829" spans="8:9" ht="12" customHeight="1">
      <c r="H1829" s="133">
        <v>-0.29640773721426339</v>
      </c>
      <c r="I1829" s="133">
        <v>4.3582017152887412E-2</v>
      </c>
    </row>
    <row r="1830" spans="8:9" ht="12" customHeight="1">
      <c r="H1830" s="133">
        <v>-0.29607550057214793</v>
      </c>
      <c r="I1830" s="133">
        <v>4.3612668588782946E-2</v>
      </c>
    </row>
    <row r="1831" spans="8:9" ht="12" customHeight="1">
      <c r="H1831" s="133">
        <v>-0.29598473458274926</v>
      </c>
      <c r="I1831" s="133">
        <v>4.3621046040730145E-2</v>
      </c>
    </row>
    <row r="1832" spans="8:9" ht="12" customHeight="1">
      <c r="H1832" s="133">
        <v>-0.29498438633352375</v>
      </c>
      <c r="I1832" s="133">
        <v>4.3713477234143275E-2</v>
      </c>
    </row>
    <row r="1833" spans="8:9" ht="12" customHeight="1">
      <c r="H1833" s="133">
        <v>-0.29491175822007376</v>
      </c>
      <c r="I1833" s="133">
        <v>4.3720195273048663E-2</v>
      </c>
    </row>
    <row r="1834" spans="8:9" ht="12" customHeight="1">
      <c r="H1834" s="133">
        <v>-0.2943237134257789</v>
      </c>
      <c r="I1834" s="133">
        <v>4.3774625211938992E-2</v>
      </c>
    </row>
    <row r="1835" spans="8:9" ht="12" customHeight="1">
      <c r="H1835" s="133">
        <v>-0.29405226483710234</v>
      </c>
      <c r="I1835" s="133">
        <v>4.3799772537901488E-2</v>
      </c>
    </row>
    <row r="1836" spans="8:9" ht="12" customHeight="1">
      <c r="H1836" s="133">
        <v>-0.29396563544795978</v>
      </c>
      <c r="I1836" s="133">
        <v>4.3807800890600178E-2</v>
      </c>
    </row>
    <row r="1837" spans="8:9" ht="12" customHeight="1">
      <c r="H1837" s="133">
        <v>-0.29376440410116744</v>
      </c>
      <c r="I1837" s="133">
        <v>4.3826455364889175E-2</v>
      </c>
    </row>
    <row r="1838" spans="8:9" ht="12" customHeight="1">
      <c r="H1838" s="133">
        <v>-0.29360007632790353</v>
      </c>
      <c r="I1838" s="133">
        <v>4.3841694439372289E-2</v>
      </c>
    </row>
    <row r="1839" spans="8:9" ht="12" customHeight="1">
      <c r="H1839" s="133">
        <v>-0.29302429407001718</v>
      </c>
      <c r="I1839" s="133">
        <v>4.3895129994627829E-2</v>
      </c>
    </row>
    <row r="1840" spans="8:9" ht="12" customHeight="1">
      <c r="H1840" s="133">
        <v>-0.29241861264115077</v>
      </c>
      <c r="I1840" s="133">
        <v>4.3951407406836979E-2</v>
      </c>
    </row>
    <row r="1841" spans="8:9" ht="12" customHeight="1">
      <c r="H1841" s="133">
        <v>-0.29240001460265302</v>
      </c>
      <c r="I1841" s="133">
        <v>4.3953136548452162E-2</v>
      </c>
    </row>
    <row r="1842" spans="8:9" ht="12" customHeight="1">
      <c r="H1842" s="133">
        <v>-0.29238693287370865</v>
      </c>
      <c r="I1842" s="133">
        <v>4.3954352853333767E-2</v>
      </c>
    </row>
    <row r="1843" spans="8:9" ht="12" customHeight="1">
      <c r="H1843" s="133">
        <v>-0.291539893907799</v>
      </c>
      <c r="I1843" s="133">
        <v>4.4033176704380013E-2</v>
      </c>
    </row>
    <row r="1844" spans="8:9" ht="12" customHeight="1">
      <c r="H1844" s="133">
        <v>-0.28881274779817112</v>
      </c>
      <c r="I1844" s="133">
        <v>4.4287876724500977E-2</v>
      </c>
    </row>
    <row r="1845" spans="8:9" ht="12" customHeight="1">
      <c r="H1845" s="133">
        <v>-0.28875182523347565</v>
      </c>
      <c r="I1845" s="133">
        <v>4.4293582561072513E-2</v>
      </c>
    </row>
    <row r="1846" spans="8:9" ht="12" customHeight="1">
      <c r="H1846" s="133">
        <v>-0.28874895417417068</v>
      </c>
      <c r="I1846" s="133">
        <v>4.4293851473732618E-2</v>
      </c>
    </row>
    <row r="1847" spans="8:9" ht="12" customHeight="1">
      <c r="H1847" s="133">
        <v>-0.28823350210233306</v>
      </c>
      <c r="I1847" s="133">
        <v>4.4342155614192615E-2</v>
      </c>
    </row>
    <row r="1848" spans="8:9" ht="12" customHeight="1">
      <c r="H1848" s="133">
        <v>-0.28805481438636144</v>
      </c>
      <c r="I1848" s="133">
        <v>4.4358912553076807E-2</v>
      </c>
    </row>
    <row r="1849" spans="8:9" ht="12" customHeight="1">
      <c r="H1849" s="133">
        <v>-0.28803022557968455</v>
      </c>
      <c r="I1849" s="133">
        <v>4.4361218909589127E-2</v>
      </c>
    </row>
    <row r="1850" spans="8:9" ht="12" customHeight="1">
      <c r="H1850" s="133">
        <v>-0.28790037327613849</v>
      </c>
      <c r="I1850" s="133">
        <v>4.4373400563771682E-2</v>
      </c>
    </row>
    <row r="1851" spans="8:9" ht="12" customHeight="1">
      <c r="H1851" s="133">
        <v>-0.28698471563994049</v>
      </c>
      <c r="I1851" s="133">
        <v>4.4459390477040568E-2</v>
      </c>
    </row>
    <row r="1852" spans="8:9" ht="12" customHeight="1">
      <c r="H1852" s="133">
        <v>-0.28687528341331614</v>
      </c>
      <c r="I1852" s="133">
        <v>4.4469677940598522E-2</v>
      </c>
    </row>
    <row r="1853" spans="8:9" ht="12" customHeight="1">
      <c r="H1853" s="133">
        <v>-0.28630844418453594</v>
      </c>
      <c r="I1853" s="133">
        <v>4.4523001484931019E-2</v>
      </c>
    </row>
    <row r="1854" spans="8:9" ht="12" customHeight="1">
      <c r="H1854" s="133">
        <v>-0.28607347329781452</v>
      </c>
      <c r="I1854" s="133">
        <v>4.4545123469642192E-2</v>
      </c>
    </row>
    <row r="1855" spans="8:9" ht="12" customHeight="1">
      <c r="H1855" s="133">
        <v>-0.28603328833211367</v>
      </c>
      <c r="I1855" s="133">
        <v>4.454890784368612E-2</v>
      </c>
    </row>
    <row r="1856" spans="8:9" ht="12" customHeight="1">
      <c r="H1856" s="133">
        <v>-0.28546212223171707</v>
      </c>
      <c r="I1856" s="133">
        <v>4.4602729920221199E-2</v>
      </c>
    </row>
    <row r="1857" spans="8:9" ht="12" customHeight="1">
      <c r="H1857" s="133">
        <v>-0.28500961900989408</v>
      </c>
      <c r="I1857" s="133">
        <v>4.4645414170143095E-2</v>
      </c>
    </row>
    <row r="1858" spans="8:9" ht="12" customHeight="1">
      <c r="H1858" s="133">
        <v>-0.284746349198784</v>
      </c>
      <c r="I1858" s="133">
        <v>4.467026610618282E-2</v>
      </c>
    </row>
    <row r="1859" spans="8:9" ht="12" customHeight="1">
      <c r="H1859" s="133">
        <v>-0.28448940097016862</v>
      </c>
      <c r="I1859" s="133">
        <v>4.4694534017928444E-2</v>
      </c>
    </row>
    <row r="1860" spans="8:9" ht="12" customHeight="1">
      <c r="H1860" s="133">
        <v>-0.28448863176039607</v>
      </c>
      <c r="I1860" s="133">
        <v>4.4694606686115197E-2</v>
      </c>
    </row>
    <row r="1861" spans="8:9" ht="12" customHeight="1">
      <c r="H1861" s="133">
        <v>-0.28401215631797994</v>
      </c>
      <c r="I1861" s="133">
        <v>4.4739641550811851E-2</v>
      </c>
    </row>
    <row r="1862" spans="8:9" ht="12" customHeight="1">
      <c r="H1862" s="133">
        <v>-0.28384663953532824</v>
      </c>
      <c r="I1862" s="133">
        <v>4.4755295763092409E-2</v>
      </c>
    </row>
    <row r="1863" spans="8:9" ht="12" customHeight="1">
      <c r="H1863" s="133">
        <v>-0.28353308285875023</v>
      </c>
      <c r="I1863" s="133">
        <v>4.4784965576221553E-2</v>
      </c>
    </row>
    <row r="1864" spans="8:9" ht="12" customHeight="1">
      <c r="H1864" s="133">
        <v>-0.2825003634042868</v>
      </c>
      <c r="I1864" s="133">
        <v>4.4882817654261477E-2</v>
      </c>
    </row>
    <row r="1865" spans="8:9" ht="12" customHeight="1">
      <c r="H1865" s="133">
        <v>-0.28233789095978928</v>
      </c>
      <c r="I1865" s="133">
        <v>4.4898230756486947E-2</v>
      </c>
    </row>
    <row r="1866" spans="8:9" ht="12" customHeight="1">
      <c r="H1866" s="133">
        <v>-0.28149976766239798</v>
      </c>
      <c r="I1866" s="133">
        <v>4.4977820272287868E-2</v>
      </c>
    </row>
    <row r="1867" spans="8:9" ht="12" customHeight="1">
      <c r="H1867" s="133">
        <v>-0.28119353397591368</v>
      </c>
      <c r="I1867" s="133">
        <v>4.5006934229812945E-2</v>
      </c>
    </row>
    <row r="1868" spans="8:9" ht="12" customHeight="1">
      <c r="H1868" s="133">
        <v>-0.28027223143614499</v>
      </c>
      <c r="I1868" s="133">
        <v>4.5094631742383623E-2</v>
      </c>
    </row>
    <row r="1869" spans="8:9" ht="12" customHeight="1">
      <c r="H1869" s="133">
        <v>-0.27983133568688262</v>
      </c>
      <c r="I1869" s="133">
        <v>4.5136657576761663E-2</v>
      </c>
    </row>
    <row r="1870" spans="8:9" ht="12" customHeight="1">
      <c r="H1870" s="133">
        <v>-0.27981680600550479</v>
      </c>
      <c r="I1870" s="133">
        <v>4.5138043169427218E-2</v>
      </c>
    </row>
    <row r="1871" spans="8:9" ht="12" customHeight="1">
      <c r="H1871" s="133">
        <v>-0.27905893392166098</v>
      </c>
      <c r="I1871" s="133">
        <v>4.5210372263476101E-2</v>
      </c>
    </row>
    <row r="1872" spans="8:9" ht="12" customHeight="1">
      <c r="H1872" s="133">
        <v>-0.27863880951595243</v>
      </c>
      <c r="I1872" s="133">
        <v>4.5250515262305932E-2</v>
      </c>
    </row>
    <row r="1873" spans="8:9" ht="12" customHeight="1">
      <c r="H1873" s="133">
        <v>-0.27831369449686127</v>
      </c>
      <c r="I1873" s="133">
        <v>4.5281603391220109E-2</v>
      </c>
    </row>
    <row r="1874" spans="8:9" ht="12" customHeight="1">
      <c r="H1874" s="133">
        <v>-0.27804209016098314</v>
      </c>
      <c r="I1874" s="133">
        <v>4.5307590321656398E-2</v>
      </c>
    </row>
    <row r="1875" spans="8:9" ht="12" customHeight="1">
      <c r="H1875" s="133">
        <v>-0.2778937461271942</v>
      </c>
      <c r="I1875" s="133">
        <v>4.5321789782423835E-2</v>
      </c>
    </row>
    <row r="1876" spans="8:9" ht="12" customHeight="1">
      <c r="H1876" s="133">
        <v>-0.27789241335184633</v>
      </c>
      <c r="I1876" s="133">
        <v>4.532191737462013E-2</v>
      </c>
    </row>
    <row r="1877" spans="8:9" ht="12" customHeight="1">
      <c r="H1877" s="133">
        <v>-0.27740258362787584</v>
      </c>
      <c r="I1877" s="133">
        <v>4.5368834014529104E-2</v>
      </c>
    </row>
    <row r="1878" spans="8:9" ht="12" customHeight="1">
      <c r="H1878" s="133">
        <v>-0.27700098123809513</v>
      </c>
      <c r="I1878" s="133">
        <v>4.5407334613410961E-2</v>
      </c>
    </row>
    <row r="1879" spans="8:9" ht="12" customHeight="1">
      <c r="H1879" s="133">
        <v>-0.27684429517886627</v>
      </c>
      <c r="I1879" s="133">
        <v>4.5422364144253859E-2</v>
      </c>
    </row>
    <row r="1880" spans="8:9" ht="12" customHeight="1">
      <c r="H1880" s="133">
        <v>-0.27671786441126145</v>
      </c>
      <c r="I1880" s="133">
        <v>4.5434495001984244E-2</v>
      </c>
    </row>
    <row r="1881" spans="8:9" ht="12" customHeight="1">
      <c r="H1881" s="133">
        <v>-0.27622099136789935</v>
      </c>
      <c r="I1881" s="133">
        <v>4.5482199182508926E-2</v>
      </c>
    </row>
    <row r="1882" spans="8:9" ht="12" customHeight="1">
      <c r="H1882" s="133">
        <v>-0.27573523594620103</v>
      </c>
      <c r="I1882" s="133">
        <v>4.5528882082593668E-2</v>
      </c>
    </row>
    <row r="1883" spans="8:9" ht="12" customHeight="1">
      <c r="H1883" s="133">
        <v>-0.27558523137508995</v>
      </c>
      <c r="I1883" s="133">
        <v>4.5543307297718209E-2</v>
      </c>
    </row>
    <row r="1884" spans="8:9" ht="12" customHeight="1">
      <c r="H1884" s="133">
        <v>-0.27548821448771688</v>
      </c>
      <c r="I1884" s="133">
        <v>4.5552639260856127E-2</v>
      </c>
    </row>
    <row r="1885" spans="8:9" ht="12" customHeight="1">
      <c r="H1885" s="133">
        <v>-0.27521801371210097</v>
      </c>
      <c r="I1885" s="133">
        <v>4.5578639217933009E-2</v>
      </c>
    </row>
    <row r="1886" spans="8:9" ht="12" customHeight="1">
      <c r="H1886" s="133">
        <v>-0.27324026441328875</v>
      </c>
      <c r="I1886" s="133">
        <v>4.5769378013498216E-2</v>
      </c>
    </row>
    <row r="1887" spans="8:9" ht="12" customHeight="1">
      <c r="H1887" s="133">
        <v>-0.27322093482354892</v>
      </c>
      <c r="I1887" s="133">
        <v>4.5771245949320284E-2</v>
      </c>
    </row>
    <row r="1888" spans="8:9" ht="12" customHeight="1">
      <c r="H1888" s="133">
        <v>-0.27321310588551639</v>
      </c>
      <c r="I1888" s="133">
        <v>4.5772002527869678E-2</v>
      </c>
    </row>
    <row r="1889" spans="8:9" ht="12" customHeight="1">
      <c r="H1889" s="133">
        <v>-0.2731238420453298</v>
      </c>
      <c r="I1889" s="133">
        <v>4.5780629712927026E-2</v>
      </c>
    </row>
    <row r="1890" spans="8:9" ht="12" customHeight="1">
      <c r="H1890" s="133">
        <v>-0.2725199120603351</v>
      </c>
      <c r="I1890" s="133">
        <v>4.5839039108510553E-2</v>
      </c>
    </row>
    <row r="1891" spans="8:9" ht="12" customHeight="1">
      <c r="H1891" s="133">
        <v>-0.27229564421330943</v>
      </c>
      <c r="I1891" s="133">
        <v>4.5860747345566305E-2</v>
      </c>
    </row>
    <row r="1892" spans="8:9" ht="12" customHeight="1">
      <c r="H1892" s="133">
        <v>-0.27213130660037299</v>
      </c>
      <c r="I1892" s="133">
        <v>4.5876660786592124E-2</v>
      </c>
    </row>
    <row r="1893" spans="8:9" ht="12" customHeight="1">
      <c r="H1893" s="133">
        <v>-0.27208530778385936</v>
      </c>
      <c r="I1893" s="133">
        <v>4.5881115969793128E-2</v>
      </c>
    </row>
    <row r="1894" spans="8:9" ht="12" customHeight="1">
      <c r="H1894" s="133">
        <v>-0.27199834321385796</v>
      </c>
      <c r="I1894" s="133">
        <v>4.5889539987768055E-2</v>
      </c>
    </row>
    <row r="1895" spans="8:9" ht="12" customHeight="1">
      <c r="H1895" s="133">
        <v>-0.2715846373333542</v>
      </c>
      <c r="I1895" s="133">
        <v>4.592963470049688E-2</v>
      </c>
    </row>
    <row r="1896" spans="8:9" ht="12" customHeight="1">
      <c r="H1896" s="133">
        <v>-0.27023865023466953</v>
      </c>
      <c r="I1896" s="133">
        <v>4.6060313211086425E-2</v>
      </c>
    </row>
    <row r="1897" spans="8:9" ht="12" customHeight="1">
      <c r="H1897" s="133">
        <v>-0.26998692503804234</v>
      </c>
      <c r="I1897" s="133">
        <v>4.6084791824590708E-2</v>
      </c>
    </row>
    <row r="1898" spans="8:9" ht="12" customHeight="1">
      <c r="H1898" s="133">
        <v>-0.26988890752929551</v>
      </c>
      <c r="I1898" s="133">
        <v>4.6094326728784808E-2</v>
      </c>
    </row>
    <row r="1899" spans="8:9" ht="12" customHeight="1">
      <c r="H1899" s="133">
        <v>-0.26932473901099907</v>
      </c>
      <c r="I1899" s="133">
        <v>4.6149244178104877E-2</v>
      </c>
    </row>
    <row r="1900" spans="8:9" ht="12" customHeight="1">
      <c r="H1900" s="133">
        <v>-0.26932217516296658</v>
      </c>
      <c r="I1900" s="133">
        <v>4.6149493890980588E-2</v>
      </c>
    </row>
    <row r="1901" spans="8:9" ht="12" customHeight="1">
      <c r="H1901" s="133">
        <v>-0.26921912511559076</v>
      </c>
      <c r="I1901" s="133">
        <v>4.6159531792078289E-2</v>
      </c>
    </row>
    <row r="1902" spans="8:9" ht="12" customHeight="1">
      <c r="H1902" s="133">
        <v>-0.26826648318213953</v>
      </c>
      <c r="I1902" s="133">
        <v>4.6252425188021168E-2</v>
      </c>
    </row>
    <row r="1903" spans="8:9" ht="12" customHeight="1">
      <c r="H1903" s="133">
        <v>-0.26817856056113515</v>
      </c>
      <c r="I1903" s="133">
        <v>4.6261007601530589E-2</v>
      </c>
    </row>
    <row r="1904" spans="8:9" ht="12" customHeight="1">
      <c r="H1904" s="133">
        <v>-0.2674786265987853</v>
      </c>
      <c r="I1904" s="133">
        <v>4.632938450147743E-2</v>
      </c>
    </row>
    <row r="1905" spans="8:9" ht="12" customHeight="1">
      <c r="H1905" s="133">
        <v>-0.26699763029612211</v>
      </c>
      <c r="I1905" s="133">
        <v>4.6376429004274383E-2</v>
      </c>
    </row>
    <row r="1906" spans="8:9" ht="12" customHeight="1">
      <c r="H1906" s="133">
        <v>-0.26676760636150698</v>
      </c>
      <c r="I1906" s="133">
        <v>4.639894287126093E-2</v>
      </c>
    </row>
    <row r="1907" spans="8:9" ht="12" customHeight="1">
      <c r="H1907" s="133">
        <v>-0.26668491266007349</v>
      </c>
      <c r="I1907" s="133">
        <v>4.6407039156555273E-2</v>
      </c>
    </row>
    <row r="1908" spans="8:9" ht="12" customHeight="1">
      <c r="H1908" s="133">
        <v>-0.26656246218065199</v>
      </c>
      <c r="I1908" s="133">
        <v>4.6419030373965303E-2</v>
      </c>
    </row>
    <row r="1909" spans="8:9" ht="12" customHeight="1">
      <c r="H1909" s="133">
        <v>-0.266539523443453</v>
      </c>
      <c r="I1909" s="133">
        <v>4.6421277025212607E-2</v>
      </c>
    </row>
    <row r="1910" spans="8:9" ht="12" customHeight="1">
      <c r="H1910" s="133">
        <v>-0.26573822975917494</v>
      </c>
      <c r="I1910" s="133">
        <v>4.649982177224684E-2</v>
      </c>
    </row>
    <row r="1911" spans="8:9" ht="12" customHeight="1">
      <c r="H1911" s="133">
        <v>-0.26492723560505221</v>
      </c>
      <c r="I1911" s="133">
        <v>4.6579446094346576E-2</v>
      </c>
    </row>
    <row r="1912" spans="8:9" ht="12" customHeight="1">
      <c r="H1912" s="133">
        <v>-0.26457583996202849</v>
      </c>
      <c r="I1912" s="133">
        <v>4.6613986769968759E-2</v>
      </c>
    </row>
    <row r="1913" spans="8:9" ht="12" customHeight="1">
      <c r="H1913" s="133">
        <v>-0.26405506950364732</v>
      </c>
      <c r="I1913" s="133">
        <v>4.6665221066357621E-2</v>
      </c>
    </row>
    <row r="1914" spans="8:9" ht="12" customHeight="1">
      <c r="H1914" s="133">
        <v>-0.26390955940269989</v>
      </c>
      <c r="I1914" s="133">
        <v>4.6679546171283781E-2</v>
      </c>
    </row>
    <row r="1915" spans="8:9" ht="12" customHeight="1">
      <c r="H1915" s="133">
        <v>-0.26382733512371764</v>
      </c>
      <c r="I1915" s="133">
        <v>4.6687642794790811E-2</v>
      </c>
    </row>
    <row r="1916" spans="8:9" ht="12" customHeight="1">
      <c r="H1916" s="133">
        <v>-0.26324175043331544</v>
      </c>
      <c r="I1916" s="133">
        <v>4.6745343948164361E-2</v>
      </c>
    </row>
    <row r="1917" spans="8:9" ht="12" customHeight="1">
      <c r="H1917" s="133">
        <v>-0.26317202280819529</v>
      </c>
      <c r="I1917" s="133">
        <v>4.67522191437173E-2</v>
      </c>
    </row>
    <row r="1918" spans="8:9" ht="12" customHeight="1">
      <c r="H1918" s="133">
        <v>-0.26303084353007</v>
      </c>
      <c r="I1918" s="133">
        <v>4.6766142469869647E-2</v>
      </c>
    </row>
    <row r="1919" spans="8:9" ht="12" customHeight="1">
      <c r="H1919" s="133">
        <v>-0.26290715769297973</v>
      </c>
      <c r="I1919" s="133">
        <v>4.6778343805295143E-2</v>
      </c>
    </row>
    <row r="1920" spans="8:9" ht="12" customHeight="1">
      <c r="H1920" s="133">
        <v>-0.26143307095733936</v>
      </c>
      <c r="I1920" s="133">
        <v>4.6923992422474588E-2</v>
      </c>
    </row>
    <row r="1921" spans="8:9" ht="12" customHeight="1">
      <c r="H1921" s="133">
        <v>-0.26140297342483865</v>
      </c>
      <c r="I1921" s="133">
        <v>4.692697072634619E-2</v>
      </c>
    </row>
    <row r="1922" spans="8:9" ht="12" customHeight="1">
      <c r="H1922" s="133">
        <v>-0.26045464749479719</v>
      </c>
      <c r="I1922" s="133">
        <v>4.7020904495546731E-2</v>
      </c>
    </row>
    <row r="1923" spans="8:9" ht="12" customHeight="1">
      <c r="H1923" s="133">
        <v>-0.26043207273090474</v>
      </c>
      <c r="I1923" s="133">
        <v>4.7023142752351879E-2</v>
      </c>
    </row>
    <row r="1924" spans="8:9" ht="12" customHeight="1">
      <c r="H1924" s="133">
        <v>-0.26014359576819274</v>
      </c>
      <c r="I1924" s="133">
        <v>4.7051753765031588E-2</v>
      </c>
    </row>
    <row r="1925" spans="8:9" ht="12" customHeight="1">
      <c r="H1925" s="133">
        <v>-0.2597452531385151</v>
      </c>
      <c r="I1925" s="133">
        <v>4.7091288407720235E-2</v>
      </c>
    </row>
    <row r="1926" spans="8:9" ht="12" customHeight="1">
      <c r="H1926" s="133">
        <v>-0.25833775626735977</v>
      </c>
      <c r="I1926" s="133">
        <v>4.7231232465172419E-2</v>
      </c>
    </row>
    <row r="1927" spans="8:9" ht="12" customHeight="1">
      <c r="H1927" s="133">
        <v>-0.25607530757303965</v>
      </c>
      <c r="I1927" s="133">
        <v>4.7457010967918718E-2</v>
      </c>
    </row>
    <row r="1928" spans="8:9" ht="12" customHeight="1">
      <c r="H1928" s="133">
        <v>-0.2560511233437065</v>
      </c>
      <c r="I1928" s="133">
        <v>4.7459429936639881E-2</v>
      </c>
    </row>
    <row r="1929" spans="8:9" ht="12" customHeight="1">
      <c r="H1929" s="133">
        <v>-0.25600755199575886</v>
      </c>
      <c r="I1929" s="133">
        <v>4.7463788350427964E-2</v>
      </c>
    </row>
    <row r="1930" spans="8:9" ht="12" customHeight="1">
      <c r="H1930" s="133">
        <v>-0.2559564662198176</v>
      </c>
      <c r="I1930" s="133">
        <v>4.7468898911941858E-2</v>
      </c>
    </row>
    <row r="1931" spans="8:9" ht="12" customHeight="1">
      <c r="H1931" s="133">
        <v>-0.25572035300419732</v>
      </c>
      <c r="I1931" s="133">
        <v>4.7492526196464151E-2</v>
      </c>
    </row>
    <row r="1932" spans="8:9" ht="12" customHeight="1">
      <c r="H1932" s="133">
        <v>-0.25569538548631876</v>
      </c>
      <c r="I1932" s="133">
        <v>4.7495025289397627E-2</v>
      </c>
    </row>
    <row r="1933" spans="8:9" ht="12" customHeight="1">
      <c r="H1933" s="133">
        <v>-0.25545287738029177</v>
      </c>
      <c r="I1933" s="133">
        <v>4.751930534086863E-2</v>
      </c>
    </row>
    <row r="1934" spans="8:9" ht="12" customHeight="1">
      <c r="H1934" s="133">
        <v>-0.25453087862551399</v>
      </c>
      <c r="I1934" s="133">
        <v>4.7611724078956343E-2</v>
      </c>
    </row>
    <row r="1935" spans="8:9" ht="12" customHeight="1">
      <c r="H1935" s="133">
        <v>-0.25443520470665221</v>
      </c>
      <c r="I1935" s="133">
        <v>4.762132395488277E-2</v>
      </c>
    </row>
    <row r="1936" spans="8:9" ht="12" customHeight="1">
      <c r="H1936" s="133">
        <v>-0.25427542046028306</v>
      </c>
      <c r="I1936" s="133">
        <v>4.7637360730899733E-2</v>
      </c>
    </row>
    <row r="1937" spans="8:9" ht="12" customHeight="1">
      <c r="H1937" s="133">
        <v>-0.25402399813265364</v>
      </c>
      <c r="I1937" s="133">
        <v>4.7662605168159566E-2</v>
      </c>
    </row>
    <row r="1938" spans="8:9" ht="12" customHeight="1">
      <c r="H1938" s="133">
        <v>-0.2534028995398504</v>
      </c>
      <c r="I1938" s="133">
        <v>4.7725021991130455E-2</v>
      </c>
    </row>
    <row r="1939" spans="8:9" ht="12" customHeight="1">
      <c r="H1939" s="133">
        <v>-0.2527046517631113</v>
      </c>
      <c r="I1939" s="133">
        <v>4.7795284566969E-2</v>
      </c>
    </row>
    <row r="1940" spans="8:9" ht="12" customHeight="1">
      <c r="H1940" s="133">
        <v>-0.25242162000966695</v>
      </c>
      <c r="I1940" s="133">
        <v>4.7823793177343171E-2</v>
      </c>
    </row>
    <row r="1941" spans="8:9" ht="12" customHeight="1">
      <c r="H1941" s="133">
        <v>-0.25116847478355797</v>
      </c>
      <c r="I1941" s="133">
        <v>4.7950211442626046E-2</v>
      </c>
    </row>
    <row r="1942" spans="8:9" ht="12" customHeight="1">
      <c r="H1942" s="133">
        <v>-0.25090741188350663</v>
      </c>
      <c r="I1942" s="133">
        <v>4.7976587584320697E-2</v>
      </c>
    </row>
    <row r="1943" spans="8:9" ht="12" customHeight="1">
      <c r="H1943" s="133">
        <v>-0.2508683105284506</v>
      </c>
      <c r="I1943" s="133">
        <v>4.7980539323686379E-2</v>
      </c>
    </row>
    <row r="1944" spans="8:9" ht="12" customHeight="1">
      <c r="H1944" s="133">
        <v>-0.24962141271340105</v>
      </c>
      <c r="I1944" s="133">
        <v>4.8106718006722227E-2</v>
      </c>
    </row>
    <row r="1945" spans="8:9" ht="12" customHeight="1">
      <c r="H1945" s="133">
        <v>-0.24885554570789103</v>
      </c>
      <c r="I1945" s="133">
        <v>4.8184375337014196E-2</v>
      </c>
    </row>
    <row r="1946" spans="8:9" ht="12" customHeight="1">
      <c r="H1946" s="133">
        <v>-0.24870943943730139</v>
      </c>
      <c r="I1946" s="133">
        <v>4.819920372257655E-2</v>
      </c>
    </row>
    <row r="1947" spans="8:9" ht="12" customHeight="1">
      <c r="H1947" s="133">
        <v>-0.2487039724607718</v>
      </c>
      <c r="I1947" s="133">
        <v>4.8199758652351522E-2</v>
      </c>
    </row>
    <row r="1948" spans="8:9" ht="12" customHeight="1">
      <c r="H1948" s="133">
        <v>-0.24842251227096082</v>
      </c>
      <c r="I1948" s="133">
        <v>4.8228336687443307E-2</v>
      </c>
    </row>
    <row r="1949" spans="8:9" ht="12" customHeight="1">
      <c r="H1949" s="133">
        <v>-0.24739275101877289</v>
      </c>
      <c r="I1949" s="133">
        <v>4.8333030543615089E-2</v>
      </c>
    </row>
    <row r="1950" spans="8:9" ht="12" customHeight="1">
      <c r="H1950" s="133">
        <v>-0.24694284495329985</v>
      </c>
      <c r="I1950" s="133">
        <v>4.8378839316986458E-2</v>
      </c>
    </row>
    <row r="1951" spans="8:9" ht="12" customHeight="1">
      <c r="H1951" s="133">
        <v>-0.24634326238902982</v>
      </c>
      <c r="I1951" s="133">
        <v>4.8439951987777743E-2</v>
      </c>
    </row>
    <row r="1952" spans="8:9" ht="12" customHeight="1">
      <c r="H1952" s="133">
        <v>-0.24611334681042119</v>
      </c>
      <c r="I1952" s="133">
        <v>4.8463405645648418E-2</v>
      </c>
    </row>
    <row r="1953" spans="8:9" ht="12" customHeight="1">
      <c r="H1953" s="133">
        <v>-0.24557840400812886</v>
      </c>
      <c r="I1953" s="133">
        <v>4.8518016806538104E-2</v>
      </c>
    </row>
    <row r="1954" spans="8:9" ht="12" customHeight="1">
      <c r="H1954" s="133">
        <v>-0.24515823570375683</v>
      </c>
      <c r="I1954" s="133">
        <v>4.8560951830248243E-2</v>
      </c>
    </row>
    <row r="1955" spans="8:9" ht="12" customHeight="1">
      <c r="H1955" s="133">
        <v>-0.24446141619605777</v>
      </c>
      <c r="I1955" s="133">
        <v>4.8632236029733343E-2</v>
      </c>
    </row>
    <row r="1956" spans="8:9" ht="12" customHeight="1">
      <c r="H1956" s="133">
        <v>-0.2426746916559504</v>
      </c>
      <c r="I1956" s="133">
        <v>4.8815470791414399E-2</v>
      </c>
    </row>
    <row r="1957" spans="8:9" ht="12" customHeight="1">
      <c r="H1957" s="133">
        <v>-0.24227927404816738</v>
      </c>
      <c r="I1957" s="133">
        <v>4.8856110653186999E-2</v>
      </c>
    </row>
    <row r="1958" spans="8:9" ht="12" customHeight="1">
      <c r="H1958" s="133">
        <v>-0.24206349088668616</v>
      </c>
      <c r="I1958" s="133">
        <v>4.8878301747977707E-2</v>
      </c>
    </row>
    <row r="1959" spans="8:9" ht="12" customHeight="1">
      <c r="H1959" s="133">
        <v>-0.24102947357520321</v>
      </c>
      <c r="I1959" s="133">
        <v>4.8984772618370441E-2</v>
      </c>
    </row>
    <row r="1960" spans="8:9" ht="12" customHeight="1">
      <c r="H1960" s="133">
        <v>-0.24092635661819753</v>
      </c>
      <c r="I1960" s="133">
        <v>4.8995402437217672E-2</v>
      </c>
    </row>
    <row r="1961" spans="8:9" ht="12" customHeight="1">
      <c r="H1961" s="133">
        <v>-0.24054458835380593</v>
      </c>
      <c r="I1961" s="133">
        <v>4.9034776093231848E-2</v>
      </c>
    </row>
    <row r="1962" spans="8:9" ht="12" customHeight="1">
      <c r="H1962" s="133">
        <v>-0.23960770647105012</v>
      </c>
      <c r="I1962" s="133">
        <v>4.9131528597279275E-2</v>
      </c>
    </row>
    <row r="1963" spans="8:9" ht="12" customHeight="1">
      <c r="H1963" s="133">
        <v>-0.23948854937237268</v>
      </c>
      <c r="I1963" s="133">
        <v>4.9143847011013507E-2</v>
      </c>
    </row>
    <row r="1964" spans="8:9" ht="12" customHeight="1">
      <c r="H1964" s="133">
        <v>-0.23936761728652595</v>
      </c>
      <c r="I1964" s="133">
        <v>4.9156351916838509E-2</v>
      </c>
    </row>
    <row r="1965" spans="8:9" ht="12" customHeight="1">
      <c r="H1965" s="133">
        <v>-0.23879779704225396</v>
      </c>
      <c r="I1965" s="133">
        <v>4.9215314434453455E-2</v>
      </c>
    </row>
    <row r="1966" spans="8:9" ht="12" customHeight="1">
      <c r="H1966" s="133">
        <v>-0.23878987110299749</v>
      </c>
      <c r="I1966" s="133">
        <v>4.9216135048851126E-2</v>
      </c>
    </row>
    <row r="1967" spans="8:9" ht="12" customHeight="1">
      <c r="H1967" s="133">
        <v>-0.2379742562754168</v>
      </c>
      <c r="I1967" s="133">
        <v>4.9300649361090097E-2</v>
      </c>
    </row>
    <row r="1968" spans="8:9" ht="12" customHeight="1">
      <c r="H1968" s="133">
        <v>-0.23783953318999987</v>
      </c>
      <c r="I1968" s="133">
        <v>4.9314622652689266E-2</v>
      </c>
    </row>
    <row r="1969" spans="8:9" ht="12" customHeight="1">
      <c r="H1969" s="133">
        <v>-0.23750486806141619</v>
      </c>
      <c r="I1969" s="133">
        <v>4.9349349906920421E-2</v>
      </c>
    </row>
    <row r="1970" spans="8:9" ht="12" customHeight="1">
      <c r="H1970" s="133">
        <v>-0.23716231909284588</v>
      </c>
      <c r="I1970" s="133">
        <v>4.938491925526621E-2</v>
      </c>
    </row>
    <row r="1971" spans="8:9" ht="12" customHeight="1">
      <c r="H1971" s="133">
        <v>-0.23672116238009822</v>
      </c>
      <c r="I1971" s="133">
        <v>4.9430763570234647E-2</v>
      </c>
    </row>
    <row r="1972" spans="8:9" ht="12" customHeight="1">
      <c r="H1972" s="133">
        <v>-0.23658052887856179</v>
      </c>
      <c r="I1972" s="133">
        <v>4.9445386462194936E-2</v>
      </c>
    </row>
    <row r="1973" spans="8:9" ht="12" customHeight="1">
      <c r="H1973" s="133">
        <v>-0.23652790545343833</v>
      </c>
      <c r="I1973" s="133">
        <v>4.9450859233019805E-2</v>
      </c>
    </row>
    <row r="1974" spans="8:9" ht="12" customHeight="1">
      <c r="H1974" s="133">
        <v>-0.23588587249258264</v>
      </c>
      <c r="I1974" s="133">
        <v>4.9517676119748784E-2</v>
      </c>
    </row>
    <row r="1975" spans="8:9" ht="12" customHeight="1">
      <c r="H1975" s="133">
        <v>-0.23545446483509103</v>
      </c>
      <c r="I1975" s="133">
        <v>4.956262112342958E-2</v>
      </c>
    </row>
    <row r="1976" spans="8:9" ht="12" customHeight="1">
      <c r="H1976" s="133">
        <v>-0.23499266109406963</v>
      </c>
      <c r="I1976" s="133">
        <v>4.9610775706910526E-2</v>
      </c>
    </row>
    <row r="1977" spans="8:9" ht="12" customHeight="1">
      <c r="H1977" s="133">
        <v>-0.23436290373949023</v>
      </c>
      <c r="I1977" s="133">
        <v>4.967651512465391E-2</v>
      </c>
    </row>
    <row r="1978" spans="8:9" ht="12" customHeight="1">
      <c r="H1978" s="133">
        <v>-0.23322871771444942</v>
      </c>
      <c r="I1978" s="133">
        <v>4.9795119369426204E-2</v>
      </c>
    </row>
    <row r="1979" spans="8:9" ht="12" customHeight="1">
      <c r="H1979" s="133">
        <v>-0.23313707416642981</v>
      </c>
      <c r="I1979" s="133">
        <v>4.9804714438225983E-2</v>
      </c>
    </row>
    <row r="1980" spans="8:9" ht="12" customHeight="1">
      <c r="H1980" s="133">
        <v>-0.23286720628833094</v>
      </c>
      <c r="I1980" s="133">
        <v>4.9832979750341531E-2</v>
      </c>
    </row>
    <row r="1981" spans="8:9" ht="12" customHeight="1">
      <c r="H1981" s="133">
        <v>-0.23148998692084874</v>
      </c>
      <c r="I1981" s="133">
        <v>4.9977463255661249E-2</v>
      </c>
    </row>
    <row r="1982" spans="8:9" ht="12" customHeight="1">
      <c r="H1982" s="133">
        <v>-0.23138124689803252</v>
      </c>
      <c r="I1982" s="133">
        <v>4.9988888015439256E-2</v>
      </c>
    </row>
    <row r="1983" spans="8:9" ht="12" customHeight="1">
      <c r="H1983" s="133">
        <v>-0.23118666789515946</v>
      </c>
      <c r="I1983" s="133">
        <v>5.0009337614350835E-2</v>
      </c>
    </row>
    <row r="1984" spans="8:9" ht="12" customHeight="1">
      <c r="H1984" s="133">
        <v>-0.22876577055567793</v>
      </c>
      <c r="I1984" s="133">
        <v>5.0264429332748349E-2</v>
      </c>
    </row>
    <row r="1985" spans="8:9" ht="12" customHeight="1">
      <c r="H1985" s="133">
        <v>-0.22830118545626404</v>
      </c>
      <c r="I1985" s="133">
        <v>5.0313523741869114E-2</v>
      </c>
    </row>
    <row r="1986" spans="8:9" ht="12" customHeight="1">
      <c r="H1986" s="133">
        <v>-0.22808826064735815</v>
      </c>
      <c r="I1986" s="133">
        <v>5.0336039458843976E-2</v>
      </c>
    </row>
    <row r="1987" spans="8:9" ht="12" customHeight="1">
      <c r="H1987" s="133">
        <v>-0.2277204348366722</v>
      </c>
      <c r="I1987" s="133">
        <v>5.0374957650808377E-2</v>
      </c>
    </row>
    <row r="1988" spans="8:9" ht="12" customHeight="1">
      <c r="H1988" s="133">
        <v>-0.22769576368273448</v>
      </c>
      <c r="I1988" s="133">
        <v>5.0377569027315369E-2</v>
      </c>
    </row>
    <row r="1989" spans="8:9" ht="12" customHeight="1">
      <c r="H1989" s="133">
        <v>-0.22751439662291251</v>
      </c>
      <c r="I1989" s="133">
        <v>5.039677018713281E-2</v>
      </c>
    </row>
    <row r="1990" spans="8:9" ht="12" customHeight="1">
      <c r="H1990" s="133">
        <v>-0.22655692834838831</v>
      </c>
      <c r="I1990" s="133">
        <v>5.0498251362683204E-2</v>
      </c>
    </row>
    <row r="1991" spans="8:9" ht="12" customHeight="1">
      <c r="H1991" s="133">
        <v>-0.22627383665464076</v>
      </c>
      <c r="I1991" s="133">
        <v>5.0528293030051241E-2</v>
      </c>
    </row>
    <row r="1992" spans="8:9" ht="12" customHeight="1">
      <c r="H1992" s="133">
        <v>-0.2257946684968492</v>
      </c>
      <c r="I1992" s="133">
        <v>5.0579180878200757E-2</v>
      </c>
    </row>
    <row r="1993" spans="8:9" ht="12" customHeight="1">
      <c r="H1993" s="133">
        <v>-0.22455146773564749</v>
      </c>
      <c r="I1993" s="133">
        <v>5.071143562560021E-2</v>
      </c>
    </row>
    <row r="1994" spans="8:9" ht="12" customHeight="1">
      <c r="H1994" s="133">
        <v>-0.22374514876651386</v>
      </c>
      <c r="I1994" s="133">
        <v>5.079738875346694E-2</v>
      </c>
    </row>
    <row r="1995" spans="8:9" ht="12" customHeight="1">
      <c r="H1995" s="133">
        <v>-0.22329077899503921</v>
      </c>
      <c r="I1995" s="133">
        <v>5.0845885030018523E-2</v>
      </c>
    </row>
    <row r="1996" spans="8:9" ht="12" customHeight="1">
      <c r="H1996" s="133">
        <v>-0.2215277089847717</v>
      </c>
      <c r="I1996" s="133">
        <v>5.1034478078125937E-2</v>
      </c>
    </row>
    <row r="1997" spans="8:9" ht="12" customHeight="1">
      <c r="H1997" s="133">
        <v>-0.22149724058033968</v>
      </c>
      <c r="I1997" s="133">
        <v>5.1037743050307859E-2</v>
      </c>
    </row>
    <row r="1998" spans="8:9" ht="12" customHeight="1">
      <c r="H1998" s="133">
        <v>-0.21942401740053843</v>
      </c>
      <c r="I1998" s="133">
        <v>5.1260372983365124E-2</v>
      </c>
    </row>
    <row r="1999" spans="8:9" ht="12" customHeight="1">
      <c r="H1999" s="133">
        <v>-0.21891509032542442</v>
      </c>
      <c r="I1999" s="133">
        <v>5.1315163618683358E-2</v>
      </c>
    </row>
    <row r="2000" spans="8:9" ht="12" customHeight="1">
      <c r="H2000" s="133">
        <v>-0.2188986623685121</v>
      </c>
      <c r="I2000" s="133">
        <v>5.1316933160509746E-2</v>
      </c>
    </row>
    <row r="2001" spans="8:9" ht="12" customHeight="1">
      <c r="H2001" s="133">
        <v>-0.2182686732245637</v>
      </c>
      <c r="I2001" s="133">
        <v>5.1384836175684463E-2</v>
      </c>
    </row>
    <row r="2002" spans="8:9" ht="12" customHeight="1">
      <c r="H2002" s="133">
        <v>-0.21817867689925796</v>
      </c>
      <c r="I2002" s="133">
        <v>5.1394543312023713E-2</v>
      </c>
    </row>
    <row r="2003" spans="8:9" ht="12" customHeight="1">
      <c r="H2003" s="133">
        <v>-0.2180467749334869</v>
      </c>
      <c r="I2003" s="133">
        <v>5.1408773586450685E-2</v>
      </c>
    </row>
    <row r="2004" spans="8:9" ht="12" customHeight="1">
      <c r="H2004" s="133">
        <v>-0.21769834594140675</v>
      </c>
      <c r="I2004" s="133">
        <v>5.1446381855683745E-2</v>
      </c>
    </row>
    <row r="2005" spans="8:9" ht="12" customHeight="1">
      <c r="H2005" s="133">
        <v>-0.21756299561835318</v>
      </c>
      <c r="I2005" s="133">
        <v>5.1460998136418065E-2</v>
      </c>
    </row>
    <row r="2006" spans="8:9" ht="12" customHeight="1">
      <c r="H2006" s="133">
        <v>-0.21717037805969708</v>
      </c>
      <c r="I2006" s="133">
        <v>5.1503418546416796E-2</v>
      </c>
    </row>
    <row r="2007" spans="8:9" ht="12" customHeight="1">
      <c r="H2007" s="133">
        <v>-0.21673663210278815</v>
      </c>
      <c r="I2007" s="133">
        <v>5.1550321125170037E-2</v>
      </c>
    </row>
    <row r="2008" spans="8:9" ht="12" customHeight="1">
      <c r="H2008" s="133">
        <v>-0.21610816128153493</v>
      </c>
      <c r="I2008" s="133">
        <v>5.1618351700353719E-2</v>
      </c>
    </row>
    <row r="2009" spans="8:9" ht="12" customHeight="1">
      <c r="H2009" s="133">
        <v>-0.21566739874543628</v>
      </c>
      <c r="I2009" s="133">
        <v>5.1666113906424976E-2</v>
      </c>
    </row>
    <row r="2010" spans="8:9" ht="12" customHeight="1">
      <c r="H2010" s="133">
        <v>-0.21557412908693885</v>
      </c>
      <c r="I2010" s="133">
        <v>5.1676226211248032E-2</v>
      </c>
    </row>
    <row r="2011" spans="8:9" ht="12" customHeight="1">
      <c r="H2011" s="133">
        <v>-0.21402936535184255</v>
      </c>
      <c r="I2011" s="133">
        <v>5.1843982027816274E-2</v>
      </c>
    </row>
    <row r="2012" spans="8:9" ht="12" customHeight="1">
      <c r="H2012" s="133">
        <v>-0.21372662188538599</v>
      </c>
      <c r="I2012" s="133">
        <v>5.1876919163691526E-2</v>
      </c>
    </row>
    <row r="2013" spans="8:9" ht="12" customHeight="1">
      <c r="H2013" s="133">
        <v>-0.21362934051960628</v>
      </c>
      <c r="I2013" s="133">
        <v>5.1887507140052254E-2</v>
      </c>
    </row>
    <row r="2014" spans="8:9" ht="12" customHeight="1">
      <c r="H2014" s="133">
        <v>-0.21357755998634903</v>
      </c>
      <c r="I2014" s="133">
        <v>5.1893143698415342E-2</v>
      </c>
    </row>
    <row r="2015" spans="8:9" ht="12" customHeight="1">
      <c r="H2015" s="133">
        <v>-0.21284245681626227</v>
      </c>
      <c r="I2015" s="133">
        <v>5.1973225647072789E-2</v>
      </c>
    </row>
    <row r="2016" spans="8:9" ht="12" customHeight="1">
      <c r="H2016" s="133">
        <v>-0.21272252800976424</v>
      </c>
      <c r="I2016" s="133">
        <v>5.198630173811411E-2</v>
      </c>
    </row>
    <row r="2017" spans="8:9" ht="12" customHeight="1">
      <c r="H2017" s="133">
        <v>-0.21234664798105066</v>
      </c>
      <c r="I2017" s="133">
        <v>5.2027304879246915E-2</v>
      </c>
    </row>
    <row r="2018" spans="8:9" ht="12" customHeight="1">
      <c r="H2018" s="133">
        <v>-0.2114879526054082</v>
      </c>
      <c r="I2018" s="133">
        <v>5.2121090976635892E-2</v>
      </c>
    </row>
    <row r="2019" spans="8:9" ht="12" customHeight="1">
      <c r="H2019" s="133">
        <v>-0.21129645148925547</v>
      </c>
      <c r="I2019" s="133">
        <v>5.2142028369560646E-2</v>
      </c>
    </row>
    <row r="2020" spans="8:9" ht="12" customHeight="1">
      <c r="H2020" s="133">
        <v>-0.2112692970458194</v>
      </c>
      <c r="I2020" s="133">
        <v>5.2144997889856465E-2</v>
      </c>
    </row>
    <row r="2021" spans="8:9" ht="12" customHeight="1">
      <c r="H2021" s="133">
        <v>-0.21081774843085122</v>
      </c>
      <c r="I2021" s="133">
        <v>5.2194401185921016E-2</v>
      </c>
    </row>
    <row r="2022" spans="8:9" ht="12" customHeight="1">
      <c r="H2022" s="133">
        <v>-0.21024039553633478</v>
      </c>
      <c r="I2022" s="133">
        <v>5.2257632979957162E-2</v>
      </c>
    </row>
    <row r="2023" spans="8:9" ht="12" customHeight="1">
      <c r="H2023" s="133">
        <v>-0.20990561678743599</v>
      </c>
      <c r="I2023" s="133">
        <v>5.2294331155175448E-2</v>
      </c>
    </row>
    <row r="2024" spans="8:9" ht="12" customHeight="1">
      <c r="H2024" s="133">
        <v>-0.20933774090026983</v>
      </c>
      <c r="I2024" s="133">
        <v>5.2356636937547531E-2</v>
      </c>
    </row>
    <row r="2025" spans="8:9" ht="12" customHeight="1">
      <c r="H2025" s="133">
        <v>-0.20927689580307193</v>
      </c>
      <c r="I2025" s="133">
        <v>5.2363316852713539E-2</v>
      </c>
    </row>
    <row r="2026" spans="8:9" ht="12" customHeight="1">
      <c r="H2026" s="133">
        <v>-0.20886909845373222</v>
      </c>
      <c r="I2026" s="133">
        <v>5.2408107913226275E-2</v>
      </c>
    </row>
    <row r="2027" spans="8:9" ht="12" customHeight="1">
      <c r="H2027" s="133">
        <v>-0.20850741459991695</v>
      </c>
      <c r="I2027" s="133">
        <v>5.2447864310394839E-2</v>
      </c>
    </row>
    <row r="2028" spans="8:9" ht="12" customHeight="1">
      <c r="H2028" s="133">
        <v>-0.20787425813884358</v>
      </c>
      <c r="I2028" s="133">
        <v>5.2517529655702409E-2</v>
      </c>
    </row>
    <row r="2029" spans="8:9" ht="12" customHeight="1">
      <c r="H2029" s="133">
        <v>-0.20765363793725122</v>
      </c>
      <c r="I2029" s="133">
        <v>5.2541824724590631E-2</v>
      </c>
    </row>
    <row r="2030" spans="8:9" ht="12" customHeight="1">
      <c r="H2030" s="133">
        <v>-0.20739390610715958</v>
      </c>
      <c r="I2030" s="133">
        <v>5.2570440437596552E-2</v>
      </c>
    </row>
    <row r="2031" spans="8:9" ht="12" customHeight="1">
      <c r="H2031" s="133">
        <v>-0.20735585353833641</v>
      </c>
      <c r="I2031" s="133">
        <v>5.2574634080089111E-2</v>
      </c>
    </row>
    <row r="2032" spans="8:9" ht="12" customHeight="1">
      <c r="H2032" s="133">
        <v>-0.2070464437772376</v>
      </c>
      <c r="I2032" s="133">
        <v>5.260874479531568E-2</v>
      </c>
    </row>
    <row r="2033" spans="8:9" ht="12" customHeight="1">
      <c r="H2033" s="133">
        <v>-0.20628489603414868</v>
      </c>
      <c r="I2033" s="133">
        <v>5.2692790278778066E-2</v>
      </c>
    </row>
    <row r="2034" spans="8:9" ht="12" customHeight="1">
      <c r="H2034" s="133">
        <v>-0.20622692279786956</v>
      </c>
      <c r="I2034" s="133">
        <v>5.2699193478090031E-2</v>
      </c>
    </row>
    <row r="2035" spans="8:9" ht="12" customHeight="1">
      <c r="H2035" s="133">
        <v>-0.20563531397513057</v>
      </c>
      <c r="I2035" s="133">
        <v>5.2764579261718174E-2</v>
      </c>
    </row>
    <row r="2036" spans="8:9" ht="12" customHeight="1">
      <c r="H2036" s="133">
        <v>-0.20543080046614892</v>
      </c>
      <c r="I2036" s="133">
        <v>5.2787200314831952E-2</v>
      </c>
    </row>
    <row r="2037" spans="8:9" ht="12" customHeight="1">
      <c r="H2037" s="133">
        <v>-0.20540513312103753</v>
      </c>
      <c r="I2037" s="133">
        <v>5.2790040003213384E-2</v>
      </c>
    </row>
    <row r="2038" spans="8:9" ht="12" customHeight="1">
      <c r="H2038" s="133">
        <v>-0.20380323042429194</v>
      </c>
      <c r="I2038" s="133">
        <v>5.2967551047006386E-2</v>
      </c>
    </row>
    <row r="2039" spans="8:9" ht="12" customHeight="1">
      <c r="H2039" s="133">
        <v>-0.20362997770074504</v>
      </c>
      <c r="I2039" s="133">
        <v>5.2986783370948476E-2</v>
      </c>
    </row>
    <row r="2040" spans="8:9" ht="12" customHeight="1">
      <c r="H2040" s="133">
        <v>-0.20327096969697134</v>
      </c>
      <c r="I2040" s="133">
        <v>5.3026656880118893E-2</v>
      </c>
    </row>
    <row r="2041" spans="8:9" ht="12" customHeight="1">
      <c r="H2041" s="133">
        <v>-0.20269025699621937</v>
      </c>
      <c r="I2041" s="133">
        <v>5.3091214167637749E-2</v>
      </c>
    </row>
    <row r="2042" spans="8:9" ht="12" customHeight="1">
      <c r="H2042" s="133">
        <v>-0.20261308602297826</v>
      </c>
      <c r="I2042" s="133">
        <v>5.3099798775056779E-2</v>
      </c>
    </row>
    <row r="2043" spans="8:9" ht="12" customHeight="1">
      <c r="H2043" s="133">
        <v>-0.20253435714217366</v>
      </c>
      <c r="I2043" s="133">
        <v>5.3108558036484281E-2</v>
      </c>
    </row>
    <row r="2044" spans="8:9" ht="12" customHeight="1">
      <c r="H2044" s="133">
        <v>-0.2022531807719358</v>
      </c>
      <c r="I2044" s="133">
        <v>5.3139852447804253E-2</v>
      </c>
    </row>
    <row r="2045" spans="8:9" ht="12" customHeight="1">
      <c r="H2045" s="133">
        <v>-0.20068387624114481</v>
      </c>
      <c r="I2045" s="133">
        <v>5.3314833034472854E-2</v>
      </c>
    </row>
    <row r="2046" spans="8:9" ht="12" customHeight="1">
      <c r="H2046" s="133">
        <v>-0.20031256086780203</v>
      </c>
      <c r="I2046" s="133">
        <v>5.3356314917044817E-2</v>
      </c>
    </row>
    <row r="2047" spans="8:9" ht="12" customHeight="1">
      <c r="H2047" s="133">
        <v>-0.19985814911047248</v>
      </c>
      <c r="I2047" s="133">
        <v>5.3407121440912662E-2</v>
      </c>
    </row>
    <row r="2048" spans="8:9" ht="12" customHeight="1">
      <c r="H2048" s="133">
        <v>-0.19876923920617803</v>
      </c>
      <c r="I2048" s="133">
        <v>5.3529055267936741E-2</v>
      </c>
    </row>
    <row r="2049" spans="8:9" ht="12" customHeight="1">
      <c r="H2049" s="133">
        <v>-0.19868651172321122</v>
      </c>
      <c r="I2049" s="133">
        <v>5.3538329643647221E-2</v>
      </c>
    </row>
    <row r="2050" spans="8:9" ht="12" customHeight="1">
      <c r="H2050" s="133">
        <v>-0.19814799264483712</v>
      </c>
      <c r="I2050" s="133">
        <v>5.3598738762563353E-2</v>
      </c>
    </row>
    <row r="2051" spans="8:9" ht="12" customHeight="1">
      <c r="H2051" s="133">
        <v>-0.19812804232581196</v>
      </c>
      <c r="I2051" s="133">
        <v>5.3600977951815773E-2</v>
      </c>
    </row>
    <row r="2052" spans="8:9" ht="12" customHeight="1">
      <c r="H2052" s="133">
        <v>-0.19798455714634611</v>
      </c>
      <c r="I2052" s="133">
        <v>5.3617085079752734E-2</v>
      </c>
    </row>
    <row r="2053" spans="8:9" ht="12" customHeight="1">
      <c r="H2053" s="133">
        <v>-0.19783268324971992</v>
      </c>
      <c r="I2053" s="133">
        <v>5.3634138868918359E-2</v>
      </c>
    </row>
    <row r="2054" spans="8:9" ht="12" customHeight="1">
      <c r="H2054" s="133">
        <v>-0.19782914326273007</v>
      </c>
      <c r="I2054" s="133">
        <v>5.3634536432028292E-2</v>
      </c>
    </row>
    <row r="2055" spans="8:9" ht="12" customHeight="1">
      <c r="H2055" s="133">
        <v>-0.19777362534030191</v>
      </c>
      <c r="I2055" s="133">
        <v>5.3640771812383053E-2</v>
      </c>
    </row>
    <row r="2056" spans="8:9" ht="12" customHeight="1">
      <c r="H2056" s="133">
        <v>-0.19754576548643132</v>
      </c>
      <c r="I2056" s="133">
        <v>5.366637058282607E-2</v>
      </c>
    </row>
    <row r="2057" spans="8:9" ht="12" customHeight="1">
      <c r="H2057" s="133">
        <v>-0.19731192447452151</v>
      </c>
      <c r="I2057" s="133">
        <v>5.3692653283693076E-2</v>
      </c>
    </row>
    <row r="2058" spans="8:9" ht="12" customHeight="1">
      <c r="H2058" s="133">
        <v>-0.19636600120245576</v>
      </c>
      <c r="I2058" s="133">
        <v>5.3799094838511981E-2</v>
      </c>
    </row>
    <row r="2059" spans="8:9" ht="12" customHeight="1">
      <c r="H2059" s="133">
        <v>-0.19586542142901778</v>
      </c>
      <c r="I2059" s="133">
        <v>5.3855503887972819E-2</v>
      </c>
    </row>
    <row r="2060" spans="8:9" ht="12" customHeight="1">
      <c r="H2060" s="133">
        <v>-0.19331248112055147</v>
      </c>
      <c r="I2060" s="133">
        <v>5.4144056779462629E-2</v>
      </c>
    </row>
    <row r="2061" spans="8:9" ht="12" customHeight="1">
      <c r="H2061" s="133">
        <v>-0.19294475063223449</v>
      </c>
      <c r="I2061" s="133">
        <v>5.41857404061147E-2</v>
      </c>
    </row>
    <row r="2062" spans="8:9" ht="12" customHeight="1">
      <c r="H2062" s="133">
        <v>-0.19284111408124893</v>
      </c>
      <c r="I2062" s="133">
        <v>5.4197493460223574E-2</v>
      </c>
    </row>
    <row r="2063" spans="8:9" ht="12" customHeight="1">
      <c r="H2063" s="133">
        <v>-0.19221930415130728</v>
      </c>
      <c r="I2063" s="133">
        <v>5.426806120155675E-2</v>
      </c>
    </row>
    <row r="2064" spans="8:9" ht="12" customHeight="1">
      <c r="H2064" s="133">
        <v>-0.19215045273142184</v>
      </c>
      <c r="I2064" s="133">
        <v>5.4275880310616531E-2</v>
      </c>
    </row>
    <row r="2065" spans="8:9" ht="12" customHeight="1">
      <c r="H2065" s="133">
        <v>-0.19211889090831991</v>
      </c>
      <c r="I2065" s="133">
        <v>5.4279464982904445E-2</v>
      </c>
    </row>
    <row r="2066" spans="8:9" ht="12" customHeight="1">
      <c r="H2066" s="133">
        <v>-0.19207002205284879</v>
      </c>
      <c r="I2066" s="133">
        <v>5.4285015762631984E-2</v>
      </c>
    </row>
    <row r="2067" spans="8:9" ht="12" customHeight="1">
      <c r="H2067" s="133">
        <v>-0.19128224491758494</v>
      </c>
      <c r="I2067" s="133">
        <v>5.4374569466045616E-2</v>
      </c>
    </row>
    <row r="2068" spans="8:9" ht="12" customHeight="1">
      <c r="H2068" s="133">
        <v>-0.19098630805780603</v>
      </c>
      <c r="I2068" s="133">
        <v>5.4408247232358944E-2</v>
      </c>
    </row>
    <row r="2069" spans="8:9" ht="12" customHeight="1">
      <c r="H2069" s="133">
        <v>-0.19038578860674543</v>
      </c>
      <c r="I2069" s="133">
        <v>5.447664708225556E-2</v>
      </c>
    </row>
    <row r="2070" spans="8:9" ht="12" customHeight="1">
      <c r="H2070" s="133">
        <v>-0.18980788312102173</v>
      </c>
      <c r="I2070" s="133">
        <v>5.4542547684508384E-2</v>
      </c>
    </row>
    <row r="2071" spans="8:9" ht="12" customHeight="1">
      <c r="H2071" s="133">
        <v>-0.1896905487427398</v>
      </c>
      <c r="I2071" s="133">
        <v>5.4555936909166311E-2</v>
      </c>
    </row>
    <row r="2072" spans="8:9" ht="12" customHeight="1">
      <c r="H2072" s="133">
        <v>-0.1893821349382796</v>
      </c>
      <c r="I2072" s="133">
        <v>5.4591145301821603E-2</v>
      </c>
    </row>
    <row r="2073" spans="8:9" ht="12" customHeight="1">
      <c r="H2073" s="133">
        <v>-0.18898558000877488</v>
      </c>
      <c r="I2073" s="133">
        <v>5.4636447311993977E-2</v>
      </c>
    </row>
    <row r="2074" spans="8:9" ht="12" customHeight="1">
      <c r="H2074" s="133">
        <v>-0.18875940844956299</v>
      </c>
      <c r="I2074" s="133">
        <v>5.4662300768205302E-2</v>
      </c>
    </row>
    <row r="2075" spans="8:9" ht="12" customHeight="1">
      <c r="H2075" s="133">
        <v>-0.18863124531881587</v>
      </c>
      <c r="I2075" s="133">
        <v>5.4676956089903445E-2</v>
      </c>
    </row>
    <row r="2076" spans="8:9" ht="12" customHeight="1">
      <c r="H2076" s="133">
        <v>-0.18843294525703569</v>
      </c>
      <c r="I2076" s="133">
        <v>5.4699638792497299E-2</v>
      </c>
    </row>
    <row r="2077" spans="8:9" ht="12" customHeight="1">
      <c r="H2077" s="133">
        <v>-0.18801195993276643</v>
      </c>
      <c r="I2077" s="133">
        <v>5.4747822909064089E-2</v>
      </c>
    </row>
    <row r="2078" spans="8:9" ht="12" customHeight="1">
      <c r="H2078" s="133">
        <v>-0.1875428878976324</v>
      </c>
      <c r="I2078" s="133">
        <v>5.4801557914884245E-2</v>
      </c>
    </row>
    <row r="2079" spans="8:9" ht="12" customHeight="1">
      <c r="H2079" s="133">
        <v>-0.18708346477427096</v>
      </c>
      <c r="I2079" s="133">
        <v>5.4854235737761728E-2</v>
      </c>
    </row>
    <row r="2080" spans="8:9" ht="12" customHeight="1">
      <c r="H2080" s="133">
        <v>-0.18652056455535704</v>
      </c>
      <c r="I2080" s="133">
        <v>5.4918843349391372E-2</v>
      </c>
    </row>
    <row r="2081" spans="8:9" ht="12" customHeight="1">
      <c r="H2081" s="133">
        <v>-0.18599710476349429</v>
      </c>
      <c r="I2081" s="133">
        <v>5.4978988444754857E-2</v>
      </c>
    </row>
    <row r="2082" spans="8:9" ht="12" customHeight="1">
      <c r="H2082" s="133">
        <v>-0.18540230204587965</v>
      </c>
      <c r="I2082" s="133">
        <v>5.5047406076655807E-2</v>
      </c>
    </row>
    <row r="2083" spans="8:9" ht="12" customHeight="1">
      <c r="H2083" s="133">
        <v>-0.1853972197781425</v>
      </c>
      <c r="I2083" s="133">
        <v>5.5047991013680041E-2</v>
      </c>
    </row>
    <row r="2084" spans="8:9" ht="12" customHeight="1">
      <c r="H2084" s="133">
        <v>-0.18510318146928406</v>
      </c>
      <c r="I2084" s="133">
        <v>5.5081842939702239E-2</v>
      </c>
    </row>
    <row r="2085" spans="8:9" ht="12" customHeight="1">
      <c r="H2085" s="133">
        <v>-0.18396101036638834</v>
      </c>
      <c r="I2085" s="133">
        <v>5.5213524419596448E-2</v>
      </c>
    </row>
    <row r="2086" spans="8:9" ht="12" customHeight="1">
      <c r="H2086" s="133">
        <v>-0.18372774079564144</v>
      </c>
      <c r="I2086" s="133">
        <v>5.5240454611473019E-2</v>
      </c>
    </row>
    <row r="2087" spans="8:9" ht="12" customHeight="1">
      <c r="H2087" s="133">
        <v>-0.18349877858898228</v>
      </c>
      <c r="I2087" s="133">
        <v>5.5266899558851827E-2</v>
      </c>
    </row>
    <row r="2088" spans="8:9" ht="12" customHeight="1">
      <c r="H2088" s="133">
        <v>-0.18318843021943321</v>
      </c>
      <c r="I2088" s="133">
        <v>5.530276356914187E-2</v>
      </c>
    </row>
    <row r="2089" spans="8:9" ht="12" customHeight="1">
      <c r="H2089" s="133">
        <v>-0.18270619965761409</v>
      </c>
      <c r="I2089" s="133">
        <v>5.5358533846056796E-2</v>
      </c>
    </row>
    <row r="2090" spans="8:9" ht="12" customHeight="1">
      <c r="H2090" s="133">
        <v>-0.18197625804503692</v>
      </c>
      <c r="I2090" s="133">
        <v>5.5443052801456304E-2</v>
      </c>
    </row>
    <row r="2091" spans="8:9" ht="12" customHeight="1">
      <c r="H2091" s="133">
        <v>-0.18188366349901081</v>
      </c>
      <c r="I2091" s="133">
        <v>5.5453782876549305E-2</v>
      </c>
    </row>
    <row r="2092" spans="8:9" ht="12" customHeight="1">
      <c r="H2092" s="133">
        <v>-0.18148423025621463</v>
      </c>
      <c r="I2092" s="133">
        <v>5.5500092552990501E-2</v>
      </c>
    </row>
    <row r="2093" spans="8:9" ht="12" customHeight="1">
      <c r="H2093" s="133">
        <v>-0.1807560385892204</v>
      </c>
      <c r="I2093" s="133">
        <v>5.5584611659671199E-2</v>
      </c>
    </row>
    <row r="2094" spans="8:9" ht="12" customHeight="1">
      <c r="H2094" s="133">
        <v>-0.17980533574272206</v>
      </c>
      <c r="I2094" s="133">
        <v>5.5695139317494591E-2</v>
      </c>
    </row>
    <row r="2095" spans="8:9" ht="12" customHeight="1">
      <c r="H2095" s="133">
        <v>-0.17946666091671121</v>
      </c>
      <c r="I2095" s="133">
        <v>5.5734563214502514E-2</v>
      </c>
    </row>
    <row r="2096" spans="8:9" ht="12" customHeight="1">
      <c r="H2096" s="133">
        <v>-0.17924362016075757</v>
      </c>
      <c r="I2096" s="133">
        <v>5.5760540912260993E-2</v>
      </c>
    </row>
    <row r="2097" spans="8:9" ht="12" customHeight="1">
      <c r="H2097" s="133">
        <v>-0.17899953998633736</v>
      </c>
      <c r="I2097" s="133">
        <v>5.5788982140024965E-2</v>
      </c>
    </row>
    <row r="2098" spans="8:9" ht="12" customHeight="1">
      <c r="H2098" s="133">
        <v>-0.17891911692736073</v>
      </c>
      <c r="I2098" s="133">
        <v>5.579835635558697E-2</v>
      </c>
    </row>
    <row r="2099" spans="8:9" ht="12" customHeight="1">
      <c r="H2099" s="133">
        <v>-0.17848781550708065</v>
      </c>
      <c r="I2099" s="133">
        <v>5.5848654697367106E-2</v>
      </c>
    </row>
    <row r="2100" spans="8:9" ht="12" customHeight="1">
      <c r="H2100" s="133">
        <v>-0.17726909667233848</v>
      </c>
      <c r="I2100" s="133">
        <v>5.599101226617096E-2</v>
      </c>
    </row>
    <row r="2101" spans="8:9" ht="12" customHeight="1">
      <c r="H2101" s="133">
        <v>-0.17714398480272253</v>
      </c>
      <c r="I2101" s="133">
        <v>5.6005645788016305E-2</v>
      </c>
    </row>
    <row r="2102" spans="8:9" ht="12" customHeight="1">
      <c r="H2102" s="133">
        <v>-0.17688428869953421</v>
      </c>
      <c r="I2102" s="133">
        <v>5.603603223740123E-2</v>
      </c>
    </row>
    <row r="2103" spans="8:9" ht="12" customHeight="1">
      <c r="H2103" s="133">
        <v>-0.17663378413552711</v>
      </c>
      <c r="I2103" s="133">
        <v>5.6065357899386152E-2</v>
      </c>
    </row>
    <row r="2104" spans="8:9" ht="12" customHeight="1">
      <c r="H2104" s="133">
        <v>-0.17613716376417338</v>
      </c>
      <c r="I2104" s="133">
        <v>5.6123538128939408E-2</v>
      </c>
    </row>
    <row r="2105" spans="8:9" ht="12" customHeight="1">
      <c r="H2105" s="133">
        <v>-0.17522335461393879</v>
      </c>
      <c r="I2105" s="133">
        <v>5.6230741393606114E-2</v>
      </c>
    </row>
    <row r="2106" spans="8:9" ht="12" customHeight="1">
      <c r="H2106" s="133">
        <v>-0.17373881833740085</v>
      </c>
      <c r="I2106" s="133">
        <v>5.6405309975883118E-2</v>
      </c>
    </row>
    <row r="2107" spans="8:9" ht="12" customHeight="1">
      <c r="H2107" s="133">
        <v>-0.17356262265272573</v>
      </c>
      <c r="I2107" s="133">
        <v>5.642606285562949E-2</v>
      </c>
    </row>
    <row r="2108" spans="8:9" ht="12" customHeight="1">
      <c r="H2108" s="133">
        <v>-0.17317779539655714</v>
      </c>
      <c r="I2108" s="133">
        <v>5.6471413980081285E-2</v>
      </c>
    </row>
    <row r="2109" spans="8:9" ht="12" customHeight="1">
      <c r="H2109" s="133">
        <v>-0.17225417537481535</v>
      </c>
      <c r="I2109" s="133">
        <v>5.6580400616735818E-2</v>
      </c>
    </row>
    <row r="2110" spans="8:9" ht="12" customHeight="1">
      <c r="H2110" s="133">
        <v>-0.17223113451120198</v>
      </c>
      <c r="I2110" s="133">
        <v>5.6583121951694702E-2</v>
      </c>
    </row>
    <row r="2111" spans="8:9" ht="12" customHeight="1">
      <c r="H2111" s="133">
        <v>-0.17174625573075408</v>
      </c>
      <c r="I2111" s="133">
        <v>5.6640419079481627E-2</v>
      </c>
    </row>
    <row r="2112" spans="8:9" ht="12" customHeight="1">
      <c r="H2112" s="133">
        <v>-0.17167492382547808</v>
      </c>
      <c r="I2112" s="133">
        <v>5.6648852824257599E-2</v>
      </c>
    </row>
    <row r="2113" spans="8:9" ht="12" customHeight="1">
      <c r="H2113" s="133">
        <v>-0.17082782009100528</v>
      </c>
      <c r="I2113" s="133">
        <v>5.6749098240873555E-2</v>
      </c>
    </row>
    <row r="2114" spans="8:9" ht="12" customHeight="1">
      <c r="H2114" s="133">
        <v>-0.17077607787492899</v>
      </c>
      <c r="I2114" s="133">
        <v>5.6755226763237222E-2</v>
      </c>
    </row>
    <row r="2115" spans="8:9" ht="12" customHeight="1">
      <c r="H2115" s="133">
        <v>-0.17066792012748405</v>
      </c>
      <c r="I2115" s="133">
        <v>5.6768039340256649E-2</v>
      </c>
    </row>
    <row r="2116" spans="8:9" ht="12" customHeight="1">
      <c r="H2116" s="133">
        <v>-0.17024156294658099</v>
      </c>
      <c r="I2116" s="133">
        <v>5.6818572923908649E-2</v>
      </c>
    </row>
    <row r="2117" spans="8:9" ht="12" customHeight="1">
      <c r="H2117" s="133">
        <v>-0.16801557973393033</v>
      </c>
      <c r="I2117" s="133">
        <v>5.7083092660052528E-2</v>
      </c>
    </row>
    <row r="2118" spans="8:9" ht="12" customHeight="1">
      <c r="H2118" s="133">
        <v>-0.16792617963838008</v>
      </c>
      <c r="I2118" s="133">
        <v>5.7093740449814655E-2</v>
      </c>
    </row>
    <row r="2119" spans="8:9" ht="12" customHeight="1">
      <c r="H2119" s="133">
        <v>-0.1673754634399256</v>
      </c>
      <c r="I2119" s="133">
        <v>5.7159373377341477E-2</v>
      </c>
    </row>
    <row r="2120" spans="8:9" ht="12" customHeight="1">
      <c r="H2120" s="133">
        <v>-0.16710115653463514</v>
      </c>
      <c r="I2120" s="133">
        <v>5.7192090999617536E-2</v>
      </c>
    </row>
    <row r="2121" spans="8:9" ht="12" customHeight="1">
      <c r="H2121" s="133">
        <v>-0.16699132121555729</v>
      </c>
      <c r="I2121" s="133">
        <v>5.7205196405058799E-2</v>
      </c>
    </row>
    <row r="2122" spans="8:9" ht="12" customHeight="1">
      <c r="H2122" s="133">
        <v>-0.16669978873419444</v>
      </c>
      <c r="I2122" s="133">
        <v>5.723999535782779E-2</v>
      </c>
    </row>
    <row r="2123" spans="8:9" ht="12" customHeight="1">
      <c r="H2123" s="133">
        <v>-0.16425432890866898</v>
      </c>
      <c r="I2123" s="133">
        <v>5.7532683018028205E-2</v>
      </c>
    </row>
    <row r="2124" spans="8:9" ht="12" customHeight="1">
      <c r="H2124" s="133">
        <v>-0.16224190094074364</v>
      </c>
      <c r="I2124" s="133">
        <v>5.7774596207733765E-2</v>
      </c>
    </row>
    <row r="2125" spans="8:9" ht="12" customHeight="1">
      <c r="H2125" s="133">
        <v>-0.16053889375494115</v>
      </c>
      <c r="I2125" s="133">
        <v>5.7980059619638188E-2</v>
      </c>
    </row>
    <row r="2126" spans="8:9" ht="12" customHeight="1">
      <c r="H2126" s="133">
        <v>-0.15984474874546639</v>
      </c>
      <c r="I2126" s="133">
        <v>5.8064002975294342E-2</v>
      </c>
    </row>
    <row r="2127" spans="8:9" ht="12" customHeight="1">
      <c r="H2127" s="133">
        <v>-0.15965164487615574</v>
      </c>
      <c r="I2127" s="133">
        <v>5.8087375405220451E-2</v>
      </c>
    </row>
    <row r="2128" spans="8:9" ht="12" customHeight="1">
      <c r="H2128" s="133">
        <v>-0.15888465883585651</v>
      </c>
      <c r="I2128" s="133">
        <v>5.8180295161373109E-2</v>
      </c>
    </row>
    <row r="2129" spans="8:9" ht="12" customHeight="1">
      <c r="H2129" s="133">
        <v>-0.15801916905729418</v>
      </c>
      <c r="I2129" s="133">
        <v>5.8285316033970407E-2</v>
      </c>
    </row>
    <row r="2130" spans="8:9" ht="12" customHeight="1">
      <c r="H2130" s="133">
        <v>-0.15769317585424905</v>
      </c>
      <c r="I2130" s="133">
        <v>5.8324919019975149E-2</v>
      </c>
    </row>
    <row r="2131" spans="8:9" ht="12" customHeight="1">
      <c r="H2131" s="133">
        <v>-0.15738417269151359</v>
      </c>
      <c r="I2131" s="133">
        <v>5.8362481288477715E-2</v>
      </c>
    </row>
    <row r="2132" spans="8:9" ht="12" customHeight="1">
      <c r="H2132" s="133">
        <v>-0.15656917952592733</v>
      </c>
      <c r="I2132" s="133">
        <v>5.8461660321893212E-2</v>
      </c>
    </row>
    <row r="2133" spans="8:9" ht="12" customHeight="1">
      <c r="H2133" s="133">
        <v>-0.15532310714651168</v>
      </c>
      <c r="I2133" s="133">
        <v>5.8613604363799802E-2</v>
      </c>
    </row>
    <row r="2134" spans="8:9" ht="12" customHeight="1">
      <c r="H2134" s="133">
        <v>-0.15501977745794837</v>
      </c>
      <c r="I2134" s="133">
        <v>5.8650647900089871E-2</v>
      </c>
    </row>
    <row r="2135" spans="8:9" ht="12" customHeight="1">
      <c r="H2135" s="133">
        <v>-0.15498101219235438</v>
      </c>
      <c r="I2135" s="133">
        <v>5.8655383612969722E-2</v>
      </c>
    </row>
    <row r="2136" spans="8:9" ht="12" customHeight="1">
      <c r="H2136" s="133">
        <v>-0.15489409653491865</v>
      </c>
      <c r="I2136" s="133">
        <v>5.8666002864813466E-2</v>
      </c>
    </row>
    <row r="2137" spans="8:9" ht="12" customHeight="1">
      <c r="H2137" s="133">
        <v>-0.15468614533833602</v>
      </c>
      <c r="I2137" s="133">
        <v>5.8691417411913215E-2</v>
      </c>
    </row>
    <row r="2138" spans="8:9" ht="12" customHeight="1">
      <c r="H2138" s="133">
        <v>-0.1542086370619333</v>
      </c>
      <c r="I2138" s="133">
        <v>5.8749814680878337E-2</v>
      </c>
    </row>
    <row r="2139" spans="8:9" ht="12" customHeight="1">
      <c r="H2139" s="133">
        <v>-0.15378422650275084</v>
      </c>
      <c r="I2139" s="133">
        <v>5.8801764044467089E-2</v>
      </c>
    </row>
    <row r="2140" spans="8:9" ht="12" customHeight="1">
      <c r="H2140" s="133">
        <v>-0.15214399398399994</v>
      </c>
      <c r="I2140" s="133">
        <v>5.900293943862045E-2</v>
      </c>
    </row>
    <row r="2141" spans="8:9" ht="12" customHeight="1">
      <c r="H2141" s="133">
        <v>-0.15193112023590366</v>
      </c>
      <c r="I2141" s="133">
        <v>5.9029095765040417E-2</v>
      </c>
    </row>
    <row r="2142" spans="8:9" ht="12" customHeight="1">
      <c r="H2142" s="133">
        <v>-0.15104971345251775</v>
      </c>
      <c r="I2142" s="133">
        <v>5.9137512104383845E-2</v>
      </c>
    </row>
    <row r="2143" spans="8:9" ht="12" customHeight="1">
      <c r="H2143" s="133">
        <v>-0.15092498122973019</v>
      </c>
      <c r="I2143" s="133">
        <v>5.9152869699859903E-2</v>
      </c>
    </row>
    <row r="2144" spans="8:9" ht="12" customHeight="1">
      <c r="H2144" s="133">
        <v>-0.14976310197245701</v>
      </c>
      <c r="I2144" s="133">
        <v>5.9296105187906761E-2</v>
      </c>
    </row>
    <row r="2145" spans="8:9" ht="12" customHeight="1">
      <c r="H2145" s="133">
        <v>-0.14964871939764468</v>
      </c>
      <c r="I2145" s="133">
        <v>5.9310223732679961E-2</v>
      </c>
    </row>
    <row r="2146" spans="8:9" ht="12" customHeight="1">
      <c r="H2146" s="133">
        <v>-0.14942366705067012</v>
      </c>
      <c r="I2146" s="133">
        <v>5.9338011736757533E-2</v>
      </c>
    </row>
    <row r="2147" spans="8:9" ht="12" customHeight="1">
      <c r="H2147" s="133">
        <v>-0.14822643385756656</v>
      </c>
      <c r="I2147" s="133">
        <v>5.9486043478935019E-2</v>
      </c>
    </row>
    <row r="2148" spans="8:9" ht="12" customHeight="1">
      <c r="H2148" s="133">
        <v>-0.14820027891338516</v>
      </c>
      <c r="I2148" s="133">
        <v>5.9489281261760833E-2</v>
      </c>
    </row>
    <row r="2149" spans="8:9" ht="12" customHeight="1">
      <c r="H2149" s="133">
        <v>-0.1473816600627586</v>
      </c>
      <c r="I2149" s="133">
        <v>5.9590703517805169E-2</v>
      </c>
    </row>
    <row r="2150" spans="8:9" ht="12" customHeight="1">
      <c r="H2150" s="133">
        <v>-0.14732225394382484</v>
      </c>
      <c r="I2150" s="133">
        <v>5.9598069900288306E-2</v>
      </c>
    </row>
    <row r="2151" spans="8:9" ht="12" customHeight="1">
      <c r="H2151" s="133">
        <v>-0.14658762601773356</v>
      </c>
      <c r="I2151" s="133">
        <v>5.9689234569687458E-2</v>
      </c>
    </row>
    <row r="2152" spans="8:9" ht="12" customHeight="1">
      <c r="H2152" s="133">
        <v>-0.14601595882628515</v>
      </c>
      <c r="I2152" s="133">
        <v>5.9760266740508612E-2</v>
      </c>
    </row>
    <row r="2153" spans="8:9" ht="12" customHeight="1">
      <c r="H2153" s="133">
        <v>-0.14596962320183104</v>
      </c>
      <c r="I2153" s="133">
        <v>5.9766027613050277E-2</v>
      </c>
    </row>
    <row r="2154" spans="8:9" ht="12" customHeight="1">
      <c r="H2154" s="133">
        <v>-0.14395494756286023</v>
      </c>
      <c r="I2154" s="133">
        <v>6.0017014115239881E-2</v>
      </c>
    </row>
    <row r="2155" spans="8:9" ht="12" customHeight="1">
      <c r="H2155" s="133">
        <v>-0.14326083194387054</v>
      </c>
      <c r="I2155" s="133">
        <v>6.010371473261749E-2</v>
      </c>
    </row>
    <row r="2156" spans="8:9" ht="12" customHeight="1">
      <c r="H2156" s="133">
        <v>-0.14303699849814089</v>
      </c>
      <c r="I2156" s="133">
        <v>6.013169831832104E-2</v>
      </c>
    </row>
    <row r="2157" spans="8:9" ht="12" customHeight="1">
      <c r="H2157" s="133">
        <v>-0.14206722996808996</v>
      </c>
      <c r="I2157" s="133">
        <v>6.0253079399981445E-2</v>
      </c>
    </row>
    <row r="2158" spans="8:9" ht="12" customHeight="1">
      <c r="H2158" s="133">
        <v>-0.14201107947869374</v>
      </c>
      <c r="I2158" s="133">
        <v>6.0260114494705107E-2</v>
      </c>
    </row>
    <row r="2159" spans="8:9" ht="12" customHeight="1">
      <c r="H2159" s="133">
        <v>-0.14194852350820023</v>
      </c>
      <c r="I2159" s="133">
        <v>6.026795303742534E-2</v>
      </c>
    </row>
    <row r="2160" spans="8:9" ht="12" customHeight="1">
      <c r="H2160" s="133">
        <v>-0.14061512207384985</v>
      </c>
      <c r="I2160" s="133">
        <v>6.0435261299974223E-2</v>
      </c>
    </row>
    <row r="2161" spans="8:9" ht="12" customHeight="1">
      <c r="H2161" s="133">
        <v>-0.14035740922227885</v>
      </c>
      <c r="I2161" s="133">
        <v>6.0467647840796897E-2</v>
      </c>
    </row>
    <row r="2162" spans="8:9" ht="12" customHeight="1">
      <c r="H2162" s="133">
        <v>-0.14007252250252533</v>
      </c>
      <c r="I2162" s="133">
        <v>6.0503468193867878E-2</v>
      </c>
    </row>
    <row r="2163" spans="8:9" ht="12" customHeight="1">
      <c r="H2163" s="133">
        <v>-0.13993154439627445</v>
      </c>
      <c r="I2163" s="133">
        <v>6.0521201478291146E-2</v>
      </c>
    </row>
    <row r="2164" spans="8:9" ht="12" customHeight="1">
      <c r="H2164" s="133">
        <v>-0.1398226145638729</v>
      </c>
      <c r="I2164" s="133">
        <v>6.0534906820362284E-2</v>
      </c>
    </row>
    <row r="2165" spans="8:9" ht="12" customHeight="1">
      <c r="H2165" s="133">
        <v>-0.13914069539277679</v>
      </c>
      <c r="I2165" s="133">
        <v>6.0620770584807408E-2</v>
      </c>
    </row>
    <row r="2166" spans="8:9" ht="12" customHeight="1">
      <c r="H2166" s="133">
        <v>-0.13894840562124361</v>
      </c>
      <c r="I2166" s="133">
        <v>6.0645003312055822E-2</v>
      </c>
    </row>
    <row r="2167" spans="8:9" ht="12" customHeight="1">
      <c r="H2167" s="133">
        <v>-0.13774271504557883</v>
      </c>
      <c r="I2167" s="133">
        <v>6.0797153405132302E-2</v>
      </c>
    </row>
    <row r="2168" spans="8:9" ht="12" customHeight="1">
      <c r="H2168" s="133">
        <v>-0.13738278242431051</v>
      </c>
      <c r="I2168" s="133">
        <v>6.0842643650723477E-2</v>
      </c>
    </row>
    <row r="2169" spans="8:9" ht="12" customHeight="1">
      <c r="H2169" s="133">
        <v>-0.13735622039174311</v>
      </c>
      <c r="I2169" s="133">
        <v>6.0846001966055614E-2</v>
      </c>
    </row>
    <row r="2170" spans="8:9" ht="12" customHeight="1">
      <c r="H2170" s="133">
        <v>-0.13725478400174967</v>
      </c>
      <c r="I2170" s="133">
        <v>6.0858828460182354E-2</v>
      </c>
    </row>
    <row r="2171" spans="8:9" ht="12" customHeight="1">
      <c r="H2171" s="133">
        <v>-0.13643725346560853</v>
      </c>
      <c r="I2171" s="133">
        <v>6.0962296439666497E-2</v>
      </c>
    </row>
    <row r="2172" spans="8:9" ht="12" customHeight="1">
      <c r="H2172" s="133">
        <v>-0.13610232092055774</v>
      </c>
      <c r="I2172" s="133">
        <v>6.1004733522254981E-2</v>
      </c>
    </row>
    <row r="2173" spans="8:9" ht="12" customHeight="1">
      <c r="H2173" s="133">
        <v>-0.13528727474636093</v>
      </c>
      <c r="I2173" s="133">
        <v>6.1108118039618804E-2</v>
      </c>
    </row>
    <row r="2174" spans="8:9" ht="12" customHeight="1">
      <c r="H2174" s="133">
        <v>-0.13499499431452117</v>
      </c>
      <c r="I2174" s="133">
        <v>6.114523223240053E-2</v>
      </c>
    </row>
    <row r="2175" spans="8:9" ht="12" customHeight="1">
      <c r="H2175" s="133">
        <v>-0.1343558075615901</v>
      </c>
      <c r="I2175" s="133">
        <v>6.1226470538041207E-2</v>
      </c>
    </row>
    <row r="2176" spans="8:9" ht="12" customHeight="1">
      <c r="H2176" s="133">
        <v>-0.13409410602488625</v>
      </c>
      <c r="I2176" s="133">
        <v>6.1259760951763581E-2</v>
      </c>
    </row>
    <row r="2177" spans="8:9" ht="12" customHeight="1">
      <c r="H2177" s="133">
        <v>-0.13385402761038759</v>
      </c>
      <c r="I2177" s="133">
        <v>6.1290315620598668E-2</v>
      </c>
    </row>
    <row r="2178" spans="8:9" ht="12" customHeight="1">
      <c r="H2178" s="133">
        <v>-0.13381913024267422</v>
      </c>
      <c r="I2178" s="133">
        <v>6.129475817807041E-2</v>
      </c>
    </row>
    <row r="2179" spans="8:9" ht="12" customHeight="1">
      <c r="H2179" s="133">
        <v>-0.13376579960961191</v>
      </c>
      <c r="I2179" s="133">
        <v>6.1301547936417504E-2</v>
      </c>
    </row>
    <row r="2180" spans="8:9" ht="12" customHeight="1">
      <c r="H2180" s="133">
        <v>-0.13315133638396148</v>
      </c>
      <c r="I2180" s="133">
        <v>6.137982868972381E-2</v>
      </c>
    </row>
    <row r="2181" spans="8:9" ht="12" customHeight="1">
      <c r="H2181" s="133">
        <v>-0.13263472040906338</v>
      </c>
      <c r="I2181" s="133">
        <v>6.1445716284481589E-2</v>
      </c>
    </row>
    <row r="2182" spans="8:9" ht="12" customHeight="1">
      <c r="H2182" s="133">
        <v>-0.13249883995637413</v>
      </c>
      <c r="I2182" s="133">
        <v>6.146305703030993E-2</v>
      </c>
    </row>
    <row r="2183" spans="8:9" ht="12" customHeight="1">
      <c r="H2183" s="133">
        <v>-0.13219252967656139</v>
      </c>
      <c r="I2183" s="133">
        <v>6.1502164408401484E-2</v>
      </c>
    </row>
    <row r="2184" spans="8:9" ht="12" customHeight="1">
      <c r="H2184" s="133">
        <v>-0.13197502372710407</v>
      </c>
      <c r="I2184" s="133">
        <v>6.1529948038181098E-2</v>
      </c>
    </row>
    <row r="2185" spans="8:9" ht="12" customHeight="1">
      <c r="H2185" s="133">
        <v>-0.1307467078565723</v>
      </c>
      <c r="I2185" s="133">
        <v>6.1687070082000445E-2</v>
      </c>
    </row>
    <row r="2186" spans="8:9" ht="12" customHeight="1">
      <c r="H2186" s="133">
        <v>-0.12960487273419508</v>
      </c>
      <c r="I2186" s="133">
        <v>6.1833465915401259E-2</v>
      </c>
    </row>
    <row r="2187" spans="8:9" ht="12" customHeight="1">
      <c r="H2187" s="133">
        <v>-0.12893743746413103</v>
      </c>
      <c r="I2187" s="133">
        <v>6.1919188691754931E-2</v>
      </c>
    </row>
    <row r="2188" spans="8:9" ht="12" customHeight="1">
      <c r="H2188" s="133">
        <v>-0.12769643460929697</v>
      </c>
      <c r="I2188" s="133">
        <v>6.207887337526706E-2</v>
      </c>
    </row>
    <row r="2189" spans="8:9" ht="12" customHeight="1">
      <c r="H2189" s="133">
        <v>-0.12766254697678381</v>
      </c>
      <c r="I2189" s="133">
        <v>6.2083239218644684E-2</v>
      </c>
    </row>
    <row r="2190" spans="8:9" ht="12" customHeight="1">
      <c r="H2190" s="133">
        <v>-0.12753783180584777</v>
      </c>
      <c r="I2190" s="133">
        <v>6.2099309110342893E-2</v>
      </c>
    </row>
    <row r="2191" spans="8:9" ht="12" customHeight="1">
      <c r="H2191" s="133">
        <v>-0.1264681873639068</v>
      </c>
      <c r="I2191" s="133">
        <v>6.2237295325864903E-2</v>
      </c>
    </row>
    <row r="2192" spans="8:9" ht="12" customHeight="1">
      <c r="H2192" s="133">
        <v>-0.12580847653750205</v>
      </c>
      <c r="I2192" s="133">
        <v>6.2322541975302771E-2</v>
      </c>
    </row>
    <row r="2193" spans="8:9" ht="12" customHeight="1">
      <c r="H2193" s="133">
        <v>-0.12548370661117803</v>
      </c>
      <c r="I2193" s="133">
        <v>6.2364548190292829E-2</v>
      </c>
    </row>
    <row r="2194" spans="8:9" ht="12" customHeight="1">
      <c r="H2194" s="133">
        <v>-0.12468800082821556</v>
      </c>
      <c r="I2194" s="133">
        <v>6.2467577660947224E-2</v>
      </c>
    </row>
    <row r="2195" spans="8:9" ht="12" customHeight="1">
      <c r="H2195" s="133">
        <v>-0.12455709934353955</v>
      </c>
      <c r="I2195" s="133">
        <v>6.2484542239955927E-2</v>
      </c>
    </row>
    <row r="2196" spans="8:9" ht="12" customHeight="1">
      <c r="H2196" s="133">
        <v>-0.12374444320394672</v>
      </c>
      <c r="I2196" s="133">
        <v>6.258995714932597E-2</v>
      </c>
    </row>
    <row r="2197" spans="8:9" ht="12" customHeight="1">
      <c r="H2197" s="133">
        <v>-0.12274443382616067</v>
      </c>
      <c r="I2197" s="133">
        <v>6.271990263366585E-2</v>
      </c>
    </row>
    <row r="2198" spans="8:9" ht="12" customHeight="1">
      <c r="H2198" s="133">
        <v>-0.12165185820845069</v>
      </c>
      <c r="I2198" s="133">
        <v>6.2862164307362897E-2</v>
      </c>
    </row>
    <row r="2199" spans="8:9" ht="12" customHeight="1">
      <c r="H2199" s="133">
        <v>-0.1211516225746441</v>
      </c>
      <c r="I2199" s="133">
        <v>6.2927399218750985E-2</v>
      </c>
    </row>
    <row r="2200" spans="8:9" ht="12" customHeight="1">
      <c r="H2200" s="133">
        <v>-0.1201506958167239</v>
      </c>
      <c r="I2200" s="133">
        <v>6.3058118077013905E-2</v>
      </c>
    </row>
    <row r="2201" spans="8:9" ht="12" customHeight="1">
      <c r="H2201" s="133">
        <v>-0.11741769526958086</v>
      </c>
      <c r="I2201" s="133">
        <v>6.3416332921708271E-2</v>
      </c>
    </row>
    <row r="2202" spans="8:9" ht="12" customHeight="1">
      <c r="H2202" s="133">
        <v>-0.11697847779663953</v>
      </c>
      <c r="I2202" s="133">
        <v>6.3474077883398178E-2</v>
      </c>
    </row>
    <row r="2203" spans="8:9" ht="12" customHeight="1">
      <c r="H2203" s="133">
        <v>-0.11610081289150977</v>
      </c>
      <c r="I2203" s="133">
        <v>6.3589613430054093E-2</v>
      </c>
    </row>
    <row r="2204" spans="8:9" ht="12" customHeight="1">
      <c r="H2204" s="133">
        <v>-0.11587088020773352</v>
      </c>
      <c r="I2204" s="133">
        <v>6.3619914087924931E-2</v>
      </c>
    </row>
    <row r="2205" spans="8:9" ht="12" customHeight="1">
      <c r="H2205" s="133">
        <v>-0.11574305165333637</v>
      </c>
      <c r="I2205" s="133">
        <v>6.3636765226286557E-2</v>
      </c>
    </row>
    <row r="2206" spans="8:9" ht="12" customHeight="1">
      <c r="H2206" s="133">
        <v>-0.11548946613208845</v>
      </c>
      <c r="I2206" s="133">
        <v>6.367020672651566E-2</v>
      </c>
    </row>
    <row r="2207" spans="8:9" ht="12" customHeight="1">
      <c r="H2207" s="133">
        <v>-0.11437461200820445</v>
      </c>
      <c r="I2207" s="133">
        <v>6.381742208786155E-2</v>
      </c>
    </row>
    <row r="2208" spans="8:9" ht="12" customHeight="1">
      <c r="H2208" s="133">
        <v>-0.11332054013692276</v>
      </c>
      <c r="I2208" s="133">
        <v>6.3956902872103802E-2</v>
      </c>
    </row>
    <row r="2209" spans="8:9" ht="12" customHeight="1">
      <c r="H2209" s="133">
        <v>-0.11304425728679193</v>
      </c>
      <c r="I2209" s="133">
        <v>6.3993509142193483E-2</v>
      </c>
    </row>
    <row r="2210" spans="8:9" ht="12" customHeight="1">
      <c r="H2210" s="133">
        <v>-0.112720628010386</v>
      </c>
      <c r="I2210" s="133">
        <v>6.4036413430118316E-2</v>
      </c>
    </row>
    <row r="2211" spans="8:9" ht="12" customHeight="1">
      <c r="H2211" s="133">
        <v>-0.1121973508842571</v>
      </c>
      <c r="I2211" s="133">
        <v>6.410584219547158E-2</v>
      </c>
    </row>
    <row r="2212" spans="8:9" ht="12" customHeight="1">
      <c r="H2212" s="133">
        <v>-0.1121049689847801</v>
      </c>
      <c r="I2212" s="133">
        <v>6.4118106768871336E-2</v>
      </c>
    </row>
    <row r="2213" spans="8:9" ht="12" customHeight="1">
      <c r="H2213" s="133">
        <v>-0.11153057007318053</v>
      </c>
      <c r="I2213" s="133">
        <v>6.4194412727837727E-2</v>
      </c>
    </row>
    <row r="2214" spans="8:9" ht="12" customHeight="1">
      <c r="H2214" s="133">
        <v>-0.11103149070546486</v>
      </c>
      <c r="I2214" s="133">
        <v>6.4260781533938702E-2</v>
      </c>
    </row>
    <row r="2215" spans="8:9" ht="12" customHeight="1">
      <c r="H2215" s="133">
        <v>-0.11009073851947308</v>
      </c>
      <c r="I2215" s="133">
        <v>6.438605887088876E-2</v>
      </c>
    </row>
    <row r="2216" spans="8:9" ht="12" customHeight="1">
      <c r="H2216" s="133">
        <v>-0.1095890605331635</v>
      </c>
      <c r="I2216" s="133">
        <v>6.4452958866954416E-2</v>
      </c>
    </row>
    <row r="2217" spans="8:9" ht="12" customHeight="1">
      <c r="H2217" s="133">
        <v>-0.10944390168160399</v>
      </c>
      <c r="I2217" s="133">
        <v>6.4472328227500209E-2</v>
      </c>
    </row>
    <row r="2218" spans="8:9" ht="12" customHeight="1">
      <c r="H2218" s="133">
        <v>-0.10926573737976851</v>
      </c>
      <c r="I2218" s="133">
        <v>6.4496109098839363E-2</v>
      </c>
    </row>
    <row r="2219" spans="8:9" ht="12" customHeight="1">
      <c r="H2219" s="133">
        <v>-0.10885206035412366</v>
      </c>
      <c r="I2219" s="133">
        <v>6.4551357047145833E-2</v>
      </c>
    </row>
    <row r="2220" spans="8:9" ht="12" customHeight="1">
      <c r="H2220" s="133">
        <v>-0.10873289565750675</v>
      </c>
      <c r="I2220" s="133">
        <v>6.4567280062641591E-2</v>
      </c>
    </row>
    <row r="2221" spans="8:9" ht="12" customHeight="1">
      <c r="H2221" s="133">
        <v>-0.10854653844208779</v>
      </c>
      <c r="I2221" s="133">
        <v>6.4592188802343339E-2</v>
      </c>
    </row>
    <row r="2222" spans="8:9" ht="12" customHeight="1">
      <c r="H2222" s="133">
        <v>-0.10840341745619078</v>
      </c>
      <c r="I2222" s="133">
        <v>6.4611324606234158E-2</v>
      </c>
    </row>
    <row r="2223" spans="8:9" ht="12" customHeight="1">
      <c r="H2223" s="133">
        <v>-0.10812217829880681</v>
      </c>
      <c r="I2223" s="133">
        <v>6.4648942694643816E-2</v>
      </c>
    </row>
    <row r="2224" spans="8:9" ht="12" customHeight="1">
      <c r="H2224" s="133">
        <v>-0.10763207651373642</v>
      </c>
      <c r="I2224" s="133">
        <v>6.4714546631738035E-2</v>
      </c>
    </row>
    <row r="2225" spans="8:9" ht="12" customHeight="1">
      <c r="H2225" s="133">
        <v>-0.10762110235083482</v>
      </c>
      <c r="I2225" s="133">
        <v>6.4716016317893379E-2</v>
      </c>
    </row>
    <row r="2226" spans="8:9" ht="12" customHeight="1">
      <c r="H2226" s="133">
        <v>-0.10674101162490184</v>
      </c>
      <c r="I2226" s="133">
        <v>6.4833981372180424E-2</v>
      </c>
    </row>
    <row r="2227" spans="8:9" ht="12" customHeight="1">
      <c r="H2227" s="133">
        <v>-0.10644323460041419</v>
      </c>
      <c r="I2227" s="133">
        <v>6.4873939914152981E-2</v>
      </c>
    </row>
    <row r="2228" spans="8:9" ht="12" customHeight="1">
      <c r="H2228" s="133">
        <v>-0.10608032504527853</v>
      </c>
      <c r="I2228" s="133">
        <v>6.4922669542383821E-2</v>
      </c>
    </row>
    <row r="2229" spans="8:9" ht="12" customHeight="1">
      <c r="H2229" s="133">
        <v>-0.10549879820308207</v>
      </c>
      <c r="I2229" s="133">
        <v>6.5000824999978099E-2</v>
      </c>
    </row>
    <row r="2230" spans="8:9" ht="12" customHeight="1">
      <c r="H2230" s="133">
        <v>-0.10464743312982749</v>
      </c>
      <c r="I2230" s="133">
        <v>6.5115403816101869E-2</v>
      </c>
    </row>
    <row r="2231" spans="8:9" ht="12" customHeight="1">
      <c r="H2231" s="133">
        <v>-0.10413764798049362</v>
      </c>
      <c r="I2231" s="133">
        <v>6.5184101877110059E-2</v>
      </c>
    </row>
    <row r="2232" spans="8:9" ht="12" customHeight="1">
      <c r="H2232" s="133">
        <v>-0.10343894972352499</v>
      </c>
      <c r="I2232" s="133">
        <v>6.5278367186407102E-2</v>
      </c>
    </row>
    <row r="2233" spans="8:9" ht="12" customHeight="1">
      <c r="H2233" s="133">
        <v>-0.10326445634485162</v>
      </c>
      <c r="I2233" s="133">
        <v>6.5301928849317598E-2</v>
      </c>
    </row>
    <row r="2234" spans="8:9" ht="12" customHeight="1">
      <c r="H2234" s="133">
        <v>-0.10222396427464313</v>
      </c>
      <c r="I2234" s="133">
        <v>6.5442589718693073E-2</v>
      </c>
    </row>
    <row r="2235" spans="8:9" ht="12" customHeight="1">
      <c r="H2235" s="133">
        <v>-0.10168933892357546</v>
      </c>
      <c r="I2235" s="133">
        <v>6.5514973585722433E-2</v>
      </c>
    </row>
    <row r="2236" spans="8:9" ht="12" customHeight="1">
      <c r="H2236" s="133">
        <v>-0.10032805856915064</v>
      </c>
      <c r="I2236" s="133">
        <v>6.569961596865985E-2</v>
      </c>
    </row>
    <row r="2237" spans="8:9" ht="12" customHeight="1">
      <c r="H2237" s="133">
        <v>-0.10010979212765027</v>
      </c>
      <c r="I2237" s="133">
        <v>6.5729266326122596E-2</v>
      </c>
    </row>
    <row r="2238" spans="8:9" ht="12" customHeight="1">
      <c r="H2238" s="133">
        <v>-9.8366302199066766E-2</v>
      </c>
      <c r="I2238" s="133">
        <v>6.5966557244470023E-2</v>
      </c>
    </row>
    <row r="2239" spans="8:9" ht="12" customHeight="1">
      <c r="H2239" s="133">
        <v>-9.7846867825717512E-2</v>
      </c>
      <c r="I2239" s="133">
        <v>6.6037406631242038E-2</v>
      </c>
    </row>
    <row r="2240" spans="8:9" ht="12" customHeight="1">
      <c r="H2240" s="133">
        <v>-9.7545474998600598E-2</v>
      </c>
      <c r="I2240" s="133">
        <v>6.6078548177074148E-2</v>
      </c>
    </row>
    <row r="2241" spans="8:9" ht="12" customHeight="1">
      <c r="H2241" s="133">
        <v>-9.7515552048111617E-2</v>
      </c>
      <c r="I2241" s="133">
        <v>6.6082634100768714E-2</v>
      </c>
    </row>
    <row r="2242" spans="8:9" ht="12" customHeight="1">
      <c r="H2242" s="133">
        <v>-9.7300692531056041E-2</v>
      </c>
      <c r="I2242" s="133">
        <v>6.6111979667318299E-2</v>
      </c>
    </row>
    <row r="2243" spans="8:9" ht="12" customHeight="1">
      <c r="H2243" s="133">
        <v>-9.5815155721346731E-2</v>
      </c>
      <c r="I2243" s="133">
        <v>6.6315206158403889E-2</v>
      </c>
    </row>
    <row r="2244" spans="8:9" ht="12" customHeight="1">
      <c r="H2244" s="133">
        <v>-9.484705979680047E-2</v>
      </c>
      <c r="I2244" s="133">
        <v>6.6447957152215895E-2</v>
      </c>
    </row>
    <row r="2245" spans="8:9" ht="12" customHeight="1">
      <c r="H2245" s="133">
        <v>-9.4586751295848315E-2</v>
      </c>
      <c r="I2245" s="133">
        <v>6.6483694266771393E-2</v>
      </c>
    </row>
    <row r="2246" spans="8:9" ht="12" customHeight="1">
      <c r="H2246" s="133">
        <v>-9.4519031361754019E-2</v>
      </c>
      <c r="I2246" s="133">
        <v>6.6492994295852509E-2</v>
      </c>
    </row>
    <row r="2247" spans="8:9" ht="12" customHeight="1">
      <c r="H2247" s="133">
        <v>-9.276841198441281E-2</v>
      </c>
      <c r="I2247" s="133">
        <v>6.6733827873270965E-2</v>
      </c>
    </row>
    <row r="2248" spans="8:9" ht="12" customHeight="1">
      <c r="H2248" s="133">
        <v>-9.2594631525966059E-2</v>
      </c>
      <c r="I2248" s="133">
        <v>6.6757779078308571E-2</v>
      </c>
    </row>
    <row r="2249" spans="8:9" ht="12" customHeight="1">
      <c r="H2249" s="133">
        <v>-9.2015106848396339E-2</v>
      </c>
      <c r="I2249" s="133">
        <v>6.6837709477115967E-2</v>
      </c>
    </row>
    <row r="2250" spans="8:9" ht="12" customHeight="1">
      <c r="H2250" s="133">
        <v>-9.1997624048936008E-2</v>
      </c>
      <c r="I2250" s="133">
        <v>6.6840122155921236E-2</v>
      </c>
    </row>
    <row r="2251" spans="8:9" ht="12" customHeight="1">
      <c r="H2251" s="133">
        <v>-9.1875030604552391E-2</v>
      </c>
      <c r="I2251" s="133">
        <v>6.6857042690693369E-2</v>
      </c>
    </row>
    <row r="2252" spans="8:9" ht="12" customHeight="1">
      <c r="H2252" s="133">
        <v>-9.1779707406101099E-2</v>
      </c>
      <c r="I2252" s="133">
        <v>6.6870202092381023E-2</v>
      </c>
    </row>
    <row r="2253" spans="8:9" ht="12" customHeight="1">
      <c r="H2253" s="133">
        <v>-9.1734894642136022E-2</v>
      </c>
      <c r="I2253" s="133">
        <v>6.6876389341375089E-2</v>
      </c>
    </row>
    <row r="2254" spans="8:9" ht="12" customHeight="1">
      <c r="H2254" s="133">
        <v>-9.1650592558027238E-2</v>
      </c>
      <c r="I2254" s="133">
        <v>6.6888030277633084E-2</v>
      </c>
    </row>
    <row r="2255" spans="8:9" ht="12" customHeight="1">
      <c r="H2255" s="133">
        <v>-9.1536663842079494E-2</v>
      </c>
      <c r="I2255" s="133">
        <v>6.6903765225320211E-2</v>
      </c>
    </row>
    <row r="2256" spans="8:9" ht="12" customHeight="1">
      <c r="H2256" s="133">
        <v>-9.135450899416199E-2</v>
      </c>
      <c r="I2256" s="133">
        <v>6.6928930174437365E-2</v>
      </c>
    </row>
    <row r="2257" spans="8:9" ht="12" customHeight="1">
      <c r="H2257" s="133">
        <v>-9.1154126316742273E-2</v>
      </c>
      <c r="I2257" s="133">
        <v>6.6956623473092211E-2</v>
      </c>
    </row>
    <row r="2258" spans="8:9" ht="12" customHeight="1">
      <c r="H2258" s="133">
        <v>-9.1105276173972558E-2</v>
      </c>
      <c r="I2258" s="133">
        <v>6.6963376275798736E-2</v>
      </c>
    </row>
    <row r="2259" spans="8:9" ht="12" customHeight="1">
      <c r="H2259" s="133">
        <v>-9.0879314390471949E-2</v>
      </c>
      <c r="I2259" s="133">
        <v>6.699462034362097E-2</v>
      </c>
    </row>
    <row r="2260" spans="8:9" ht="12" customHeight="1">
      <c r="H2260" s="133">
        <v>-9.0844484001589385E-2</v>
      </c>
      <c r="I2260" s="133">
        <v>6.6999437596128364E-2</v>
      </c>
    </row>
    <row r="2261" spans="8:9" ht="12" customHeight="1">
      <c r="H2261" s="133">
        <v>-9.0651850730633241E-2</v>
      </c>
      <c r="I2261" s="133">
        <v>6.7026085744067612E-2</v>
      </c>
    </row>
    <row r="2262" spans="8:9" ht="12" customHeight="1">
      <c r="H2262" s="133">
        <v>-8.9906827682954799E-2</v>
      </c>
      <c r="I2262" s="133">
        <v>6.7129241998755793E-2</v>
      </c>
    </row>
    <row r="2263" spans="8:9" ht="12" customHeight="1">
      <c r="H2263" s="133">
        <v>-8.9825342853002962E-2</v>
      </c>
      <c r="I2263" s="133">
        <v>6.7140533362501698E-2</v>
      </c>
    </row>
    <row r="2264" spans="8:9" ht="12" customHeight="1">
      <c r="H2264" s="133">
        <v>-8.9755156157341975E-2</v>
      </c>
      <c r="I2264" s="133">
        <v>6.7150260555166014E-2</v>
      </c>
    </row>
    <row r="2265" spans="8:9" ht="12" customHeight="1">
      <c r="H2265" s="133">
        <v>-8.970051587424914E-2</v>
      </c>
      <c r="I2265" s="133">
        <v>6.7157834071767966E-2</v>
      </c>
    </row>
    <row r="2266" spans="8:9" ht="12" customHeight="1">
      <c r="H2266" s="133">
        <v>-8.9547549705117399E-2</v>
      </c>
      <c r="I2266" s="133">
        <v>6.7179040444029073E-2</v>
      </c>
    </row>
    <row r="2267" spans="8:9" ht="12" customHeight="1">
      <c r="H2267" s="133">
        <v>-8.90513480628944E-2</v>
      </c>
      <c r="I2267" s="133">
        <v>6.7247873838235273E-2</v>
      </c>
    </row>
    <row r="2268" spans="8:9" ht="12" customHeight="1">
      <c r="H2268" s="133">
        <v>-8.899030831701317E-2</v>
      </c>
      <c r="I2268" s="133">
        <v>6.7256345828007519E-2</v>
      </c>
    </row>
    <row r="2269" spans="8:9" ht="12" customHeight="1">
      <c r="H2269" s="133">
        <v>-8.8613519730818879E-2</v>
      </c>
      <c r="I2269" s="133">
        <v>6.7308663993864953E-2</v>
      </c>
    </row>
    <row r="2270" spans="8:9" ht="12" customHeight="1">
      <c r="H2270" s="133">
        <v>-8.7807804563010808E-2</v>
      </c>
      <c r="I2270" s="133">
        <v>6.7420666563156442E-2</v>
      </c>
    </row>
    <row r="2271" spans="8:9" ht="12" customHeight="1">
      <c r="H2271" s="133">
        <v>-8.7766774246529372E-2</v>
      </c>
      <c r="I2271" s="133">
        <v>6.7426374816878243E-2</v>
      </c>
    </row>
    <row r="2272" spans="8:9" ht="12" customHeight="1">
      <c r="H2272" s="133">
        <v>-8.7677284116896376E-2</v>
      </c>
      <c r="I2272" s="133">
        <v>6.7438826492322648E-2</v>
      </c>
    </row>
    <row r="2273" spans="8:9" ht="12" customHeight="1">
      <c r="H2273" s="133">
        <v>-8.7595609418447684E-2</v>
      </c>
      <c r="I2273" s="133">
        <v>6.7450192588860272E-2</v>
      </c>
    </row>
    <row r="2274" spans="8:9" ht="12" customHeight="1">
      <c r="H2274" s="133">
        <v>-8.7336676895099483E-2</v>
      </c>
      <c r="I2274" s="133">
        <v>6.7486238165492762E-2</v>
      </c>
    </row>
    <row r="2275" spans="8:9" ht="12" customHeight="1">
      <c r="H2275" s="133">
        <v>-8.73124946634493E-2</v>
      </c>
      <c r="I2275" s="133">
        <v>6.7489605446920814E-2</v>
      </c>
    </row>
    <row r="2276" spans="8:9" ht="12" customHeight="1">
      <c r="H2276" s="133">
        <v>-8.3932909110095238E-2</v>
      </c>
      <c r="I2276" s="133">
        <v>6.7961735189448175E-2</v>
      </c>
    </row>
    <row r="2277" spans="8:9" ht="12" customHeight="1">
      <c r="H2277" s="133">
        <v>-8.3773522643698556E-2</v>
      </c>
      <c r="I2277" s="133">
        <v>6.7984076998293258E-2</v>
      </c>
    </row>
    <row r="2278" spans="8:9" ht="12" customHeight="1">
      <c r="H2278" s="133">
        <v>-8.3365329136526875E-2</v>
      </c>
      <c r="I2278" s="133">
        <v>6.8041326090635665E-2</v>
      </c>
    </row>
    <row r="2279" spans="8:9" ht="12" customHeight="1">
      <c r="H2279" s="133">
        <v>-8.2889682224954325E-2</v>
      </c>
      <c r="I2279" s="133">
        <v>6.8108091890710334E-2</v>
      </c>
    </row>
    <row r="2280" spans="8:9" ht="12" customHeight="1">
      <c r="H2280" s="133">
        <v>-8.2816721706501797E-2</v>
      </c>
      <c r="I2280" s="133">
        <v>6.8118338612918966E-2</v>
      </c>
    </row>
    <row r="2281" spans="8:9" ht="12" customHeight="1">
      <c r="H2281" s="133">
        <v>-8.268135445000574E-2</v>
      </c>
      <c r="I2281" s="133">
        <v>6.8137353648186003E-2</v>
      </c>
    </row>
    <row r="2282" spans="8:9" ht="12" customHeight="1">
      <c r="H2282" s="133">
        <v>-8.2549746865914306E-2</v>
      </c>
      <c r="I2282" s="133">
        <v>6.8155845279060462E-2</v>
      </c>
    </row>
    <row r="2283" spans="8:9" ht="12" customHeight="1">
      <c r="H2283" s="133">
        <v>-8.2347553221864267E-2</v>
      </c>
      <c r="I2283" s="133">
        <v>6.8184263724366798E-2</v>
      </c>
    </row>
    <row r="2284" spans="8:9" ht="12" customHeight="1">
      <c r="H2284" s="133">
        <v>-8.1856273672368196E-2</v>
      </c>
      <c r="I2284" s="133">
        <v>6.8253359143541387E-2</v>
      </c>
    </row>
    <row r="2285" spans="8:9" ht="12" customHeight="1">
      <c r="H2285" s="133">
        <v>-8.1793757175504675E-2</v>
      </c>
      <c r="I2285" s="133">
        <v>6.8262156353441128E-2</v>
      </c>
    </row>
    <row r="2286" spans="8:9" ht="12" customHeight="1">
      <c r="H2286" s="133">
        <v>-8.1706658368953564E-2</v>
      </c>
      <c r="I2286" s="133">
        <v>6.8274414493934787E-2</v>
      </c>
    </row>
    <row r="2287" spans="8:9" ht="12" customHeight="1">
      <c r="H2287" s="133">
        <v>-8.0966366854953536E-2</v>
      </c>
      <c r="I2287" s="133">
        <v>6.8378684264615505E-2</v>
      </c>
    </row>
    <row r="2288" spans="8:9" ht="12" customHeight="1">
      <c r="H2288" s="133">
        <v>-7.9652879209735836E-2</v>
      </c>
      <c r="I2288" s="133">
        <v>6.8564051714490343E-2</v>
      </c>
    </row>
    <row r="2289" spans="8:9" ht="12" customHeight="1">
      <c r="H2289" s="133">
        <v>-7.9006902897555395E-2</v>
      </c>
      <c r="I2289" s="133">
        <v>6.8655386537951529E-2</v>
      </c>
    </row>
    <row r="2290" spans="8:9" ht="12" customHeight="1">
      <c r="H2290" s="133">
        <v>-7.8929154137907312E-2</v>
      </c>
      <c r="I2290" s="133">
        <v>6.8666387058498063E-2</v>
      </c>
    </row>
    <row r="2291" spans="8:9" ht="12" customHeight="1">
      <c r="H2291" s="133">
        <v>-7.5820589265623656E-2</v>
      </c>
      <c r="I2291" s="133">
        <v>6.9107551553151708E-2</v>
      </c>
    </row>
    <row r="2292" spans="8:9" ht="12" customHeight="1">
      <c r="H2292" s="133">
        <v>-7.5241263894283372E-2</v>
      </c>
      <c r="I2292" s="133">
        <v>6.9190058393885048E-2</v>
      </c>
    </row>
    <row r="2293" spans="8:9" ht="12" customHeight="1">
      <c r="H2293" s="133">
        <v>-7.4842586665209945E-2</v>
      </c>
      <c r="I2293" s="133">
        <v>6.9246890493882579E-2</v>
      </c>
    </row>
    <row r="2294" spans="8:9" ht="12" customHeight="1">
      <c r="H2294" s="133">
        <v>-7.3970141268890496E-2</v>
      </c>
      <c r="I2294" s="133">
        <v>6.9371409797111871E-2</v>
      </c>
    </row>
    <row r="2295" spans="8:9" ht="12" customHeight="1">
      <c r="H2295" s="133">
        <v>-7.3354747513775478E-2</v>
      </c>
      <c r="I2295" s="133">
        <v>6.9459366141358295E-2</v>
      </c>
    </row>
    <row r="2296" spans="8:9" ht="12" customHeight="1">
      <c r="H2296" s="133">
        <v>-7.2830744752693702E-2</v>
      </c>
      <c r="I2296" s="133">
        <v>6.9534341584954071E-2</v>
      </c>
    </row>
    <row r="2297" spans="8:9" ht="12" customHeight="1">
      <c r="H2297" s="133">
        <v>-7.1523749091722003E-2</v>
      </c>
      <c r="I2297" s="133">
        <v>6.9721675764128632E-2</v>
      </c>
    </row>
    <row r="2298" spans="8:9" ht="12" customHeight="1">
      <c r="H2298" s="133">
        <v>-7.1452681166773377E-2</v>
      </c>
      <c r="I2298" s="133">
        <v>6.9731875437286622E-2</v>
      </c>
    </row>
    <row r="2299" spans="8:9" ht="12" customHeight="1">
      <c r="H2299" s="133">
        <v>-7.1173587751569803E-2</v>
      </c>
      <c r="I2299" s="133">
        <v>6.977194429733137E-2</v>
      </c>
    </row>
    <row r="2300" spans="8:9" ht="12" customHeight="1">
      <c r="H2300" s="133">
        <v>-7.0613319010578698E-2</v>
      </c>
      <c r="I2300" s="133">
        <v>6.9852445208949052E-2</v>
      </c>
    </row>
    <row r="2301" spans="8:9" ht="12" customHeight="1">
      <c r="H2301" s="133">
        <v>-6.9972829283511812E-2</v>
      </c>
      <c r="I2301" s="133">
        <v>6.9944577717058462E-2</v>
      </c>
    </row>
    <row r="2302" spans="8:9" ht="12" customHeight="1">
      <c r="H2302" s="133">
        <v>-6.8552924441448906E-2</v>
      </c>
      <c r="I2302" s="133">
        <v>7.014922757702946E-2</v>
      </c>
    </row>
    <row r="2303" spans="8:9" ht="12" customHeight="1">
      <c r="H2303" s="133">
        <v>-6.8339070582101549E-2</v>
      </c>
      <c r="I2303" s="133">
        <v>7.0180098107533478E-2</v>
      </c>
    </row>
    <row r="2304" spans="8:9" ht="12" customHeight="1">
      <c r="H2304" s="133">
        <v>-6.7964029928290634E-2</v>
      </c>
      <c r="I2304" s="133">
        <v>7.0234266827859534E-2</v>
      </c>
    </row>
    <row r="2305" spans="8:9" ht="12" customHeight="1">
      <c r="H2305" s="133">
        <v>-6.7233531900044136E-2</v>
      </c>
      <c r="I2305" s="133">
        <v>7.0339886748990513E-2</v>
      </c>
    </row>
    <row r="2306" spans="8:9" ht="12" customHeight="1">
      <c r="H2306" s="133">
        <v>-6.7174710266315094E-2</v>
      </c>
      <c r="I2306" s="133">
        <v>7.0348397928465561E-2</v>
      </c>
    </row>
    <row r="2307" spans="8:9" ht="12" customHeight="1">
      <c r="H2307" s="133">
        <v>-6.6815851614508259E-2</v>
      </c>
      <c r="I2307" s="133">
        <v>7.0400343500511803E-2</v>
      </c>
    </row>
    <row r="2308" spans="8:9" ht="12" customHeight="1">
      <c r="H2308" s="133">
        <v>-6.5683936486086572E-2</v>
      </c>
      <c r="I2308" s="133">
        <v>7.0564423031311677E-2</v>
      </c>
    </row>
    <row r="2309" spans="8:9" ht="12" customHeight="1">
      <c r="H2309" s="133">
        <v>-6.5634290199056228E-2</v>
      </c>
      <c r="I2309" s="133">
        <v>7.0571627714118471E-2</v>
      </c>
    </row>
    <row r="2310" spans="8:9" ht="12" customHeight="1">
      <c r="H2310" s="133">
        <v>-6.4513966446025611E-2</v>
      </c>
      <c r="I2310" s="133">
        <v>7.0734390248029397E-2</v>
      </c>
    </row>
    <row r="2311" spans="8:9" ht="12" customHeight="1">
      <c r="H2311" s="133">
        <v>-6.4391940614080503E-2</v>
      </c>
      <c r="I2311" s="133">
        <v>7.0752139297857133E-2</v>
      </c>
    </row>
    <row r="2312" spans="8:9" ht="12" customHeight="1">
      <c r="H2312" s="133">
        <v>-6.4329388867079895E-2</v>
      </c>
      <c r="I2312" s="133">
        <v>7.0761239245799662E-2</v>
      </c>
    </row>
    <row r="2313" spans="8:9" ht="12" customHeight="1">
      <c r="H2313" s="133">
        <v>-6.39906346909727E-2</v>
      </c>
      <c r="I2313" s="133">
        <v>7.0810539555599281E-2</v>
      </c>
    </row>
    <row r="2314" spans="8:9" ht="12" customHeight="1">
      <c r="H2314" s="133">
        <v>-6.3804811383537788E-2</v>
      </c>
      <c r="I2314" s="133">
        <v>7.0837596672567241E-2</v>
      </c>
    </row>
    <row r="2315" spans="8:9" ht="12" customHeight="1">
      <c r="H2315" s="133">
        <v>-6.2804193677832756E-2</v>
      </c>
      <c r="I2315" s="133">
        <v>7.0983457546559423E-2</v>
      </c>
    </row>
    <row r="2316" spans="8:9" ht="12" customHeight="1">
      <c r="H2316" s="133">
        <v>-6.1938692501206594E-2</v>
      </c>
      <c r="I2316" s="133">
        <v>7.1109846056544815E-2</v>
      </c>
    </row>
    <row r="2317" spans="8:9" ht="12" customHeight="1">
      <c r="H2317" s="133">
        <v>-6.1913727283521194E-2</v>
      </c>
      <c r="I2317" s="133">
        <v>7.1113494791031948E-2</v>
      </c>
    </row>
    <row r="2318" spans="8:9" ht="12" customHeight="1">
      <c r="H2318" s="133">
        <v>-6.024630323258863E-2</v>
      </c>
      <c r="I2318" s="133">
        <v>7.1357585075176491E-2</v>
      </c>
    </row>
    <row r="2319" spans="8:9" ht="12" customHeight="1">
      <c r="H2319" s="133">
        <v>-5.7871704882859684E-2</v>
      </c>
      <c r="I2319" s="133">
        <v>7.1706532112654972E-2</v>
      </c>
    </row>
    <row r="2320" spans="8:9" ht="12" customHeight="1">
      <c r="H2320" s="133">
        <v>-5.7758481226435579E-2</v>
      </c>
      <c r="I2320" s="133">
        <v>7.1723209587925787E-2</v>
      </c>
    </row>
    <row r="2321" spans="8:9" ht="12" customHeight="1">
      <c r="H2321" s="133">
        <v>-5.7184360743163951E-2</v>
      </c>
      <c r="I2321" s="133">
        <v>7.1807830761894564E-2</v>
      </c>
    </row>
    <row r="2322" spans="8:9" ht="12" customHeight="1">
      <c r="H2322" s="133">
        <v>-5.6976822735278418E-2</v>
      </c>
      <c r="I2322" s="133">
        <v>7.1838443012686479E-2</v>
      </c>
    </row>
    <row r="2323" spans="8:9" ht="12" customHeight="1">
      <c r="H2323" s="133">
        <v>-5.6844314821226941E-2</v>
      </c>
      <c r="I2323" s="133">
        <v>7.1857994479289589E-2</v>
      </c>
    </row>
    <row r="2324" spans="8:9" ht="12" customHeight="1">
      <c r="H2324" s="133">
        <v>-5.665955646963039E-2</v>
      </c>
      <c r="I2324" s="133">
        <v>7.1885263662431864E-2</v>
      </c>
    </row>
    <row r="2325" spans="8:9" ht="12" customHeight="1">
      <c r="H2325" s="133">
        <v>-5.6482456986791482E-2</v>
      </c>
      <c r="I2325" s="133">
        <v>7.1911411405277445E-2</v>
      </c>
    </row>
    <row r="2326" spans="8:9" ht="12" customHeight="1">
      <c r="H2326" s="133">
        <v>-5.609231335124526E-2</v>
      </c>
      <c r="I2326" s="133">
        <v>7.1969044876978985E-2</v>
      </c>
    </row>
    <row r="2327" spans="8:9" ht="12" customHeight="1">
      <c r="H2327" s="133">
        <v>-5.5632274803870355E-2</v>
      </c>
      <c r="I2327" s="133">
        <v>7.2037058226213341E-2</v>
      </c>
    </row>
    <row r="2328" spans="8:9" ht="12" customHeight="1">
      <c r="H2328" s="133">
        <v>-5.5455665723286793E-2</v>
      </c>
      <c r="I2328" s="133">
        <v>7.2063184337849057E-2</v>
      </c>
    </row>
    <row r="2329" spans="8:9" ht="12" customHeight="1">
      <c r="H2329" s="133">
        <v>-5.5278778007626608E-2</v>
      </c>
      <c r="I2329" s="133">
        <v>7.2089360428405191E-2</v>
      </c>
    </row>
    <row r="2330" spans="8:9" ht="12" customHeight="1">
      <c r="H2330" s="133">
        <v>-5.4992121363622901E-2</v>
      </c>
      <c r="I2330" s="133">
        <v>7.2131798899322364E-2</v>
      </c>
    </row>
    <row r="2331" spans="8:9" ht="12" customHeight="1">
      <c r="H2331" s="133">
        <v>-5.4170723213906508E-2</v>
      </c>
      <c r="I2331" s="133">
        <v>7.2253531533307505E-2</v>
      </c>
    </row>
    <row r="2332" spans="8:9" ht="12" customHeight="1">
      <c r="H2332" s="133">
        <v>-5.4120230794276913E-2</v>
      </c>
      <c r="I2332" s="133">
        <v>7.2261020774943757E-2</v>
      </c>
    </row>
    <row r="2333" spans="8:9" ht="12" customHeight="1">
      <c r="H2333" s="133">
        <v>-5.4113270859051876E-2</v>
      </c>
      <c r="I2333" s="133">
        <v>7.2262053157058526E-2</v>
      </c>
    </row>
    <row r="2334" spans="8:9" ht="12" customHeight="1">
      <c r="H2334" s="133">
        <v>-5.407930312485347E-2</v>
      </c>
      <c r="I2334" s="133">
        <v>7.2267091859070279E-2</v>
      </c>
    </row>
    <row r="2335" spans="8:9" ht="12" customHeight="1">
      <c r="H2335" s="133">
        <v>-5.3519704111863783E-2</v>
      </c>
      <c r="I2335" s="133">
        <v>7.2350148240812553E-2</v>
      </c>
    </row>
    <row r="2336" spans="8:9" ht="12" customHeight="1">
      <c r="H2336" s="133">
        <v>-5.3255584776251377E-2</v>
      </c>
      <c r="I2336" s="133">
        <v>7.2389379726586212E-2</v>
      </c>
    </row>
    <row r="2337" spans="8:9" ht="12" customHeight="1">
      <c r="H2337" s="133">
        <v>-5.2834960374556983E-2</v>
      </c>
      <c r="I2337" s="133">
        <v>7.2451898490990277E-2</v>
      </c>
    </row>
    <row r="2338" spans="8:9" ht="12" customHeight="1">
      <c r="H2338" s="133">
        <v>-5.2520210417479785E-2</v>
      </c>
      <c r="I2338" s="133">
        <v>7.2498713350150595E-2</v>
      </c>
    </row>
    <row r="2339" spans="8:9" ht="12" customHeight="1">
      <c r="H2339" s="133">
        <v>-5.1965985352637453E-2</v>
      </c>
      <c r="I2339" s="133">
        <v>7.2581214723472773E-2</v>
      </c>
    </row>
    <row r="2340" spans="8:9" ht="12" customHeight="1">
      <c r="H2340" s="133">
        <v>-5.1823243584357442E-2</v>
      </c>
      <c r="I2340" s="133">
        <v>7.2602477126076648E-2</v>
      </c>
    </row>
    <row r="2341" spans="8:9" ht="12" customHeight="1">
      <c r="H2341" s="133">
        <v>-5.1156022805717641E-2</v>
      </c>
      <c r="I2341" s="133">
        <v>7.2701940567521744E-2</v>
      </c>
    </row>
    <row r="2342" spans="8:9" ht="12" customHeight="1">
      <c r="H2342" s="133">
        <v>-5.096786191078842E-2</v>
      </c>
      <c r="I2342" s="133">
        <v>7.2730012641577704E-2</v>
      </c>
    </row>
    <row r="2343" spans="8:9" ht="12" customHeight="1">
      <c r="H2343" s="133">
        <v>-5.0548143906011034E-2</v>
      </c>
      <c r="I2343" s="133">
        <v>7.2792667147697221E-2</v>
      </c>
    </row>
    <row r="2344" spans="8:9" ht="12" customHeight="1">
      <c r="H2344" s="133">
        <v>-4.7712267001459141E-2</v>
      </c>
      <c r="I2344" s="133">
        <v>7.3217304974121947E-2</v>
      </c>
    </row>
    <row r="2345" spans="8:9" ht="12" customHeight="1">
      <c r="H2345" s="133">
        <v>-4.7543790822399373E-2</v>
      </c>
      <c r="I2345" s="133">
        <v>7.32426038817965E-2</v>
      </c>
    </row>
    <row r="2346" spans="8:9" ht="12" customHeight="1">
      <c r="H2346" s="133">
        <v>-4.7249922030975028E-2</v>
      </c>
      <c r="I2346" s="133">
        <v>7.328675140379895E-2</v>
      </c>
    </row>
    <row r="2347" spans="8:9" ht="12" customHeight="1">
      <c r="H2347" s="133">
        <v>-4.6610229767881248E-2</v>
      </c>
      <c r="I2347" s="133">
        <v>7.3382936273865412E-2</v>
      </c>
    </row>
    <row r="2348" spans="8:9" ht="12" customHeight="1">
      <c r="H2348" s="133">
        <v>-4.6579283168319496E-2</v>
      </c>
      <c r="I2348" s="133">
        <v>7.3387592386931988E-2</v>
      </c>
    </row>
    <row r="2349" spans="8:9" ht="12" customHeight="1">
      <c r="H2349" s="133">
        <v>-4.5679586985052617E-2</v>
      </c>
      <c r="I2349" s="133">
        <v>7.3523076378006952E-2</v>
      </c>
    </row>
    <row r="2350" spans="8:9" ht="12" customHeight="1">
      <c r="H2350" s="133">
        <v>-4.5013224444627131E-2</v>
      </c>
      <c r="I2350" s="133">
        <v>7.3623571379037064E-2</v>
      </c>
    </row>
    <row r="2351" spans="8:9" ht="12" customHeight="1">
      <c r="H2351" s="133">
        <v>-4.2551643224380889E-2</v>
      </c>
      <c r="I2351" s="133">
        <v>7.3995902813368902E-2</v>
      </c>
    </row>
    <row r="2352" spans="8:9" ht="12" customHeight="1">
      <c r="H2352" s="133">
        <v>-4.2301554741267428E-2</v>
      </c>
      <c r="I2352" s="133">
        <v>7.4033827252574597E-2</v>
      </c>
    </row>
    <row r="2353" spans="8:9" ht="12" customHeight="1">
      <c r="H2353" s="133">
        <v>-4.2025644775364426E-2</v>
      </c>
      <c r="I2353" s="133">
        <v>7.4075688114282126E-2</v>
      </c>
    </row>
    <row r="2354" spans="8:9" ht="12" customHeight="1">
      <c r="H2354" s="133">
        <v>-4.1904146396967545E-2</v>
      </c>
      <c r="I2354" s="133">
        <v>7.4094128665893946E-2</v>
      </c>
    </row>
    <row r="2355" spans="8:9" ht="12" customHeight="1">
      <c r="H2355" s="133">
        <v>-4.1398955048709607E-2</v>
      </c>
      <c r="I2355" s="133">
        <v>7.4170849941359265E-2</v>
      </c>
    </row>
    <row r="2356" spans="8:9" ht="12" customHeight="1">
      <c r="H2356" s="133">
        <v>-4.0990346000502262E-2</v>
      </c>
      <c r="I2356" s="133">
        <v>7.4232957120365539E-2</v>
      </c>
    </row>
    <row r="2357" spans="8:9" ht="12" customHeight="1">
      <c r="H2357" s="133">
        <v>-3.9901073185318145E-2</v>
      </c>
      <c r="I2357" s="133">
        <v>7.439875666365646E-2</v>
      </c>
    </row>
    <row r="2358" spans="8:9" ht="12" customHeight="1">
      <c r="H2358" s="133">
        <v>-3.9727911097427057E-2</v>
      </c>
      <c r="I2358" s="133">
        <v>7.4425145227587933E-2</v>
      </c>
    </row>
    <row r="2359" spans="8:9" ht="12" customHeight="1">
      <c r="H2359" s="133">
        <v>-3.9489555568579623E-2</v>
      </c>
      <c r="I2359" s="133">
        <v>7.4461482846059371E-2</v>
      </c>
    </row>
    <row r="2360" spans="8:9" ht="12" customHeight="1">
      <c r="H2360" s="133">
        <v>-3.8420923182140354E-2</v>
      </c>
      <c r="I2360" s="133">
        <v>7.4624597889831973E-2</v>
      </c>
    </row>
    <row r="2361" spans="8:9" ht="12" customHeight="1">
      <c r="H2361" s="133">
        <v>-3.8194183239693855E-2</v>
      </c>
      <c r="I2361" s="133">
        <v>7.46592494813096E-2</v>
      </c>
    </row>
    <row r="2362" spans="8:9" ht="12" customHeight="1">
      <c r="H2362" s="133">
        <v>-3.6938555797005335E-2</v>
      </c>
      <c r="I2362" s="133">
        <v>7.4851408975060207E-2</v>
      </c>
    </row>
    <row r="2363" spans="8:9" ht="12" customHeight="1">
      <c r="H2363" s="133">
        <v>-3.6649323273632087E-2</v>
      </c>
      <c r="I2363" s="133">
        <v>7.4895737091498868E-2</v>
      </c>
    </row>
    <row r="2364" spans="8:9" ht="12" customHeight="1">
      <c r="H2364" s="133">
        <v>-3.5877538165468667E-2</v>
      </c>
      <c r="I2364" s="133">
        <v>7.5014139890595313E-2</v>
      </c>
    </row>
    <row r="2365" spans="8:9" ht="12" customHeight="1">
      <c r="H2365" s="133">
        <v>-3.5567458055067225E-2</v>
      </c>
      <c r="I2365" s="133">
        <v>7.5061759001938247E-2</v>
      </c>
    </row>
    <row r="2366" spans="8:9" ht="12" customHeight="1">
      <c r="H2366" s="133">
        <v>-3.5444381469785818E-2</v>
      </c>
      <c r="I2366" s="133">
        <v>7.5080667615450472E-2</v>
      </c>
    </row>
    <row r="2367" spans="8:9" ht="12" customHeight="1">
      <c r="H2367" s="133">
        <v>-3.5167676731235026E-2</v>
      </c>
      <c r="I2367" s="133">
        <v>7.5123194550118996E-2</v>
      </c>
    </row>
    <row r="2368" spans="8:9" ht="12" customHeight="1">
      <c r="H2368" s="133">
        <v>-3.4678839660195943E-2</v>
      </c>
      <c r="I2368" s="133">
        <v>7.5198378332160837E-2</v>
      </c>
    </row>
    <row r="2369" spans="8:9" ht="12" customHeight="1">
      <c r="H2369" s="133">
        <v>-3.4398921132407334E-2</v>
      </c>
      <c r="I2369" s="133">
        <v>7.5241461287269079E-2</v>
      </c>
    </row>
    <row r="2370" spans="8:9" ht="12" customHeight="1">
      <c r="H2370" s="133">
        <v>-3.411477343365435E-2</v>
      </c>
      <c r="I2370" s="133">
        <v>7.5285218354954969E-2</v>
      </c>
    </row>
    <row r="2371" spans="8:9" ht="12" customHeight="1">
      <c r="H2371" s="133">
        <v>-3.3336784900626845E-2</v>
      </c>
      <c r="I2371" s="133">
        <v>7.5405143636417829E-2</v>
      </c>
    </row>
    <row r="2372" spans="8:9" ht="12" customHeight="1">
      <c r="H2372" s="133">
        <v>-3.3161267969357699E-2</v>
      </c>
      <c r="I2372" s="133">
        <v>7.543222344504176E-2</v>
      </c>
    </row>
    <row r="2373" spans="8:9" ht="12" customHeight="1">
      <c r="H2373" s="133">
        <v>-3.2481195547881023E-2</v>
      </c>
      <c r="I2373" s="133">
        <v>7.5537233479935101E-2</v>
      </c>
    </row>
    <row r="2374" spans="8:9" ht="12" customHeight="1">
      <c r="H2374" s="133">
        <v>-3.2340265186834943E-2</v>
      </c>
      <c r="I2374" s="133">
        <v>7.5559011333005868E-2</v>
      </c>
    </row>
    <row r="2375" spans="8:9" ht="12" customHeight="1">
      <c r="H2375" s="133">
        <v>-3.2122676679123968E-2</v>
      </c>
      <c r="I2375" s="133">
        <v>7.5592646429356466E-2</v>
      </c>
    </row>
    <row r="2376" spans="8:9" ht="12" customHeight="1">
      <c r="H2376" s="133">
        <v>-3.2087497107552834E-2</v>
      </c>
      <c r="I2376" s="133">
        <v>7.559808582128022E-2</v>
      </c>
    </row>
    <row r="2377" spans="8:9" ht="12" customHeight="1">
      <c r="H2377" s="133">
        <v>-3.1884055755966006E-2</v>
      </c>
      <c r="I2377" s="133">
        <v>7.5629548547586717E-2</v>
      </c>
    </row>
    <row r="2378" spans="8:9" ht="12" customHeight="1">
      <c r="H2378" s="133">
        <v>-3.1260126930254165E-2</v>
      </c>
      <c r="I2378" s="133">
        <v>7.5726115731165042E-2</v>
      </c>
    </row>
    <row r="2379" spans="8:9" ht="12" customHeight="1">
      <c r="H2379" s="133">
        <v>-3.0034883790753031E-2</v>
      </c>
      <c r="I2379" s="133">
        <v>7.5916079467916772E-2</v>
      </c>
    </row>
    <row r="2380" spans="8:9" ht="12" customHeight="1">
      <c r="H2380" s="133">
        <v>-2.8671183792437202E-2</v>
      </c>
      <c r="I2380" s="133">
        <v>7.6128024035925071E-2</v>
      </c>
    </row>
    <row r="2381" spans="8:9" ht="12" customHeight="1">
      <c r="H2381" s="133">
        <v>-2.8454468441679023E-2</v>
      </c>
      <c r="I2381" s="133">
        <v>7.6161755626014488E-2</v>
      </c>
    </row>
    <row r="2382" spans="8:9" ht="12" customHeight="1">
      <c r="H2382" s="133">
        <v>-2.8275189118147012E-2</v>
      </c>
      <c r="I2382" s="133">
        <v>7.6189670689638653E-2</v>
      </c>
    </row>
    <row r="2383" spans="8:9" ht="12" customHeight="1">
      <c r="H2383" s="133">
        <v>-2.8197576660568449E-2</v>
      </c>
      <c r="I2383" s="133">
        <v>7.6201758411848619E-2</v>
      </c>
    </row>
    <row r="2384" spans="8:9" ht="12" customHeight="1">
      <c r="H2384" s="133">
        <v>-2.7914119140771354E-2</v>
      </c>
      <c r="I2384" s="133">
        <v>7.6245920343354506E-2</v>
      </c>
    </row>
    <row r="2385" spans="8:9" ht="12" customHeight="1">
      <c r="H2385" s="133">
        <v>-2.6665676583445347E-2</v>
      </c>
      <c r="I2385" s="133">
        <v>7.6440703967210852E-2</v>
      </c>
    </row>
    <row r="2386" spans="8:9" ht="12" customHeight="1">
      <c r="H2386" s="133">
        <v>-2.5821278672855039E-2</v>
      </c>
      <c r="I2386" s="133">
        <v>7.6572706667182036E-2</v>
      </c>
    </row>
    <row r="2387" spans="8:9" ht="12" customHeight="1">
      <c r="H2387" s="133">
        <v>-2.5037518672254511E-2</v>
      </c>
      <c r="I2387" s="133">
        <v>7.6695417024913559E-2</v>
      </c>
    </row>
    <row r="2388" spans="8:9" ht="12" customHeight="1">
      <c r="H2388" s="133">
        <v>-2.5031122014067111E-2</v>
      </c>
      <c r="I2388" s="133">
        <v>7.6696419267074795E-2</v>
      </c>
    </row>
    <row r="2389" spans="8:9" ht="12" customHeight="1">
      <c r="H2389" s="133">
        <v>-2.5025939051113763E-2</v>
      </c>
      <c r="I2389" s="133">
        <v>7.6697231353664047E-2</v>
      </c>
    </row>
    <row r="2390" spans="8:9" ht="12" customHeight="1">
      <c r="H2390" s="133">
        <v>-2.4164539878715488E-2</v>
      </c>
      <c r="I2390" s="133">
        <v>7.6832308284667125E-2</v>
      </c>
    </row>
    <row r="2391" spans="8:9" ht="12" customHeight="1">
      <c r="H2391" s="133">
        <v>-2.3484156030826903E-2</v>
      </c>
      <c r="I2391" s="133">
        <v>7.6939154135307442E-2</v>
      </c>
    </row>
    <row r="2392" spans="8:9" ht="12" customHeight="1">
      <c r="H2392" s="133">
        <v>-2.3439082410542947E-2</v>
      </c>
      <c r="I2392" s="133">
        <v>7.6946237196924908E-2</v>
      </c>
    </row>
    <row r="2393" spans="8:9" ht="12" customHeight="1">
      <c r="H2393" s="133">
        <v>-2.2247966513875742E-2</v>
      </c>
      <c r="I2393" s="133">
        <v>7.7133630969186601E-2</v>
      </c>
    </row>
    <row r="2394" spans="8:9" ht="12" customHeight="1">
      <c r="H2394" s="133">
        <v>-2.1513368453537254E-2</v>
      </c>
      <c r="I2394" s="133">
        <v>7.7249410928886597E-2</v>
      </c>
    </row>
    <row r="2395" spans="8:9" ht="12" customHeight="1">
      <c r="H2395" s="133">
        <v>-2.0962461878135691E-2</v>
      </c>
      <c r="I2395" s="133">
        <v>7.7336343751138723E-2</v>
      </c>
    </row>
    <row r="2396" spans="8:9" ht="12" customHeight="1">
      <c r="H2396" s="133">
        <v>-2.0170480953380351E-2</v>
      </c>
      <c r="I2396" s="133">
        <v>7.746147505115944E-2</v>
      </c>
    </row>
    <row r="2397" spans="8:9" ht="12" customHeight="1">
      <c r="H2397" s="133">
        <v>-1.999064190265544E-2</v>
      </c>
      <c r="I2397" s="133">
        <v>7.7489915065598672E-2</v>
      </c>
    </row>
    <row r="2398" spans="8:9" ht="12" customHeight="1">
      <c r="H2398" s="133">
        <v>-1.9973568927424995E-2</v>
      </c>
      <c r="I2398" s="133">
        <v>7.7492615508300361E-2</v>
      </c>
    </row>
    <row r="2399" spans="8:9" ht="12" customHeight="1">
      <c r="H2399" s="133">
        <v>-1.995511651051754E-2</v>
      </c>
      <c r="I2399" s="133">
        <v>7.7495534235047847E-2</v>
      </c>
    </row>
    <row r="2400" spans="8:9" ht="12" customHeight="1">
      <c r="H2400" s="133">
        <v>-1.9880854994189748E-2</v>
      </c>
      <c r="I2400" s="133">
        <v>7.7507281631718189E-2</v>
      </c>
    </row>
    <row r="2401" spans="8:9" ht="12" customHeight="1">
      <c r="H2401" s="133">
        <v>-1.936022848572562E-2</v>
      </c>
      <c r="I2401" s="133">
        <v>7.7589685123464522E-2</v>
      </c>
    </row>
    <row r="2402" spans="8:9" ht="12" customHeight="1">
      <c r="H2402" s="133">
        <v>-1.92432946390554E-2</v>
      </c>
      <c r="I2402" s="133">
        <v>7.7608204158704661E-2</v>
      </c>
    </row>
    <row r="2403" spans="8:9" ht="12" customHeight="1">
      <c r="H2403" s="133">
        <v>-1.7967127351636566E-2</v>
      </c>
      <c r="I2403" s="133">
        <v>7.7810576514627458E-2</v>
      </c>
    </row>
    <row r="2404" spans="8:9" ht="12" customHeight="1">
      <c r="H2404" s="133">
        <v>-1.7561998279338714E-2</v>
      </c>
      <c r="I2404" s="133">
        <v>7.787492214441584E-2</v>
      </c>
    </row>
    <row r="2405" spans="8:9" ht="12" customHeight="1">
      <c r="H2405" s="133">
        <v>-1.7439606033339064E-2</v>
      </c>
      <c r="I2405" s="133">
        <v>7.7894370976490282E-2</v>
      </c>
    </row>
    <row r="2406" spans="8:9" ht="12" customHeight="1">
      <c r="H2406" s="133">
        <v>-1.7357243148845375E-2</v>
      </c>
      <c r="I2406" s="133">
        <v>7.7907461415768361E-2</v>
      </c>
    </row>
    <row r="2407" spans="8:9" ht="12" customHeight="1">
      <c r="H2407" s="133">
        <v>-1.6963931814978586E-2</v>
      </c>
      <c r="I2407" s="133">
        <v>7.7970000579227317E-2</v>
      </c>
    </row>
    <row r="2408" spans="8:9" ht="12" customHeight="1">
      <c r="H2408" s="133">
        <v>-1.6633881534104403E-2</v>
      </c>
      <c r="I2408" s="133">
        <v>7.8022516267536784E-2</v>
      </c>
    </row>
    <row r="2409" spans="8:9" ht="12" customHeight="1">
      <c r="H2409" s="133">
        <v>-1.5290148497931894E-2</v>
      </c>
      <c r="I2409" s="133">
        <v>7.8236657681750144E-2</v>
      </c>
    </row>
    <row r="2410" spans="8:9" ht="12" customHeight="1">
      <c r="H2410" s="133">
        <v>-1.5257464692175857E-2</v>
      </c>
      <c r="I2410" s="133">
        <v>7.8241872967465126E-2</v>
      </c>
    </row>
    <row r="2411" spans="8:9" ht="12" customHeight="1">
      <c r="H2411" s="133">
        <v>-1.4843446615965386E-2</v>
      </c>
      <c r="I2411" s="133">
        <v>7.8307964500763119E-2</v>
      </c>
    </row>
    <row r="2412" spans="8:9" ht="12" customHeight="1">
      <c r="H2412" s="133">
        <v>-1.3792534193945924E-2</v>
      </c>
      <c r="I2412" s="133">
        <v>7.8475955753335477E-2</v>
      </c>
    </row>
    <row r="2413" spans="8:9" ht="12" customHeight="1">
      <c r="H2413" s="133">
        <v>-1.3501778463641353E-2</v>
      </c>
      <c r="I2413" s="133">
        <v>7.8522492054011198E-2</v>
      </c>
    </row>
    <row r="2414" spans="8:9" ht="12" customHeight="1">
      <c r="H2414" s="133">
        <v>-1.3374834762253346E-2</v>
      </c>
      <c r="I2414" s="133">
        <v>7.8542817678658311E-2</v>
      </c>
    </row>
    <row r="2415" spans="8:9" ht="12" customHeight="1">
      <c r="H2415" s="133">
        <v>-1.3271634798634274E-2</v>
      </c>
      <c r="I2415" s="133">
        <v>7.8559345115003246E-2</v>
      </c>
    </row>
    <row r="2416" spans="8:9" ht="12" customHeight="1">
      <c r="H2416" s="133">
        <v>-1.2377579927002169E-2</v>
      </c>
      <c r="I2416" s="133">
        <v>7.8702660888093356E-2</v>
      </c>
    </row>
    <row r="2417" spans="8:9" ht="12" customHeight="1">
      <c r="H2417" s="133">
        <v>-1.2366395010586825E-2</v>
      </c>
      <c r="I2417" s="133">
        <v>7.8704455328422143E-2</v>
      </c>
    </row>
    <row r="2418" spans="8:9" ht="12" customHeight="1">
      <c r="H2418" s="133">
        <v>-1.1798625848188055E-2</v>
      </c>
      <c r="I2418" s="133">
        <v>7.8795593951112256E-2</v>
      </c>
    </row>
    <row r="2419" spans="8:9" ht="12" customHeight="1">
      <c r="H2419" s="133">
        <v>-1.1527500877921565E-2</v>
      </c>
      <c r="I2419" s="133">
        <v>7.8839149120972479E-2</v>
      </c>
    </row>
    <row r="2420" spans="8:9" ht="12" customHeight="1">
      <c r="H2420" s="133">
        <v>-1.0655416601555473E-2</v>
      </c>
      <c r="I2420" s="133">
        <v>7.8979395390126134E-2</v>
      </c>
    </row>
    <row r="2421" spans="8:9" ht="12" customHeight="1">
      <c r="H2421" s="133">
        <v>-1.0421434902086094E-2</v>
      </c>
      <c r="I2421" s="133">
        <v>7.9017062493266496E-2</v>
      </c>
    </row>
    <row r="2422" spans="8:9" ht="12" customHeight="1">
      <c r="H2422" s="133">
        <v>-1.0151226769160734E-2</v>
      </c>
      <c r="I2422" s="133">
        <v>7.9060581874033767E-2</v>
      </c>
    </row>
    <row r="2423" spans="8:9" ht="12" customHeight="1">
      <c r="H2423" s="133">
        <v>-1.0077131618619603E-2</v>
      </c>
      <c r="I2423" s="133">
        <v>7.9072519372846109E-2</v>
      </c>
    </row>
    <row r="2424" spans="8:9" ht="12" customHeight="1">
      <c r="H2424" s="133">
        <v>-9.9153667034079379E-3</v>
      </c>
      <c r="I2424" s="133">
        <v>7.9098587107483978E-2</v>
      </c>
    </row>
    <row r="2425" spans="8:9" ht="12" customHeight="1">
      <c r="H2425" s="133">
        <v>-9.8387273561652694E-3</v>
      </c>
      <c r="I2425" s="133">
        <v>7.9110939957741711E-2</v>
      </c>
    </row>
    <row r="2426" spans="8:9" ht="12" customHeight="1">
      <c r="H2426" s="133">
        <v>-9.2896865405849571E-3</v>
      </c>
      <c r="I2426" s="133">
        <v>7.9199486797214155E-2</v>
      </c>
    </row>
    <row r="2427" spans="8:9" ht="12" customHeight="1">
      <c r="H2427" s="133">
        <v>-9.1881811935407287E-3</v>
      </c>
      <c r="I2427" s="133">
        <v>7.921586704255644E-2</v>
      </c>
    </row>
    <row r="2428" spans="8:9" ht="12" customHeight="1">
      <c r="H2428" s="133">
        <v>-8.9309224502468892E-3</v>
      </c>
      <c r="I2428" s="133">
        <v>7.9257395585017432E-2</v>
      </c>
    </row>
    <row r="2429" spans="8:9" ht="12" customHeight="1">
      <c r="H2429" s="133">
        <v>-8.6059334779419461E-3</v>
      </c>
      <c r="I2429" s="133">
        <v>7.9309886068439833E-2</v>
      </c>
    </row>
    <row r="2430" spans="8:9" ht="12" customHeight="1">
      <c r="H2430" s="133">
        <v>-8.5868921300308459E-3</v>
      </c>
      <c r="I2430" s="133">
        <v>7.9312962510278931E-2</v>
      </c>
    </row>
    <row r="2431" spans="8:9" ht="12" customHeight="1">
      <c r="H2431" s="133">
        <v>-8.0285576408881121E-3</v>
      </c>
      <c r="I2431" s="133">
        <v>7.9403219092081798E-2</v>
      </c>
    </row>
    <row r="2432" spans="8:9" ht="12" customHeight="1">
      <c r="H2432" s="133">
        <v>-7.3644056642253874E-3</v>
      </c>
      <c r="I2432" s="133">
        <v>7.9510703625764845E-2</v>
      </c>
    </row>
    <row r="2433" spans="8:9" ht="12" customHeight="1">
      <c r="H2433" s="133">
        <v>-7.3233751022259708E-3</v>
      </c>
      <c r="I2433" s="133">
        <v>7.9517348257273759E-2</v>
      </c>
    </row>
    <row r="2434" spans="8:9" ht="12" customHeight="1">
      <c r="H2434" s="133">
        <v>-6.9542917813371352E-3</v>
      </c>
      <c r="I2434" s="133">
        <v>7.957714170050742E-2</v>
      </c>
    </row>
    <row r="2435" spans="8:9" ht="12" customHeight="1">
      <c r="H2435" s="133">
        <v>-6.6031151176616926E-3</v>
      </c>
      <c r="I2435" s="133">
        <v>7.9634072301896341E-2</v>
      </c>
    </row>
    <row r="2436" spans="8:9" ht="12" customHeight="1">
      <c r="H2436" s="133">
        <v>-4.9910844482398686E-3</v>
      </c>
      <c r="I2436" s="133">
        <v>7.9895882441768082E-2</v>
      </c>
    </row>
    <row r="2437" spans="8:9" ht="12" customHeight="1">
      <c r="H2437" s="133">
        <v>-3.7256431589973854E-3</v>
      </c>
      <c r="I2437" s="133">
        <v>8.0101953379735011E-2</v>
      </c>
    </row>
    <row r="2438" spans="8:9" ht="12" customHeight="1">
      <c r="H2438" s="133">
        <v>-3.7081561755891168E-3</v>
      </c>
      <c r="I2438" s="133">
        <v>8.0104804445760541E-2</v>
      </c>
    </row>
    <row r="2439" spans="8:9" ht="12" customHeight="1">
      <c r="H2439" s="133">
        <v>-3.4615381688524738E-3</v>
      </c>
      <c r="I2439" s="133">
        <v>8.0145022747057149E-2</v>
      </c>
    </row>
    <row r="2440" spans="8:9" ht="12" customHeight="1">
      <c r="H2440" s="133">
        <v>-2.9814553137924998E-3</v>
      </c>
      <c r="I2440" s="133">
        <v>8.0223367212802654E-2</v>
      </c>
    </row>
    <row r="2441" spans="8:9" ht="12" customHeight="1">
      <c r="H2441" s="133">
        <v>-2.8527645233745874E-3</v>
      </c>
      <c r="I2441" s="133">
        <v>8.0244380072212698E-2</v>
      </c>
    </row>
    <row r="2442" spans="8:9" ht="12" customHeight="1">
      <c r="H2442" s="133">
        <v>-2.5615689531776759E-3</v>
      </c>
      <c r="I2442" s="133">
        <v>8.0291945544449961E-2</v>
      </c>
    </row>
    <row r="2443" spans="8:9" ht="12" customHeight="1">
      <c r="H2443" s="133">
        <v>-1.406278085660892E-3</v>
      </c>
      <c r="I2443" s="133">
        <v>8.0480910721002288E-2</v>
      </c>
    </row>
    <row r="2444" spans="8:9" ht="12" customHeight="1">
      <c r="H2444" s="133">
        <v>-9.4985504511781171E-4</v>
      </c>
      <c r="I2444" s="133">
        <v>8.0555677333847608E-2</v>
      </c>
    </row>
    <row r="2445" spans="8:9" ht="12" customHeight="1">
      <c r="H2445" s="133">
        <v>-3.9889139454866995E-4</v>
      </c>
      <c r="I2445" s="133">
        <v>8.0646015053603873E-2</v>
      </c>
    </row>
    <row r="2446" spans="8:9" ht="12" customHeight="1">
      <c r="H2446" s="133">
        <v>-2.3398020916126638E-4</v>
      </c>
      <c r="I2446" s="133">
        <v>8.0673072372488538E-2</v>
      </c>
    </row>
    <row r="2447" spans="8:9" ht="12" customHeight="1">
      <c r="H2447" s="133">
        <v>1.7597957247779406E-4</v>
      </c>
      <c r="I2447" s="133">
        <v>8.0740371206395573E-2</v>
      </c>
    </row>
    <row r="2448" spans="8:9" ht="12" customHeight="1">
      <c r="H2448" s="133">
        <v>7.6379681951027623E-4</v>
      </c>
      <c r="I2448" s="133">
        <v>8.0836956408138066E-2</v>
      </c>
    </row>
    <row r="2449" spans="8:9" ht="12" customHeight="1">
      <c r="H2449" s="133">
        <v>7.6464298628849126E-4</v>
      </c>
      <c r="I2449" s="133">
        <v>8.0837095519094501E-2</v>
      </c>
    </row>
    <row r="2450" spans="8:9" ht="12" customHeight="1">
      <c r="H2450" s="133">
        <v>1.1783616217967557E-3</v>
      </c>
      <c r="I2450" s="133">
        <v>8.0905137575521605E-2</v>
      </c>
    </row>
    <row r="2451" spans="8:9" ht="12" customHeight="1">
      <c r="H2451" s="133">
        <v>1.5057255189071944E-3</v>
      </c>
      <c r="I2451" s="133">
        <v>8.0959014348429392E-2</v>
      </c>
    </row>
    <row r="2452" spans="8:9" ht="12" customHeight="1">
      <c r="H2452" s="133">
        <v>1.5483454888767928E-3</v>
      </c>
      <c r="I2452" s="133">
        <v>8.0966031048455414E-2</v>
      </c>
    </row>
    <row r="2453" spans="8:9" ht="12" customHeight="1">
      <c r="H2453" s="133">
        <v>3.1797597795187593E-3</v>
      </c>
      <c r="I2453" s="133">
        <v>8.1235034666357217E-2</v>
      </c>
    </row>
    <row r="2454" spans="8:9" ht="12" customHeight="1">
      <c r="H2454" s="133">
        <v>3.331258954711494E-3</v>
      </c>
      <c r="I2454" s="133">
        <v>8.1260056639037515E-2</v>
      </c>
    </row>
    <row r="2455" spans="8:9" ht="12" customHeight="1">
      <c r="H2455" s="133">
        <v>3.904372695305261E-3</v>
      </c>
      <c r="I2455" s="133">
        <v>8.1354777070400619E-2</v>
      </c>
    </row>
    <row r="2456" spans="8:9" ht="12" customHeight="1">
      <c r="H2456" s="133">
        <v>5.2485884967926194E-3</v>
      </c>
      <c r="I2456" s="133">
        <v>8.1577335048565847E-2</v>
      </c>
    </row>
    <row r="2457" spans="8:9" ht="12" customHeight="1">
      <c r="H2457" s="133">
        <v>5.3452978031794801E-3</v>
      </c>
      <c r="I2457" s="133">
        <v>8.1593368306397129E-2</v>
      </c>
    </row>
    <row r="2458" spans="8:9" ht="12" customHeight="1">
      <c r="H2458" s="133">
        <v>5.5300370165732304E-3</v>
      </c>
      <c r="I2458" s="133">
        <v>8.1624003861652736E-2</v>
      </c>
    </row>
    <row r="2459" spans="8:9" ht="12" customHeight="1">
      <c r="H2459" s="133">
        <v>7.2097832773442699E-3</v>
      </c>
      <c r="I2459" s="133">
        <v>8.1903039673161107E-2</v>
      </c>
    </row>
    <row r="2460" spans="8:9" ht="12" customHeight="1">
      <c r="H2460" s="133">
        <v>9.2173619132756845E-3</v>
      </c>
      <c r="I2460" s="133">
        <v>8.2237673813162909E-2</v>
      </c>
    </row>
    <row r="2461" spans="8:9" ht="12" customHeight="1">
      <c r="H2461" s="133">
        <v>9.5157807269248967E-3</v>
      </c>
      <c r="I2461" s="133">
        <v>8.2287522021935663E-2</v>
      </c>
    </row>
    <row r="2462" spans="8:9" ht="12" customHeight="1">
      <c r="H2462" s="133">
        <v>9.9852236974536657E-3</v>
      </c>
      <c r="I2462" s="133">
        <v>8.2365993965544268E-2</v>
      </c>
    </row>
    <row r="2463" spans="8:9" ht="12" customHeight="1">
      <c r="H2463" s="133">
        <v>1.097219560064E-2</v>
      </c>
      <c r="I2463" s="133">
        <v>8.2531198073505632E-2</v>
      </c>
    </row>
    <row r="2464" spans="8:9" ht="12" customHeight="1">
      <c r="H2464" s="133">
        <v>1.1069210718105571E-2</v>
      </c>
      <c r="I2464" s="133">
        <v>8.2547453198158677E-2</v>
      </c>
    </row>
    <row r="2465" spans="8:9" ht="12" customHeight="1">
      <c r="H2465" s="133">
        <v>1.1427276865124097E-2</v>
      </c>
      <c r="I2465" s="133">
        <v>8.2607473296800113E-2</v>
      </c>
    </row>
    <row r="2466" spans="8:9" ht="12" customHeight="1">
      <c r="H2466" s="133">
        <v>1.2274579618864009E-2</v>
      </c>
      <c r="I2466" s="133">
        <v>8.2749658863829192E-2</v>
      </c>
    </row>
    <row r="2467" spans="8:9" ht="12" customHeight="1">
      <c r="H2467" s="133">
        <v>1.2830613754837156E-2</v>
      </c>
      <c r="I2467" s="133">
        <v>8.2843087714629712E-2</v>
      </c>
    </row>
    <row r="2468" spans="8:9" ht="12" customHeight="1">
      <c r="H2468" s="133">
        <v>1.3055069488815962E-2</v>
      </c>
      <c r="I2468" s="133">
        <v>8.2880829558812652E-2</v>
      </c>
    </row>
    <row r="2469" spans="8:9" ht="12" customHeight="1">
      <c r="H2469" s="133">
        <v>1.3234169970176624E-2</v>
      </c>
      <c r="I2469" s="133">
        <v>8.2910956214106865E-2</v>
      </c>
    </row>
    <row r="2470" spans="8:9" ht="12" customHeight="1">
      <c r="H2470" s="133">
        <v>1.3636469746013499E-2</v>
      </c>
      <c r="I2470" s="133">
        <v>8.2978663744843806E-2</v>
      </c>
    </row>
    <row r="2471" spans="8:9" ht="12" customHeight="1">
      <c r="H2471" s="133">
        <v>1.4525811244900363E-2</v>
      </c>
      <c r="I2471" s="133">
        <v>8.3128519469866699E-2</v>
      </c>
    </row>
    <row r="2472" spans="8:9" ht="12" customHeight="1">
      <c r="H2472" s="133">
        <v>1.467124149260654E-2</v>
      </c>
      <c r="I2472" s="133">
        <v>8.3153048141410946E-2</v>
      </c>
    </row>
    <row r="2473" spans="8:9" ht="12" customHeight="1">
      <c r="H2473" s="133">
        <v>1.5157698468423172E-2</v>
      </c>
      <c r="I2473" s="133">
        <v>8.3235143164144029E-2</v>
      </c>
    </row>
    <row r="2474" spans="8:9" ht="12" customHeight="1">
      <c r="H2474" s="133">
        <v>1.5272852171129614E-2</v>
      </c>
      <c r="I2474" s="133">
        <v>8.3254587415594258E-2</v>
      </c>
    </row>
    <row r="2475" spans="8:9" ht="12" customHeight="1">
      <c r="H2475" s="133">
        <v>1.5552059439114418E-2</v>
      </c>
      <c r="I2475" s="133">
        <v>8.3301750040293499E-2</v>
      </c>
    </row>
    <row r="2476" spans="8:9" ht="12" customHeight="1">
      <c r="H2476" s="133">
        <v>1.6388948691648308E-2</v>
      </c>
      <c r="I2476" s="133">
        <v>8.3443259718203877E-2</v>
      </c>
    </row>
    <row r="2477" spans="8:9" ht="12" customHeight="1">
      <c r="H2477" s="133">
        <v>1.7392853725445828E-2</v>
      </c>
      <c r="I2477" s="133">
        <v>8.3613298354829085E-2</v>
      </c>
    </row>
    <row r="2478" spans="8:9" ht="12" customHeight="1">
      <c r="H2478" s="133">
        <v>1.771486914080854E-2</v>
      </c>
      <c r="I2478" s="133">
        <v>8.3667907095009791E-2</v>
      </c>
    </row>
    <row r="2479" spans="8:9" ht="12" customHeight="1">
      <c r="H2479" s="133">
        <v>1.8182216987741529E-2</v>
      </c>
      <c r="I2479" s="133">
        <v>8.3747219576092893E-2</v>
      </c>
    </row>
    <row r="2480" spans="8:9" ht="12" customHeight="1">
      <c r="H2480" s="133">
        <v>1.8419142575123101E-2</v>
      </c>
      <c r="I2480" s="133">
        <v>8.3787453737463727E-2</v>
      </c>
    </row>
    <row r="2481" spans="8:9" ht="12" customHeight="1">
      <c r="H2481" s="133">
        <v>1.8616582005099719E-2</v>
      </c>
      <c r="I2481" s="133">
        <v>8.3820995864439321E-2</v>
      </c>
    </row>
    <row r="2482" spans="8:9" ht="12" customHeight="1">
      <c r="H2482" s="133">
        <v>1.9607800474566103E-2</v>
      </c>
      <c r="I2482" s="133">
        <v>8.398957408438075E-2</v>
      </c>
    </row>
    <row r="2483" spans="8:9" ht="12" customHeight="1">
      <c r="H2483" s="133">
        <v>1.9761538646870871E-2</v>
      </c>
      <c r="I2483" s="133">
        <v>8.4015748167924439E-2</v>
      </c>
    </row>
    <row r="2484" spans="8:9" ht="12" customHeight="1">
      <c r="H2484" s="133">
        <v>1.9953002290889116E-2</v>
      </c>
      <c r="I2484" s="133">
        <v>8.4048355410741057E-2</v>
      </c>
    </row>
    <row r="2485" spans="8:9" ht="12" customHeight="1">
      <c r="H2485" s="133">
        <v>2.0611355851273674E-2</v>
      </c>
      <c r="I2485" s="133">
        <v>8.4160564132970808E-2</v>
      </c>
    </row>
    <row r="2486" spans="8:9" ht="12" customHeight="1">
      <c r="H2486" s="133">
        <v>2.1023615844054419E-2</v>
      </c>
      <c r="I2486" s="133">
        <v>8.4230898311952324E-2</v>
      </c>
    </row>
    <row r="2487" spans="8:9" ht="12" customHeight="1">
      <c r="H2487" s="133">
        <v>2.1040357323534098E-2</v>
      </c>
      <c r="I2487" s="133">
        <v>8.4233755642337579E-2</v>
      </c>
    </row>
    <row r="2488" spans="8:9" ht="12" customHeight="1">
      <c r="H2488" s="133">
        <v>2.1156213566141613E-2</v>
      </c>
      <c r="I2488" s="133">
        <v>8.4253531669025009E-2</v>
      </c>
    </row>
    <row r="2489" spans="8:9" ht="12" customHeight="1">
      <c r="H2489" s="133">
        <v>2.1843383915680095E-2</v>
      </c>
      <c r="I2489" s="133">
        <v>8.4370914565853397E-2</v>
      </c>
    </row>
    <row r="2490" spans="8:9" ht="12" customHeight="1">
      <c r="H2490" s="133">
        <v>2.2756788139304887E-2</v>
      </c>
      <c r="I2490" s="133">
        <v>8.4527172714957452E-2</v>
      </c>
    </row>
    <row r="2491" spans="8:9" ht="12" customHeight="1">
      <c r="H2491" s="133">
        <v>2.332274698424551E-2</v>
      </c>
      <c r="I2491" s="133">
        <v>8.4624124346774743E-2</v>
      </c>
    </row>
    <row r="2492" spans="8:9" ht="12" customHeight="1">
      <c r="H2492" s="133">
        <v>2.4193494723377021E-2</v>
      </c>
      <c r="I2492" s="133">
        <v>8.4773484957464479E-2</v>
      </c>
    </row>
    <row r="2493" spans="8:9" ht="12" customHeight="1">
      <c r="H2493" s="133">
        <v>2.4748228498652963E-2</v>
      </c>
      <c r="I2493" s="133">
        <v>8.4868763937008596E-2</v>
      </c>
    </row>
    <row r="2494" spans="8:9" ht="12" customHeight="1">
      <c r="H2494" s="133">
        <v>2.4964309952571567E-2</v>
      </c>
      <c r="I2494" s="133">
        <v>8.4905903557700932E-2</v>
      </c>
    </row>
    <row r="2495" spans="8:9" ht="12" customHeight="1">
      <c r="H2495" s="133">
        <v>2.5086762669245311E-2</v>
      </c>
      <c r="I2495" s="133">
        <v>8.4926957015143134E-2</v>
      </c>
    </row>
    <row r="2496" spans="8:9" ht="12" customHeight="1">
      <c r="H2496" s="133">
        <v>2.5243827641566158E-2</v>
      </c>
      <c r="I2496" s="133">
        <v>8.4953968336538094E-2</v>
      </c>
    </row>
    <row r="2497" spans="8:9" ht="12" customHeight="1">
      <c r="H2497" s="133">
        <v>2.53380893440944E-2</v>
      </c>
      <c r="I2497" s="133">
        <v>8.4970182778380324E-2</v>
      </c>
    </row>
    <row r="2498" spans="8:9" ht="12" customHeight="1">
      <c r="H2498" s="133">
        <v>2.7343724965452662E-2</v>
      </c>
      <c r="I2498" s="133">
        <v>8.5315848442230113E-2</v>
      </c>
    </row>
    <row r="2499" spans="8:9" ht="12" customHeight="1">
      <c r="H2499" s="133">
        <v>2.7545050049702438E-2</v>
      </c>
      <c r="I2499" s="133">
        <v>8.5350616585546352E-2</v>
      </c>
    </row>
    <row r="2500" spans="8:9" ht="12" customHeight="1">
      <c r="H2500" s="133">
        <v>2.7649975620345088E-2</v>
      </c>
      <c r="I2500" s="133">
        <v>8.5368741959405109E-2</v>
      </c>
    </row>
    <row r="2501" spans="8:9" ht="12" customHeight="1">
      <c r="H2501" s="133">
        <v>2.7998612354816252E-2</v>
      </c>
      <c r="I2501" s="133">
        <v>8.5428992297817863E-2</v>
      </c>
    </row>
    <row r="2502" spans="8:9" ht="12" customHeight="1">
      <c r="H2502" s="133">
        <v>2.8133610026714634E-2</v>
      </c>
      <c r="I2502" s="133">
        <v>8.5452332536285716E-2</v>
      </c>
    </row>
    <row r="2503" spans="8:9" ht="12" customHeight="1">
      <c r="H2503" s="133">
        <v>2.8202793275026519E-2</v>
      </c>
      <c r="I2503" s="133">
        <v>8.5464296120031091E-2</v>
      </c>
    </row>
    <row r="2504" spans="8:9" ht="12" customHeight="1">
      <c r="H2504" s="133">
        <v>2.8218565097144405E-2</v>
      </c>
      <c r="I2504" s="133">
        <v>8.5467023690976182E-2</v>
      </c>
    </row>
    <row r="2505" spans="8:9" ht="12" customHeight="1">
      <c r="H2505" s="133">
        <v>2.8301641252141352E-2</v>
      </c>
      <c r="I2505" s="133">
        <v>8.548139214185671E-2</v>
      </c>
    </row>
    <row r="2506" spans="8:9" ht="12" customHeight="1">
      <c r="H2506" s="133">
        <v>2.8487783583621126E-2</v>
      </c>
      <c r="I2506" s="133">
        <v>8.5513594371586871E-2</v>
      </c>
    </row>
    <row r="2507" spans="8:9" ht="12" customHeight="1">
      <c r="H2507" s="133">
        <v>2.9005478672720797E-2</v>
      </c>
      <c r="I2507" s="133">
        <v>8.5603212355812738E-2</v>
      </c>
    </row>
    <row r="2508" spans="8:9" ht="12" customHeight="1">
      <c r="H2508" s="133">
        <v>2.9414366031230918E-2</v>
      </c>
      <c r="I2508" s="133">
        <v>8.5674054839015704E-2</v>
      </c>
    </row>
    <row r="2509" spans="8:9" ht="12" customHeight="1">
      <c r="H2509" s="133">
        <v>3.0335946054224946E-2</v>
      </c>
      <c r="I2509" s="133">
        <v>8.583391964010173E-2</v>
      </c>
    </row>
    <row r="2510" spans="8:9" ht="12" customHeight="1">
      <c r="H2510" s="133">
        <v>3.0362072305294405E-2</v>
      </c>
      <c r="I2510" s="133">
        <v>8.5838455650688109E-2</v>
      </c>
    </row>
    <row r="2511" spans="8:9" ht="12" customHeight="1">
      <c r="H2511" s="133">
        <v>3.0625015741996719E-2</v>
      </c>
      <c r="I2511" s="133">
        <v>8.588411969169242E-2</v>
      </c>
    </row>
    <row r="2512" spans="8:9" ht="12" customHeight="1">
      <c r="H2512" s="133">
        <v>3.1061640840321869E-2</v>
      </c>
      <c r="I2512" s="133">
        <v>8.5959994758096972E-2</v>
      </c>
    </row>
    <row r="2513" spans="8:9" ht="12" customHeight="1">
      <c r="H2513" s="133">
        <v>3.1545351226144158E-2</v>
      </c>
      <c r="I2513" s="133">
        <v>8.6044123029199684E-2</v>
      </c>
    </row>
    <row r="2514" spans="8:9" ht="12" customHeight="1">
      <c r="H2514" s="133">
        <v>3.1642343064802902E-2</v>
      </c>
      <c r="I2514" s="133">
        <v>8.6061001097243739E-2</v>
      </c>
    </row>
    <row r="2515" spans="8:9" ht="12" customHeight="1">
      <c r="H2515" s="133">
        <v>3.273438094814099E-2</v>
      </c>
      <c r="I2515" s="133">
        <v>8.6251239504931326E-2</v>
      </c>
    </row>
    <row r="2516" spans="8:9" ht="12" customHeight="1">
      <c r="H2516" s="133">
        <v>3.3774627742934923E-2</v>
      </c>
      <c r="I2516" s="133">
        <v>8.6432809731353075E-2</v>
      </c>
    </row>
    <row r="2517" spans="8:9" ht="12" customHeight="1">
      <c r="H2517" s="133">
        <v>3.4230683815314203E-2</v>
      </c>
      <c r="I2517" s="133">
        <v>8.6512521257672198E-2</v>
      </c>
    </row>
    <row r="2518" spans="8:9" ht="12" customHeight="1">
      <c r="H2518" s="133">
        <v>3.4391203824138586E-2</v>
      </c>
      <c r="I2518" s="133">
        <v>8.6540593495814E-2</v>
      </c>
    </row>
    <row r="2519" spans="8:9" ht="12" customHeight="1">
      <c r="H2519" s="133">
        <v>3.5072113584507944E-2</v>
      </c>
      <c r="I2519" s="133">
        <v>8.6659764809527154E-2</v>
      </c>
    </row>
    <row r="2520" spans="8:9" ht="12" customHeight="1">
      <c r="H2520" s="133">
        <v>3.5096216607971256E-2</v>
      </c>
      <c r="I2520" s="133">
        <v>8.6663985987958811E-2</v>
      </c>
    </row>
    <row r="2521" spans="8:9" ht="12" customHeight="1">
      <c r="H2521" s="133">
        <v>3.5804147247399595E-2</v>
      </c>
      <c r="I2521" s="133">
        <v>8.6788049379438681E-2</v>
      </c>
    </row>
    <row r="2522" spans="8:9" ht="12" customHeight="1">
      <c r="H2522" s="133">
        <v>3.6225664383510048E-2</v>
      </c>
      <c r="I2522" s="133">
        <v>8.6861995711332782E-2</v>
      </c>
    </row>
    <row r="2523" spans="8:9" ht="12" customHeight="1">
      <c r="H2523" s="133">
        <v>3.6259638231314575E-2</v>
      </c>
      <c r="I2523" s="133">
        <v>8.6867958191717956E-2</v>
      </c>
    </row>
    <row r="2524" spans="8:9" ht="12" customHeight="1">
      <c r="H2524" s="133">
        <v>3.6663925050298307E-2</v>
      </c>
      <c r="I2524" s="133">
        <v>8.6938939793076431E-2</v>
      </c>
    </row>
    <row r="2525" spans="8:9" ht="12" customHeight="1">
      <c r="H2525" s="133">
        <v>3.6848553300264555E-2</v>
      </c>
      <c r="I2525" s="133">
        <v>8.6971372867187438E-2</v>
      </c>
    </row>
    <row r="2526" spans="8:9" ht="12" customHeight="1">
      <c r="H2526" s="133">
        <v>3.747550547625482E-2</v>
      </c>
      <c r="I2526" s="133">
        <v>8.7081589333439957E-2</v>
      </c>
    </row>
    <row r="2527" spans="8:9" ht="12" customHeight="1">
      <c r="H2527" s="133">
        <v>3.7798719612705048E-2</v>
      </c>
      <c r="I2527" s="133">
        <v>8.7138458835125748E-2</v>
      </c>
    </row>
    <row r="2528" spans="8:9" ht="12" customHeight="1">
      <c r="H2528" s="133">
        <v>3.7942235270389646E-2</v>
      </c>
      <c r="I2528" s="133">
        <v>8.7163721172154013E-2</v>
      </c>
    </row>
    <row r="2529" spans="8:9" ht="12" customHeight="1">
      <c r="H2529" s="133">
        <v>3.8198580354582012E-2</v>
      </c>
      <c r="I2529" s="133">
        <v>8.720886078799378E-2</v>
      </c>
    </row>
    <row r="2530" spans="8:9" ht="12" customHeight="1">
      <c r="H2530" s="133">
        <v>3.8306387389883775E-2</v>
      </c>
      <c r="I2530" s="133">
        <v>8.7227850763831258E-2</v>
      </c>
    </row>
    <row r="2531" spans="8:9" ht="12" customHeight="1">
      <c r="H2531" s="133">
        <v>3.8390461025609057E-2</v>
      </c>
      <c r="I2531" s="133">
        <v>8.724266274821163E-2</v>
      </c>
    </row>
    <row r="2532" spans="8:9" ht="12" customHeight="1">
      <c r="H2532" s="133">
        <v>3.8955186417708496E-2</v>
      </c>
      <c r="I2532" s="133">
        <v>8.734221430694282E-2</v>
      </c>
    </row>
    <row r="2533" spans="8:9" ht="12" customHeight="1">
      <c r="H2533" s="133">
        <v>3.9872667724158817E-2</v>
      </c>
      <c r="I2533" s="133">
        <v>8.75041698123038E-2</v>
      </c>
    </row>
    <row r="2534" spans="8:9" ht="12" customHeight="1">
      <c r="H2534" s="133">
        <v>4.0108478570163836E-2</v>
      </c>
      <c r="I2534" s="133">
        <v>8.7545839418969054E-2</v>
      </c>
    </row>
    <row r="2535" spans="8:9" ht="12" customHeight="1">
      <c r="H2535" s="133">
        <v>4.0794866358501228E-2</v>
      </c>
      <c r="I2535" s="133">
        <v>8.7667231588740832E-2</v>
      </c>
    </row>
    <row r="2536" spans="8:9" ht="12" customHeight="1">
      <c r="H2536" s="133">
        <v>4.1250823575475687E-2</v>
      </c>
      <c r="I2536" s="133">
        <v>8.7747954689759725E-2</v>
      </c>
    </row>
    <row r="2537" spans="8:9" ht="12" customHeight="1">
      <c r="H2537" s="133">
        <v>4.2537037919056969E-2</v>
      </c>
      <c r="I2537" s="133">
        <v>8.7976029457735097E-2</v>
      </c>
    </row>
    <row r="2538" spans="8:9" ht="12" customHeight="1">
      <c r="H2538" s="133">
        <v>4.2554504336102153E-2</v>
      </c>
      <c r="I2538" s="133">
        <v>8.797913032994456E-2</v>
      </c>
    </row>
    <row r="2539" spans="8:9" ht="12" customHeight="1">
      <c r="H2539" s="133">
        <v>4.2572032093487464E-2</v>
      </c>
      <c r="I2539" s="133">
        <v>8.7982242191385396E-2</v>
      </c>
    </row>
    <row r="2540" spans="8:9" ht="12" customHeight="1">
      <c r="H2540" s="133">
        <v>4.2609626440821849E-2</v>
      </c>
      <c r="I2540" s="133">
        <v>8.7988916991601898E-2</v>
      </c>
    </row>
    <row r="2541" spans="8:9" ht="12" customHeight="1">
      <c r="H2541" s="133">
        <v>4.2793660653953611E-2</v>
      </c>
      <c r="I2541" s="133">
        <v>8.8021598495664585E-2</v>
      </c>
    </row>
    <row r="2542" spans="8:9" ht="12" customHeight="1">
      <c r="H2542" s="133">
        <v>4.2903686572644359E-2</v>
      </c>
      <c r="I2542" s="133">
        <v>8.8041142559932034E-2</v>
      </c>
    </row>
    <row r="2543" spans="8:9" ht="12" customHeight="1">
      <c r="H2543" s="133">
        <v>4.2913746261766902E-2</v>
      </c>
      <c r="I2543" s="133">
        <v>8.8042929672772788E-2</v>
      </c>
    </row>
    <row r="2544" spans="8:9" ht="12" customHeight="1">
      <c r="H2544" s="133">
        <v>4.4504473993729143E-2</v>
      </c>
      <c r="I2544" s="133">
        <v>8.8325936530597074E-2</v>
      </c>
    </row>
    <row r="2545" spans="8:9" ht="12" customHeight="1">
      <c r="H2545" s="133">
        <v>4.541568563183139E-2</v>
      </c>
      <c r="I2545" s="133">
        <v>8.8488420339291066E-2</v>
      </c>
    </row>
    <row r="2546" spans="8:9" ht="12" customHeight="1">
      <c r="H2546" s="133">
        <v>4.5834540210915375E-2</v>
      </c>
      <c r="I2546" s="133">
        <v>8.8563199406863663E-2</v>
      </c>
    </row>
    <row r="2547" spans="8:9" ht="12" customHeight="1">
      <c r="H2547" s="133">
        <v>4.5847006850015068E-2</v>
      </c>
      <c r="I2547" s="133">
        <v>8.856542597859339E-2</v>
      </c>
    </row>
    <row r="2548" spans="8:9" ht="12" customHeight="1">
      <c r="H2548" s="133">
        <v>4.6164874466406339E-2</v>
      </c>
      <c r="I2548" s="133">
        <v>8.8622214974304836E-2</v>
      </c>
    </row>
    <row r="2549" spans="8:9" ht="12" customHeight="1">
      <c r="H2549" s="133">
        <v>4.6222877853425826E-2</v>
      </c>
      <c r="I2549" s="133">
        <v>8.8632581180406872E-2</v>
      </c>
    </row>
    <row r="2550" spans="8:9" ht="12" customHeight="1">
      <c r="H2550" s="133">
        <v>4.7118704287498953E-2</v>
      </c>
      <c r="I2550" s="133">
        <v>8.8792819875930892E-2</v>
      </c>
    </row>
    <row r="2551" spans="8:9" ht="12" customHeight="1">
      <c r="H2551" s="133">
        <v>4.7138919969918883E-2</v>
      </c>
      <c r="I2551" s="133">
        <v>8.8796438920183532E-2</v>
      </c>
    </row>
    <row r="2552" spans="8:9" ht="12" customHeight="1">
      <c r="H2552" s="133">
        <v>4.7392146228075402E-2</v>
      </c>
      <c r="I2552" s="133">
        <v>8.8841783175193742E-2</v>
      </c>
    </row>
    <row r="2553" spans="8:9" ht="12" customHeight="1">
      <c r="H2553" s="133">
        <v>4.7941417949236773E-2</v>
      </c>
      <c r="I2553" s="133">
        <v>8.8940210987633037E-2</v>
      </c>
    </row>
    <row r="2554" spans="8:9" ht="12" customHeight="1">
      <c r="H2554" s="133">
        <v>4.853284194815409E-2</v>
      </c>
      <c r="I2554" s="133">
        <v>8.9046302369343952E-2</v>
      </c>
    </row>
    <row r="2555" spans="8:9" ht="12" customHeight="1">
      <c r="H2555" s="133">
        <v>4.8809485292093432E-2</v>
      </c>
      <c r="I2555" s="133">
        <v>8.9095966653602102E-2</v>
      </c>
    </row>
    <row r="2556" spans="8:9" ht="12" customHeight="1">
      <c r="H2556" s="133">
        <v>4.9678500743497292E-2</v>
      </c>
      <c r="I2556" s="133">
        <v>8.9252138884321777E-2</v>
      </c>
    </row>
    <row r="2557" spans="8:9" ht="12" customHeight="1">
      <c r="H2557" s="133">
        <v>5.0532559790548132E-2</v>
      </c>
      <c r="I2557" s="133">
        <v>8.9405863813754802E-2</v>
      </c>
    </row>
    <row r="2558" spans="8:9" ht="12" customHeight="1">
      <c r="H2558" s="133">
        <v>5.2059958540622828E-2</v>
      </c>
      <c r="I2558" s="133">
        <v>8.9681380836995103E-2</v>
      </c>
    </row>
    <row r="2559" spans="8:9" ht="12" customHeight="1">
      <c r="H2559" s="133">
        <v>5.2159376702000229E-2</v>
      </c>
      <c r="I2559" s="133">
        <v>8.9699340705627295E-2</v>
      </c>
    </row>
    <row r="2560" spans="8:9" ht="12" customHeight="1">
      <c r="H2560" s="133">
        <v>5.2541532341944322E-2</v>
      </c>
      <c r="I2560" s="133">
        <v>8.9768407225015889E-2</v>
      </c>
    </row>
    <row r="2561" spans="8:9" ht="12" customHeight="1">
      <c r="H2561" s="133">
        <v>5.2557247989178824E-2</v>
      </c>
      <c r="I2561" s="133">
        <v>8.9771248520551683E-2</v>
      </c>
    </row>
    <row r="2562" spans="8:9" ht="12" customHeight="1">
      <c r="H2562" s="133">
        <v>5.2994756756210848E-2</v>
      </c>
      <c r="I2562" s="133">
        <v>8.9850380049516468E-2</v>
      </c>
    </row>
    <row r="2563" spans="8:9" ht="12" customHeight="1">
      <c r="H2563" s="133">
        <v>5.3112517264569156E-2</v>
      </c>
      <c r="I2563" s="133">
        <v>8.9871689944606467E-2</v>
      </c>
    </row>
    <row r="2564" spans="8:9" ht="12" customHeight="1">
      <c r="H2564" s="133">
        <v>5.3502311309230166E-2</v>
      </c>
      <c r="I2564" s="133">
        <v>8.9942259416435813E-2</v>
      </c>
    </row>
    <row r="2565" spans="8:9" ht="12" customHeight="1">
      <c r="H2565" s="133">
        <v>5.3601531284345263E-2</v>
      </c>
      <c r="I2565" s="133">
        <v>8.9960230467088509E-2</v>
      </c>
    </row>
    <row r="2566" spans="8:9" ht="12" customHeight="1">
      <c r="H2566" s="133">
        <v>5.3735301545881797E-2</v>
      </c>
      <c r="I2566" s="133">
        <v>8.9984464502175329E-2</v>
      </c>
    </row>
    <row r="2567" spans="8:9" ht="12" customHeight="1">
      <c r="H2567" s="133">
        <v>5.408707546320797E-2</v>
      </c>
      <c r="I2567" s="133">
        <v>9.0048220506556628E-2</v>
      </c>
    </row>
    <row r="2568" spans="8:9" ht="12" customHeight="1">
      <c r="H2568" s="133">
        <v>5.5214677442342139E-2</v>
      </c>
      <c r="I2568" s="133">
        <v>9.0252863113244694E-2</v>
      </c>
    </row>
    <row r="2569" spans="8:9" ht="12" customHeight="1">
      <c r="H2569" s="133">
        <v>5.5392873738734111E-2</v>
      </c>
      <c r="I2569" s="133">
        <v>9.0285241338372554E-2</v>
      </c>
    </row>
    <row r="2570" spans="8:9" ht="12" customHeight="1">
      <c r="H2570" s="133">
        <v>5.6139693313644073E-2</v>
      </c>
      <c r="I2570" s="133">
        <v>9.0421052117154524E-2</v>
      </c>
    </row>
    <row r="2571" spans="8:9" ht="12" customHeight="1">
      <c r="H2571" s="133">
        <v>5.6945366735382572E-2</v>
      </c>
      <c r="I2571" s="133">
        <v>9.0567771875175562E-2</v>
      </c>
    </row>
    <row r="2572" spans="8:9" ht="12" customHeight="1">
      <c r="H2572" s="133">
        <v>5.7216180990962429E-2</v>
      </c>
      <c r="I2572" s="133">
        <v>9.0617137496794842E-2</v>
      </c>
    </row>
    <row r="2573" spans="8:9" ht="12" customHeight="1">
      <c r="H2573" s="133">
        <v>5.7415071080952174E-2</v>
      </c>
      <c r="I2573" s="133">
        <v>9.065340778501163E-2</v>
      </c>
    </row>
    <row r="2574" spans="8:9" ht="12" customHeight="1">
      <c r="H2574" s="133">
        <v>5.7666452269156857E-2</v>
      </c>
      <c r="I2574" s="133">
        <v>9.0699269231754184E-2</v>
      </c>
    </row>
    <row r="2575" spans="8:9" ht="12" customHeight="1">
      <c r="H2575" s="133">
        <v>5.7682296247304615E-2</v>
      </c>
      <c r="I2575" s="133">
        <v>9.0702160472873522E-2</v>
      </c>
    </row>
    <row r="2576" spans="8:9" ht="12" customHeight="1">
      <c r="H2576" s="133">
        <v>5.8242919923906025E-2</v>
      </c>
      <c r="I2576" s="133">
        <v>9.0804517635473703E-2</v>
      </c>
    </row>
    <row r="2577" spans="8:9" ht="12" customHeight="1">
      <c r="H2577" s="133">
        <v>5.8289077405603726E-2</v>
      </c>
      <c r="I2577" s="133">
        <v>9.0812949575285004E-2</v>
      </c>
    </row>
    <row r="2578" spans="8:9" ht="12" customHeight="1">
      <c r="H2578" s="133">
        <v>5.8329106657455221E-2</v>
      </c>
      <c r="I2578" s="133">
        <v>9.0820262595149345E-2</v>
      </c>
    </row>
    <row r="2579" spans="8:9" ht="12" customHeight="1">
      <c r="H2579" s="133">
        <v>5.8476907233440859E-2</v>
      </c>
      <c r="I2579" s="133">
        <v>9.0847269154538626E-2</v>
      </c>
    </row>
    <row r="2580" spans="8:9" ht="12" customHeight="1">
      <c r="H2580" s="133">
        <v>5.8702562257179611E-2</v>
      </c>
      <c r="I2580" s="133">
        <v>9.0888515451848895E-2</v>
      </c>
    </row>
    <row r="2581" spans="8:9" ht="12" customHeight="1">
      <c r="H2581" s="133">
        <v>5.8864105785434398E-2</v>
      </c>
      <c r="I2581" s="133">
        <v>9.0918053496453599E-2</v>
      </c>
    </row>
    <row r="2582" spans="8:9" ht="12" customHeight="1">
      <c r="H2582" s="133">
        <v>5.9205680937251495E-2</v>
      </c>
      <c r="I2582" s="133">
        <v>9.0980538560788485E-2</v>
      </c>
    </row>
    <row r="2583" spans="8:9" ht="12" customHeight="1">
      <c r="H2583" s="133">
        <v>5.9520402686796703E-2</v>
      </c>
      <c r="I2583" s="133">
        <v>9.1038145480728708E-2</v>
      </c>
    </row>
    <row r="2584" spans="8:9" ht="12" customHeight="1">
      <c r="H2584" s="133">
        <v>5.9574862274529919E-2</v>
      </c>
      <c r="I2584" s="133">
        <v>9.1048117137662241E-2</v>
      </c>
    </row>
    <row r="2585" spans="8:9" ht="12" customHeight="1">
      <c r="H2585" s="133">
        <v>5.9651028101445278E-2</v>
      </c>
      <c r="I2585" s="133">
        <v>9.1062064897876965E-2</v>
      </c>
    </row>
    <row r="2586" spans="8:9" ht="12" customHeight="1">
      <c r="H2586" s="133">
        <v>6.1147040444092568E-2</v>
      </c>
      <c r="I2586" s="133">
        <v>9.1336410047348188E-2</v>
      </c>
    </row>
    <row r="2587" spans="8:9" ht="12" customHeight="1">
      <c r="H2587" s="133">
        <v>6.1252789312204667E-2</v>
      </c>
      <c r="I2587" s="133">
        <v>9.1355830834832522E-2</v>
      </c>
    </row>
    <row r="2588" spans="8:9" ht="12" customHeight="1">
      <c r="H2588" s="133">
        <v>6.2607940693735029E-2</v>
      </c>
      <c r="I2588" s="133">
        <v>9.1605033440241845E-2</v>
      </c>
    </row>
    <row r="2589" spans="8:9" ht="12" customHeight="1">
      <c r="H2589" s="133">
        <v>6.271295424613986E-2</v>
      </c>
      <c r="I2589" s="133">
        <v>9.1624370174784295E-2</v>
      </c>
    </row>
    <row r="2590" spans="8:9" ht="12" customHeight="1">
      <c r="H2590" s="133">
        <v>6.2793658685251982E-2</v>
      </c>
      <c r="I2590" s="133">
        <v>9.1639233229870526E-2</v>
      </c>
    </row>
    <row r="2591" spans="8:9" ht="12" customHeight="1">
      <c r="H2591" s="133">
        <v>6.3374073165930842E-2</v>
      </c>
      <c r="I2591" s="133">
        <v>9.1746190011677164E-2</v>
      </c>
    </row>
    <row r="2592" spans="8:9" ht="12" customHeight="1">
      <c r="H2592" s="133">
        <v>6.4280706921342759E-2</v>
      </c>
      <c r="I2592" s="133">
        <v>9.1913485927938188E-2</v>
      </c>
    </row>
    <row r="2593" spans="8:9" ht="12" customHeight="1">
      <c r="H2593" s="133">
        <v>6.4775736272338666E-2</v>
      </c>
      <c r="I2593" s="133">
        <v>9.2004946528876086E-2</v>
      </c>
    </row>
    <row r="2594" spans="8:9" ht="12" customHeight="1">
      <c r="H2594" s="133">
        <v>6.481281005262314E-2</v>
      </c>
      <c r="I2594" s="133">
        <v>9.2011799494983226E-2</v>
      </c>
    </row>
    <row r="2595" spans="8:9" ht="12" customHeight="1">
      <c r="H2595" s="133">
        <v>6.5392676688172918E-2</v>
      </c>
      <c r="I2595" s="133">
        <v>9.2119045642533676E-2</v>
      </c>
    </row>
    <row r="2596" spans="8:9" ht="12" customHeight="1">
      <c r="H2596" s="133">
        <v>6.5510179769650165E-2</v>
      </c>
      <c r="I2596" s="133">
        <v>9.2140791481277934E-2</v>
      </c>
    </row>
    <row r="2597" spans="8:9" ht="12" customHeight="1">
      <c r="H2597" s="133">
        <v>6.5706208953476314E-2</v>
      </c>
      <c r="I2597" s="133">
        <v>9.2177080106746412E-2</v>
      </c>
    </row>
    <row r="2598" spans="8:9" ht="12" customHeight="1">
      <c r="H2598" s="133">
        <v>6.6486028954410095E-2</v>
      </c>
      <c r="I2598" s="133">
        <v>9.2321566375799718E-2</v>
      </c>
    </row>
    <row r="2599" spans="8:9" ht="12" customHeight="1">
      <c r="H2599" s="133">
        <v>6.664762999184419E-2</v>
      </c>
      <c r="I2599" s="133">
        <v>9.2351533505646469E-2</v>
      </c>
    </row>
    <row r="2600" spans="8:9" ht="12" customHeight="1">
      <c r="H2600" s="133">
        <v>6.7760602954533553E-2</v>
      </c>
      <c r="I2600" s="133">
        <v>9.2558159468903917E-2</v>
      </c>
    </row>
    <row r="2601" spans="8:9" ht="12" customHeight="1">
      <c r="H2601" s="133">
        <v>6.8445640168419683E-2</v>
      </c>
      <c r="I2601" s="133">
        <v>9.2685544499772343E-2</v>
      </c>
    </row>
    <row r="2602" spans="8:9" ht="12" customHeight="1">
      <c r="H2602" s="133">
        <v>6.8767253269214595E-2</v>
      </c>
      <c r="I2602" s="133">
        <v>9.2745403845090821E-2</v>
      </c>
    </row>
    <row r="2603" spans="8:9" ht="12" customHeight="1">
      <c r="H2603" s="133">
        <v>6.9038423116759173E-2</v>
      </c>
      <c r="I2603" s="133">
        <v>9.2795901546178741E-2</v>
      </c>
    </row>
    <row r="2604" spans="8:9" ht="12" customHeight="1">
      <c r="H2604" s="133">
        <v>7.0106431226448163E-2</v>
      </c>
      <c r="I2604" s="133">
        <v>9.2995027911659395E-2</v>
      </c>
    </row>
    <row r="2605" spans="8:9" ht="12" customHeight="1">
      <c r="H2605" s="133">
        <v>7.0241940439597153E-2</v>
      </c>
      <c r="I2605" s="133">
        <v>9.3020320526780845E-2</v>
      </c>
    </row>
    <row r="2606" spans="8:9" ht="12" customHeight="1">
      <c r="H2606" s="133">
        <v>7.2106369445981353E-2</v>
      </c>
      <c r="I2606" s="133">
        <v>9.3368940996459676E-2</v>
      </c>
    </row>
    <row r="2607" spans="8:9" ht="12" customHeight="1">
      <c r="H2607" s="133">
        <v>7.2811459458385561E-2</v>
      </c>
      <c r="I2607" s="133">
        <v>9.3501087480376457E-2</v>
      </c>
    </row>
    <row r="2608" spans="8:9" ht="12" customHeight="1">
      <c r="H2608" s="133">
        <v>7.3262899334153142E-2</v>
      </c>
      <c r="I2608" s="133">
        <v>9.3585783445743712E-2</v>
      </c>
    </row>
    <row r="2609" spans="8:9" ht="12" customHeight="1">
      <c r="H2609" s="133">
        <v>7.3290130986467084E-2</v>
      </c>
      <c r="I2609" s="133">
        <v>9.359089465586011E-2</v>
      </c>
    </row>
    <row r="2610" spans="8:9" ht="12" customHeight="1">
      <c r="H2610" s="133">
        <v>7.4531834951660242E-2</v>
      </c>
      <c r="I2610" s="133">
        <v>9.3824220775939979E-2</v>
      </c>
    </row>
    <row r="2611" spans="8:9" ht="12" customHeight="1">
      <c r="H2611" s="133">
        <v>7.5604636146037602E-2</v>
      </c>
      <c r="I2611" s="133">
        <v>9.4026228463134048E-2</v>
      </c>
    </row>
    <row r="2612" spans="8:9" ht="12" customHeight="1">
      <c r="H2612" s="133">
        <v>7.5800131873434304E-2</v>
      </c>
      <c r="I2612" s="133">
        <v>9.4063082128924974E-2</v>
      </c>
    </row>
    <row r="2613" spans="8:9" ht="12" customHeight="1">
      <c r="H2613" s="133">
        <v>7.6002124876946103E-2</v>
      </c>
      <c r="I2613" s="133">
        <v>9.4101174218703079E-2</v>
      </c>
    </row>
    <row r="2614" spans="8:9" ht="12" customHeight="1">
      <c r="H2614" s="133">
        <v>7.6216219193363605E-2</v>
      </c>
      <c r="I2614" s="133">
        <v>9.4141563479006776E-2</v>
      </c>
    </row>
    <row r="2615" spans="8:9" ht="12" customHeight="1">
      <c r="H2615" s="133">
        <v>7.7953440406450039E-2</v>
      </c>
      <c r="I2615" s="133">
        <v>9.4469868017280592E-2</v>
      </c>
    </row>
    <row r="2616" spans="8:9" ht="12" customHeight="1">
      <c r="H2616" s="133">
        <v>7.8281948401000986E-2</v>
      </c>
      <c r="I2616" s="133">
        <v>9.4532065482889213E-2</v>
      </c>
    </row>
    <row r="2617" spans="8:9" ht="12" customHeight="1">
      <c r="H2617" s="133">
        <v>7.9550422081729244E-2</v>
      </c>
      <c r="I2617" s="133">
        <v>9.4772573978339644E-2</v>
      </c>
    </row>
    <row r="2618" spans="8:9" ht="12" customHeight="1">
      <c r="H2618" s="133">
        <v>7.9607511533123052E-2</v>
      </c>
      <c r="I2618" s="133">
        <v>9.4783411275868215E-2</v>
      </c>
    </row>
    <row r="2619" spans="8:9" ht="12" customHeight="1">
      <c r="H2619" s="133">
        <v>7.9706966726266829E-2</v>
      </c>
      <c r="I2619" s="133">
        <v>9.4802293517356667E-2</v>
      </c>
    </row>
    <row r="2620" spans="8:9" ht="12" customHeight="1">
      <c r="H2620" s="133">
        <v>7.9783422247449678E-2</v>
      </c>
      <c r="I2620" s="133">
        <v>9.4816811404920681E-2</v>
      </c>
    </row>
    <row r="2621" spans="8:9" ht="12" customHeight="1">
      <c r="H2621" s="133">
        <v>8.0177733150437941E-2</v>
      </c>
      <c r="I2621" s="133">
        <v>9.4891717412976834E-2</v>
      </c>
    </row>
    <row r="2622" spans="8:9" ht="12" customHeight="1">
      <c r="H2622" s="133">
        <v>8.0728577399454909E-2</v>
      </c>
      <c r="I2622" s="133">
        <v>9.4996448259252395E-2</v>
      </c>
    </row>
    <row r="2623" spans="8:9" ht="12" customHeight="1">
      <c r="H2623" s="133">
        <v>8.0988753476998035E-2</v>
      </c>
      <c r="I2623" s="133">
        <v>9.5045950947634836E-2</v>
      </c>
    </row>
    <row r="2624" spans="8:9" ht="12" customHeight="1">
      <c r="H2624" s="133">
        <v>8.1766425467319936E-2</v>
      </c>
      <c r="I2624" s="133">
        <v>9.5194053224289116E-2</v>
      </c>
    </row>
    <row r="2625" spans="8:9" ht="12" customHeight="1">
      <c r="H2625" s="133">
        <v>8.2478295332704663E-2</v>
      </c>
      <c r="I2625" s="133">
        <v>9.5329804930657847E-2</v>
      </c>
    </row>
    <row r="2626" spans="8:9" ht="12" customHeight="1">
      <c r="H2626" s="133">
        <v>8.2812438212892608E-2</v>
      </c>
      <c r="I2626" s="133">
        <v>9.5393584803480203E-2</v>
      </c>
    </row>
    <row r="2627" spans="8:9" ht="12" customHeight="1">
      <c r="H2627" s="133">
        <v>8.3386790017660445E-2</v>
      </c>
      <c r="I2627" s="133">
        <v>9.5503304006387665E-2</v>
      </c>
    </row>
    <row r="2628" spans="8:9" ht="12" customHeight="1">
      <c r="H2628" s="133">
        <v>8.382507498479784E-2</v>
      </c>
      <c r="I2628" s="133">
        <v>9.558710609244464E-2</v>
      </c>
    </row>
    <row r="2629" spans="8:9" ht="12" customHeight="1">
      <c r="H2629" s="133">
        <v>8.5720433443725985E-2</v>
      </c>
      <c r="I2629" s="133">
        <v>9.5950264809748484E-2</v>
      </c>
    </row>
    <row r="2630" spans="8:9" ht="12" customHeight="1">
      <c r="H2630" s="133">
        <v>8.5811011268734083E-2</v>
      </c>
      <c r="I2630" s="133">
        <v>9.5967650745649433E-2</v>
      </c>
    </row>
    <row r="2631" spans="8:9" ht="12" customHeight="1">
      <c r="H2631" s="133">
        <v>8.6981733148706886E-2</v>
      </c>
      <c r="I2631" s="133">
        <v>9.6192618154492579E-2</v>
      </c>
    </row>
    <row r="2632" spans="8:9" ht="12" customHeight="1">
      <c r="H2632" s="133">
        <v>8.6986577558701608E-2</v>
      </c>
      <c r="I2632" s="133">
        <v>9.6193550040773776E-2</v>
      </c>
    </row>
    <row r="2633" spans="8:9" ht="12" customHeight="1">
      <c r="H2633" s="133">
        <v>8.7117580523229432E-2</v>
      </c>
      <c r="I2633" s="133">
        <v>9.6218753251033948E-2</v>
      </c>
    </row>
    <row r="2634" spans="8:9" ht="12" customHeight="1">
      <c r="H2634" s="133">
        <v>8.7318013558447011E-2</v>
      </c>
      <c r="I2634" s="133">
        <v>9.625732529379849E-2</v>
      </c>
    </row>
    <row r="2635" spans="8:9" ht="12" customHeight="1">
      <c r="H2635" s="133">
        <v>8.818941603153739E-2</v>
      </c>
      <c r="I2635" s="133">
        <v>9.642518171342275E-2</v>
      </c>
    </row>
    <row r="2636" spans="8:9" ht="12" customHeight="1">
      <c r="H2636" s="133">
        <v>8.8847023089613605E-2</v>
      </c>
      <c r="I2636" s="133">
        <v>9.6552028242609902E-2</v>
      </c>
    </row>
    <row r="2637" spans="8:9" ht="12" customHeight="1">
      <c r="H2637" s="133">
        <v>8.9282704021625622E-2</v>
      </c>
      <c r="I2637" s="133">
        <v>9.6636149261336013E-2</v>
      </c>
    </row>
    <row r="2638" spans="8:9" ht="12" customHeight="1">
      <c r="H2638" s="133">
        <v>9.0341044383782931E-2</v>
      </c>
      <c r="I2638" s="133">
        <v>9.6840765646677096E-2</v>
      </c>
    </row>
    <row r="2639" spans="8:9" ht="12" customHeight="1">
      <c r="H2639" s="133">
        <v>9.1205440131664275E-2</v>
      </c>
      <c r="I2639" s="133">
        <v>9.7008172235495196E-2</v>
      </c>
    </row>
    <row r="2640" spans="8:9" ht="12" customHeight="1">
      <c r="H2640" s="133">
        <v>9.1542777244776857E-2</v>
      </c>
      <c r="I2640" s="133">
        <v>9.7073573992255607E-2</v>
      </c>
    </row>
    <row r="2641" spans="8:9" ht="12" customHeight="1">
      <c r="H2641" s="133">
        <v>9.1721772174684219E-2</v>
      </c>
      <c r="I2641" s="133">
        <v>9.7108292890371581E-2</v>
      </c>
    </row>
    <row r="2642" spans="8:9" ht="12" customHeight="1">
      <c r="H2642" s="133">
        <v>9.1767904470538744E-2</v>
      </c>
      <c r="I2642" s="133">
        <v>9.7117242774850343E-2</v>
      </c>
    </row>
    <row r="2643" spans="8:9" ht="12" customHeight="1">
      <c r="H2643" s="133">
        <v>9.1927601542989582E-2</v>
      </c>
      <c r="I2643" s="133">
        <v>9.71482304503965E-2</v>
      </c>
    </row>
    <row r="2644" spans="8:9" ht="12" customHeight="1">
      <c r="H2644" s="133">
        <v>9.2305379862148665E-2</v>
      </c>
      <c r="I2644" s="133">
        <v>9.7221569813771752E-2</v>
      </c>
    </row>
    <row r="2645" spans="8:9" ht="12" customHeight="1">
      <c r="H2645" s="133">
        <v>9.3171740287531335E-2</v>
      </c>
      <c r="I2645" s="133">
        <v>9.7389945832768374E-2</v>
      </c>
    </row>
    <row r="2646" spans="8:9" ht="12" customHeight="1">
      <c r="H2646" s="133">
        <v>9.500263868821078E-2</v>
      </c>
      <c r="I2646" s="133">
        <v>9.7746634546217681E-2</v>
      </c>
    </row>
    <row r="2647" spans="8:9" ht="12" customHeight="1">
      <c r="H2647" s="133">
        <v>9.5321316133369444E-2</v>
      </c>
      <c r="I2647" s="133">
        <v>9.7808836975640107E-2</v>
      </c>
    </row>
    <row r="2648" spans="8:9" ht="12" customHeight="1">
      <c r="H2648" s="133">
        <v>9.5542536209608106E-2</v>
      </c>
      <c r="I2648" s="133">
        <v>9.7852037519494964E-2</v>
      </c>
    </row>
    <row r="2649" spans="8:9" ht="12" customHeight="1">
      <c r="H2649" s="133">
        <v>9.6050580372886316E-2</v>
      </c>
      <c r="I2649" s="133">
        <v>9.7951314361206951E-2</v>
      </c>
    </row>
    <row r="2650" spans="8:9" ht="12" customHeight="1">
      <c r="H2650" s="133">
        <v>9.6217969897970254E-2</v>
      </c>
      <c r="I2650" s="133">
        <v>9.7984043585262609E-2</v>
      </c>
    </row>
    <row r="2651" spans="8:9" ht="12" customHeight="1">
      <c r="H2651" s="133">
        <v>9.6397658541271233E-2</v>
      </c>
      <c r="I2651" s="133">
        <v>9.801918847131591E-2</v>
      </c>
    </row>
    <row r="2652" spans="8:9" ht="12" customHeight="1">
      <c r="H2652" s="133">
        <v>9.6693903270045442E-2</v>
      </c>
      <c r="I2652" s="133">
        <v>9.8077154824735419E-2</v>
      </c>
    </row>
    <row r="2653" spans="8:9" ht="12" customHeight="1">
      <c r="H2653" s="133">
        <v>9.683807584298941E-2</v>
      </c>
      <c r="I2653" s="133">
        <v>9.8105376194839375E-2</v>
      </c>
    </row>
    <row r="2654" spans="8:9" ht="12" customHeight="1">
      <c r="H2654" s="133">
        <v>9.716364012916652E-2</v>
      </c>
      <c r="I2654" s="133">
        <v>9.816913110073705E-2</v>
      </c>
    </row>
    <row r="2655" spans="8:9" ht="12" customHeight="1">
      <c r="H2655" s="133">
        <v>9.7461258771209466E-2</v>
      </c>
      <c r="I2655" s="133">
        <v>9.8227445742251063E-2</v>
      </c>
    </row>
    <row r="2656" spans="8:9" ht="12" customHeight="1">
      <c r="H2656" s="133">
        <v>9.7577412328159696E-2</v>
      </c>
      <c r="I2656" s="133">
        <v>9.8250212948344393E-2</v>
      </c>
    </row>
    <row r="2657" spans="8:9" ht="12" customHeight="1">
      <c r="H2657" s="133">
        <v>9.7915569119658888E-2</v>
      </c>
      <c r="I2657" s="133">
        <v>9.8316521680615346E-2</v>
      </c>
    </row>
    <row r="2658" spans="8:9" ht="12" customHeight="1">
      <c r="H2658" s="133">
        <v>9.8023241973949515E-2</v>
      </c>
      <c r="I2658" s="133">
        <v>9.8337643480366027E-2</v>
      </c>
    </row>
    <row r="2659" spans="8:9" ht="12" customHeight="1">
      <c r="H2659" s="133">
        <v>9.8464602258719197E-2</v>
      </c>
      <c r="I2659" s="133">
        <v>9.8424265808641637E-2</v>
      </c>
    </row>
    <row r="2660" spans="8:9" ht="12" customHeight="1">
      <c r="H2660" s="133">
        <v>9.9377755887782165E-2</v>
      </c>
      <c r="I2660" s="133">
        <v>9.8603699143808995E-2</v>
      </c>
    </row>
    <row r="2661" spans="8:9" ht="12" customHeight="1">
      <c r="H2661" s="133">
        <v>9.9466482633022907E-2</v>
      </c>
      <c r="I2661" s="133">
        <v>9.8621149338237443E-2</v>
      </c>
    </row>
    <row r="2662" spans="8:9" ht="12" customHeight="1">
      <c r="H2662" s="133">
        <v>9.9492357697796935E-2</v>
      </c>
      <c r="I2662" s="133">
        <v>9.8626238794263854E-2</v>
      </c>
    </row>
    <row r="2663" spans="8:9" ht="12" customHeight="1">
      <c r="H2663" s="133">
        <v>9.9855835144817731E-2</v>
      </c>
      <c r="I2663" s="133">
        <v>9.8697757155974841E-2</v>
      </c>
    </row>
    <row r="2664" spans="8:9" ht="12" customHeight="1">
      <c r="H2664" s="133">
        <v>0.10018619999390918</v>
      </c>
      <c r="I2664" s="133">
        <v>9.8762800293041714E-2</v>
      </c>
    </row>
    <row r="2665" spans="8:9" ht="12" customHeight="1">
      <c r="H2665" s="133">
        <v>0.10021604075999534</v>
      </c>
      <c r="I2665" s="133">
        <v>9.8768677303937999E-2</v>
      </c>
    </row>
    <row r="2666" spans="8:9" ht="12" customHeight="1">
      <c r="H2666" s="133">
        <v>0.10065170791236354</v>
      </c>
      <c r="I2666" s="133">
        <v>9.885451554710202E-2</v>
      </c>
    </row>
    <row r="2667" spans="8:9" ht="12" customHeight="1">
      <c r="H2667" s="133">
        <v>0.10137408022827438</v>
      </c>
      <c r="I2667" s="133">
        <v>9.8996988846789744E-2</v>
      </c>
    </row>
    <row r="2668" spans="8:9" ht="12" customHeight="1">
      <c r="H2668" s="133">
        <v>0.10172653501607525</v>
      </c>
      <c r="I2668" s="133">
        <v>9.9066569735359586E-2</v>
      </c>
    </row>
    <row r="2669" spans="8:9" ht="12" customHeight="1">
      <c r="H2669" s="133">
        <v>0.10316680722645293</v>
      </c>
      <c r="I2669" s="133">
        <v>9.9351357809712437E-2</v>
      </c>
    </row>
    <row r="2670" spans="8:9" ht="12" customHeight="1">
      <c r="H2670" s="133">
        <v>0.1036852653868848</v>
      </c>
      <c r="I2670" s="133">
        <v>9.9454051801967314E-2</v>
      </c>
    </row>
    <row r="2671" spans="8:9" ht="12" customHeight="1">
      <c r="H2671" s="133">
        <v>0.10395812521166396</v>
      </c>
      <c r="I2671" s="133">
        <v>9.9508136634868585E-2</v>
      </c>
    </row>
    <row r="2672" spans="8:9" ht="12" customHeight="1">
      <c r="H2672" s="133">
        <v>0.10396901341140681</v>
      </c>
      <c r="I2672" s="133">
        <v>9.9510295379019537E-2</v>
      </c>
    </row>
    <row r="2673" spans="8:9" ht="12" customHeight="1">
      <c r="H2673" s="133">
        <v>0.10463192145651209</v>
      </c>
      <c r="I2673" s="133">
        <v>9.9641805047751608E-2</v>
      </c>
    </row>
    <row r="2674" spans="8:9" ht="12" customHeight="1">
      <c r="H2674" s="133">
        <v>0.10661607667422775</v>
      </c>
      <c r="I2674" s="133">
        <v>0.10003635170653756</v>
      </c>
    </row>
    <row r="2675" spans="8:9" ht="12" customHeight="1">
      <c r="H2675" s="133">
        <v>0.10748713807589223</v>
      </c>
      <c r="I2675" s="133">
        <v>0.10020999934104997</v>
      </c>
    </row>
    <row r="2676" spans="8:9" ht="12" customHeight="1">
      <c r="H2676" s="133">
        <v>0.10801585754993691</v>
      </c>
      <c r="I2676" s="133">
        <v>0.10031553109593851</v>
      </c>
    </row>
    <row r="2677" spans="8:9" ht="12" customHeight="1">
      <c r="H2677" s="133">
        <v>0.10824823669084289</v>
      </c>
      <c r="I2677" s="133">
        <v>0.10036194491529313</v>
      </c>
    </row>
    <row r="2678" spans="8:9" ht="12" customHeight="1">
      <c r="H2678" s="133">
        <v>0.10830721924802064</v>
      </c>
      <c r="I2678" s="133">
        <v>0.10037372872314503</v>
      </c>
    </row>
    <row r="2679" spans="8:9" ht="12" customHeight="1">
      <c r="H2679" s="133">
        <v>0.10955814391638127</v>
      </c>
      <c r="I2679" s="133">
        <v>0.10062393385648195</v>
      </c>
    </row>
    <row r="2680" spans="8:9" ht="12" customHeight="1">
      <c r="H2680" s="133">
        <v>0.11116042130879417</v>
      </c>
      <c r="I2680" s="133">
        <v>0.10094522423754364</v>
      </c>
    </row>
    <row r="2681" spans="8:9" ht="12" customHeight="1">
      <c r="H2681" s="133">
        <v>0.11151595524063085</v>
      </c>
      <c r="I2681" s="133">
        <v>0.10101663963120168</v>
      </c>
    </row>
    <row r="2682" spans="8:9" ht="12" customHeight="1">
      <c r="H2682" s="133">
        <v>0.11221526134550724</v>
      </c>
      <c r="I2682" s="133">
        <v>0.10115723872170089</v>
      </c>
    </row>
    <row r="2683" spans="8:9" ht="12" customHeight="1">
      <c r="H2683" s="133">
        <v>0.1123778299466351</v>
      </c>
      <c r="I2683" s="133">
        <v>0.10118994884510066</v>
      </c>
    </row>
    <row r="2684" spans="8:9" ht="12" customHeight="1">
      <c r="H2684" s="133">
        <v>0.11244289204309629</v>
      </c>
      <c r="I2684" s="133">
        <v>0.10120304249729993</v>
      </c>
    </row>
    <row r="2685" spans="8:9" ht="12" customHeight="1">
      <c r="H2685" s="133">
        <v>0.11253196451816135</v>
      </c>
      <c r="I2685" s="133">
        <v>0.10122097064138787</v>
      </c>
    </row>
    <row r="2686" spans="8:9" ht="12" customHeight="1">
      <c r="H2686" s="133">
        <v>0.11256780295167045</v>
      </c>
      <c r="I2686" s="133">
        <v>0.10122818485001313</v>
      </c>
    </row>
    <row r="2687" spans="8:9" ht="12" customHeight="1">
      <c r="H2687" s="133">
        <v>0.11383322952483453</v>
      </c>
      <c r="I2687" s="133">
        <v>0.10148320543893717</v>
      </c>
    </row>
    <row r="2688" spans="8:9" ht="12" customHeight="1">
      <c r="H2688" s="133">
        <v>0.1138780618219138</v>
      </c>
      <c r="I2688" s="133">
        <v>0.10149225090716617</v>
      </c>
    </row>
    <row r="2689" spans="8:9" ht="12" customHeight="1">
      <c r="H2689" s="133">
        <v>0.11397238720017321</v>
      </c>
      <c r="I2689" s="133">
        <v>0.10151128454952538</v>
      </c>
    </row>
    <row r="2690" spans="8:9" ht="12" customHeight="1">
      <c r="H2690" s="133">
        <v>0.11491410286038904</v>
      </c>
      <c r="I2690" s="133">
        <v>0.1017014842595476</v>
      </c>
    </row>
    <row r="2691" spans="8:9" ht="12" customHeight="1">
      <c r="H2691" s="133">
        <v>0.11517959322059111</v>
      </c>
      <c r="I2691" s="133">
        <v>0.10175516281978821</v>
      </c>
    </row>
    <row r="2692" spans="8:9" ht="12" customHeight="1">
      <c r="H2692" s="133">
        <v>0.11538338127807876</v>
      </c>
      <c r="I2692" s="133">
        <v>0.10179638305027412</v>
      </c>
    </row>
    <row r="2693" spans="8:9" ht="12" customHeight="1">
      <c r="H2693" s="133">
        <v>0.11594333268456522</v>
      </c>
      <c r="I2693" s="133">
        <v>0.10190972071556011</v>
      </c>
    </row>
    <row r="2694" spans="8:9" ht="12" customHeight="1">
      <c r="H2694" s="133">
        <v>0.11659365141899865</v>
      </c>
      <c r="I2694" s="133">
        <v>0.10204148968652528</v>
      </c>
    </row>
    <row r="2695" spans="8:9" ht="12" customHeight="1">
      <c r="H2695" s="133">
        <v>0.11668743513340245</v>
      </c>
      <c r="I2695" s="133">
        <v>0.1020605047978026</v>
      </c>
    </row>
    <row r="2696" spans="8:9" ht="12" customHeight="1">
      <c r="H2696" s="133">
        <v>0.11674959945748531</v>
      </c>
      <c r="I2696" s="133">
        <v>0.10207311065231116</v>
      </c>
    </row>
    <row r="2697" spans="8:9" ht="12" customHeight="1">
      <c r="H2697" s="133">
        <v>0.11711286022501828</v>
      </c>
      <c r="I2697" s="133">
        <v>0.10214680127760956</v>
      </c>
    </row>
    <row r="2698" spans="8:9" ht="12" customHeight="1">
      <c r="H2698" s="133">
        <v>0.117849125730686</v>
      </c>
      <c r="I2698" s="133">
        <v>0.10229630381029822</v>
      </c>
    </row>
    <row r="2699" spans="8:9" ht="12" customHeight="1">
      <c r="H2699" s="133">
        <v>0.11789987601764515</v>
      </c>
      <c r="I2699" s="133">
        <v>0.10230661605879611</v>
      </c>
    </row>
    <row r="2700" spans="8:9" ht="12" customHeight="1">
      <c r="H2700" s="133">
        <v>0.11794635762128101</v>
      </c>
      <c r="I2700" s="133">
        <v>0.1023160617366073</v>
      </c>
    </row>
    <row r="2701" spans="8:9" ht="12" customHeight="1">
      <c r="H2701" s="133">
        <v>0.11825848239536314</v>
      </c>
      <c r="I2701" s="133">
        <v>0.10237950964409138</v>
      </c>
    </row>
    <row r="2702" spans="8:9" ht="12" customHeight="1">
      <c r="H2702" s="133">
        <v>0.11892278778876982</v>
      </c>
      <c r="I2702" s="133">
        <v>0.10251466395836685</v>
      </c>
    </row>
    <row r="2703" spans="8:9" ht="12" customHeight="1">
      <c r="H2703" s="133">
        <v>0.11916843756380165</v>
      </c>
      <c r="I2703" s="133">
        <v>0.10256468192905829</v>
      </c>
    </row>
    <row r="2704" spans="8:9" ht="12" customHeight="1">
      <c r="H2704" s="133">
        <v>0.11921734370498553</v>
      </c>
      <c r="I2704" s="133">
        <v>0.1025746425310463</v>
      </c>
    </row>
    <row r="2705" spans="8:9" ht="12" customHeight="1">
      <c r="H2705" s="133">
        <v>0.11932830495959797</v>
      </c>
      <c r="I2705" s="133">
        <v>0.10259724493332117</v>
      </c>
    </row>
    <row r="2706" spans="8:9" ht="12" customHeight="1">
      <c r="H2706" s="133">
        <v>0.11977042726507839</v>
      </c>
      <c r="I2706" s="133">
        <v>0.10268734743992786</v>
      </c>
    </row>
    <row r="2707" spans="8:9" ht="12" customHeight="1">
      <c r="H2707" s="133">
        <v>0.11979887973067535</v>
      </c>
      <c r="I2707" s="133">
        <v>0.10269314832170051</v>
      </c>
    </row>
    <row r="2708" spans="8:9" ht="12" customHeight="1">
      <c r="H2708" s="133">
        <v>0.11989386909921727</v>
      </c>
      <c r="I2708" s="133">
        <v>0.10271251683274087</v>
      </c>
    </row>
    <row r="2709" spans="8:9" ht="12" customHeight="1">
      <c r="H2709" s="133">
        <v>0.12059228735329962</v>
      </c>
      <c r="I2709" s="133">
        <v>0.10285502498340064</v>
      </c>
    </row>
    <row r="2710" spans="8:9" ht="12" customHeight="1">
      <c r="H2710" s="133">
        <v>0.12142261784421177</v>
      </c>
      <c r="I2710" s="133">
        <v>0.103024676799942</v>
      </c>
    </row>
    <row r="2711" spans="8:9" ht="12" customHeight="1">
      <c r="H2711" s="133">
        <v>0.12167902247782197</v>
      </c>
      <c r="I2711" s="133">
        <v>0.10307711502106559</v>
      </c>
    </row>
    <row r="2712" spans="8:9" ht="12" customHeight="1">
      <c r="H2712" s="133">
        <v>0.12203859699441931</v>
      </c>
      <c r="I2712" s="133">
        <v>0.10315069267348699</v>
      </c>
    </row>
    <row r="2713" spans="8:9" ht="12" customHeight="1">
      <c r="H2713" s="133">
        <v>0.12215960090487009</v>
      </c>
      <c r="I2713" s="133">
        <v>0.10317546345406105</v>
      </c>
    </row>
    <row r="2714" spans="8:9" ht="12" customHeight="1">
      <c r="H2714" s="133">
        <v>0.12230828138764621</v>
      </c>
      <c r="I2714" s="133">
        <v>0.10320590712957288</v>
      </c>
    </row>
    <row r="2715" spans="8:9" ht="12" customHeight="1">
      <c r="H2715" s="133">
        <v>0.12308178049503955</v>
      </c>
      <c r="I2715" s="133">
        <v>0.10336441635655085</v>
      </c>
    </row>
    <row r="2716" spans="8:9" ht="12" customHeight="1">
      <c r="H2716" s="133">
        <v>0.12387689591570249</v>
      </c>
      <c r="I2716" s="133">
        <v>0.10352757976179792</v>
      </c>
    </row>
    <row r="2717" spans="8:9" ht="12" customHeight="1">
      <c r="H2717" s="133">
        <v>0.12446808772156799</v>
      </c>
      <c r="I2717" s="133">
        <v>0.1036490441998823</v>
      </c>
    </row>
    <row r="2718" spans="8:9" ht="12" customHeight="1">
      <c r="H2718" s="133">
        <v>0.12474690383837957</v>
      </c>
      <c r="I2718" s="133">
        <v>0.10370637261938033</v>
      </c>
    </row>
    <row r="2719" spans="8:9" ht="12" customHeight="1">
      <c r="H2719" s="133">
        <v>0.12521502810655372</v>
      </c>
      <c r="I2719" s="133">
        <v>0.10380268845316523</v>
      </c>
    </row>
    <row r="2720" spans="8:9" ht="12" customHeight="1">
      <c r="H2720" s="133">
        <v>0.12544628837937008</v>
      </c>
      <c r="I2720" s="133">
        <v>0.10385029907272381</v>
      </c>
    </row>
    <row r="2721" spans="8:9" ht="12" customHeight="1">
      <c r="H2721" s="133">
        <v>0.12605592533570509</v>
      </c>
      <c r="I2721" s="133">
        <v>0.10397590038726048</v>
      </c>
    </row>
    <row r="2722" spans="8:9" ht="12" customHeight="1">
      <c r="H2722" s="133">
        <v>0.12662446934848598</v>
      </c>
      <c r="I2722" s="133">
        <v>0.10409315645962135</v>
      </c>
    </row>
    <row r="2723" spans="8:9" ht="12" customHeight="1">
      <c r="H2723" s="133">
        <v>0.12699749790068143</v>
      </c>
      <c r="I2723" s="133">
        <v>0.10417015305741484</v>
      </c>
    </row>
    <row r="2724" spans="8:9" ht="12" customHeight="1">
      <c r="H2724" s="133">
        <v>0.1274122452880285</v>
      </c>
      <c r="I2724" s="133">
        <v>0.10425581989959258</v>
      </c>
    </row>
    <row r="2725" spans="8:9" ht="12" customHeight="1">
      <c r="H2725" s="133">
        <v>0.12785435149649632</v>
      </c>
      <c r="I2725" s="133">
        <v>0.10434720629668591</v>
      </c>
    </row>
    <row r="2726" spans="8:9" ht="12" customHeight="1">
      <c r="H2726" s="133">
        <v>0.12785435149649632</v>
      </c>
      <c r="I2726" s="133">
        <v>0.10434720629668591</v>
      </c>
    </row>
    <row r="2727" spans="8:9" ht="12" customHeight="1">
      <c r="H2727" s="133">
        <v>0.12804428873796367</v>
      </c>
      <c r="I2727" s="133">
        <v>0.10438648936178646</v>
      </c>
    </row>
    <row r="2728" spans="8:9" ht="12" customHeight="1">
      <c r="H2728" s="133">
        <v>0.12860630681527946</v>
      </c>
      <c r="I2728" s="133">
        <v>0.10450280319809047</v>
      </c>
    </row>
    <row r="2729" spans="8:9" ht="12" customHeight="1">
      <c r="H2729" s="133">
        <v>0.1288729661913029</v>
      </c>
      <c r="I2729" s="133">
        <v>0.10455803038059022</v>
      </c>
    </row>
    <row r="2730" spans="8:9" ht="12" customHeight="1">
      <c r="H2730" s="133">
        <v>0.12902368629328806</v>
      </c>
      <c r="I2730" s="133">
        <v>0.10458925706024466</v>
      </c>
    </row>
    <row r="2731" spans="8:9" ht="12" customHeight="1">
      <c r="H2731" s="133">
        <v>0.13130218002688285</v>
      </c>
      <c r="I2731" s="133">
        <v>0.10506232706077823</v>
      </c>
    </row>
    <row r="2732" spans="8:9" ht="12" customHeight="1">
      <c r="H2732" s="133">
        <v>0.13177468334935202</v>
      </c>
      <c r="I2732" s="133">
        <v>0.10516066622306118</v>
      </c>
    </row>
    <row r="2733" spans="8:9" ht="12" customHeight="1">
      <c r="H2733" s="133">
        <v>0.1332057001253294</v>
      </c>
      <c r="I2733" s="133">
        <v>0.105458990470499</v>
      </c>
    </row>
    <row r="2734" spans="8:9" ht="12" customHeight="1">
      <c r="H2734" s="133">
        <v>0.1341320296141526</v>
      </c>
      <c r="I2734" s="133">
        <v>0.10565250031047868</v>
      </c>
    </row>
    <row r="2735" spans="8:9" ht="12" customHeight="1">
      <c r="H2735" s="133">
        <v>0.13434789896575303</v>
      </c>
      <c r="I2735" s="133">
        <v>0.10569764029243232</v>
      </c>
    </row>
    <row r="2736" spans="8:9" ht="12" customHeight="1">
      <c r="H2736" s="133">
        <v>0.13504589823607388</v>
      </c>
      <c r="I2736" s="133">
        <v>0.10584371385304994</v>
      </c>
    </row>
    <row r="2737" spans="8:9" ht="12" customHeight="1">
      <c r="H2737" s="133">
        <v>0.13563812177204265</v>
      </c>
      <c r="I2737" s="133">
        <v>0.10596779076793095</v>
      </c>
    </row>
    <row r="2738" spans="8:9" ht="12" customHeight="1">
      <c r="H2738" s="133">
        <v>0.13700824097837239</v>
      </c>
      <c r="I2738" s="133">
        <v>0.10625533632851296</v>
      </c>
    </row>
    <row r="2739" spans="8:9" ht="12" customHeight="1">
      <c r="H2739" s="133">
        <v>0.13733194231437401</v>
      </c>
      <c r="I2739" s="133">
        <v>0.10632337153303872</v>
      </c>
    </row>
    <row r="2740" spans="8:9" ht="12" customHeight="1">
      <c r="H2740" s="133">
        <v>0.13776000752109857</v>
      </c>
      <c r="I2740" s="133">
        <v>0.1064134007594332</v>
      </c>
    </row>
    <row r="2741" spans="8:9" ht="12" customHeight="1">
      <c r="H2741" s="133">
        <v>0.13813488663915036</v>
      </c>
      <c r="I2741" s="133">
        <v>0.1064922992175764</v>
      </c>
    </row>
    <row r="2742" spans="8:9" ht="12" customHeight="1">
      <c r="H2742" s="133">
        <v>0.13968059358499241</v>
      </c>
      <c r="I2742" s="133">
        <v>0.10681815889712939</v>
      </c>
    </row>
    <row r="2743" spans="8:9" ht="12" customHeight="1">
      <c r="H2743" s="133">
        <v>0.14044739045579463</v>
      </c>
      <c r="I2743" s="133">
        <v>0.10698013745319966</v>
      </c>
    </row>
    <row r="2744" spans="8:9" ht="12" customHeight="1">
      <c r="H2744" s="133">
        <v>0.14094521318386805</v>
      </c>
      <c r="I2744" s="133">
        <v>0.10708541348648129</v>
      </c>
    </row>
    <row r="2745" spans="8:9" ht="12" customHeight="1">
      <c r="H2745" s="133">
        <v>0.14167723912666413</v>
      </c>
      <c r="I2745" s="133">
        <v>0.10724038276163608</v>
      </c>
    </row>
    <row r="2746" spans="8:9" ht="12" customHeight="1">
      <c r="H2746" s="133">
        <v>0.14174470759588892</v>
      </c>
      <c r="I2746" s="133">
        <v>0.10725467570688549</v>
      </c>
    </row>
    <row r="2747" spans="8:9" ht="12" customHeight="1">
      <c r="H2747" s="133">
        <v>0.14282222628495531</v>
      </c>
      <c r="I2747" s="133">
        <v>0.10748317127648509</v>
      </c>
    </row>
    <row r="2748" spans="8:9" ht="12" customHeight="1">
      <c r="H2748" s="133">
        <v>0.14370129951391558</v>
      </c>
      <c r="I2748" s="133">
        <v>0.10766990210020537</v>
      </c>
    </row>
    <row r="2749" spans="8:9" ht="12" customHeight="1">
      <c r="H2749" s="133">
        <v>0.1438119869121712</v>
      </c>
      <c r="I2749" s="133">
        <v>0.10769343428691321</v>
      </c>
    </row>
    <row r="2750" spans="8:9" ht="12" customHeight="1">
      <c r="H2750" s="133">
        <v>0.1441083397814282</v>
      </c>
      <c r="I2750" s="133">
        <v>0.10775646129412388</v>
      </c>
    </row>
    <row r="2751" spans="8:9" ht="12" customHeight="1">
      <c r="H2751" s="133">
        <v>0.14434258479177106</v>
      </c>
      <c r="I2751" s="133">
        <v>0.10780630242505408</v>
      </c>
    </row>
    <row r="2752" spans="8:9" ht="12" customHeight="1">
      <c r="H2752" s="133">
        <v>0.14640917354076896</v>
      </c>
      <c r="I2752" s="133">
        <v>0.10824689649641302</v>
      </c>
    </row>
    <row r="2753" spans="8:9" ht="12" customHeight="1">
      <c r="H2753" s="133">
        <v>0.14807558394563342</v>
      </c>
      <c r="I2753" s="133">
        <v>0.10860332451692224</v>
      </c>
    </row>
    <row r="2754" spans="8:9" ht="12" customHeight="1">
      <c r="H2754" s="133">
        <v>0.14834278358571418</v>
      </c>
      <c r="I2754" s="133">
        <v>0.10866057155336825</v>
      </c>
    </row>
    <row r="2755" spans="8:9" ht="12" customHeight="1">
      <c r="H2755" s="133">
        <v>0.14864984493705979</v>
      </c>
      <c r="I2755" s="133">
        <v>0.10872639160901602</v>
      </c>
    </row>
    <row r="2756" spans="8:9" ht="12" customHeight="1">
      <c r="H2756" s="133">
        <v>0.14875689254755137</v>
      </c>
      <c r="I2756" s="133">
        <v>0.1087493459994608</v>
      </c>
    </row>
    <row r="2757" spans="8:9" ht="12" customHeight="1">
      <c r="H2757" s="133">
        <v>0.1492375431969295</v>
      </c>
      <c r="I2757" s="133">
        <v>0.10885246513615481</v>
      </c>
    </row>
    <row r="2758" spans="8:9" ht="12" customHeight="1">
      <c r="H2758" s="133">
        <v>0.14940825629468496</v>
      </c>
      <c r="I2758" s="133">
        <v>0.10888911069958714</v>
      </c>
    </row>
    <row r="2759" spans="8:9" ht="12" customHeight="1">
      <c r="H2759" s="133">
        <v>0.14941334338125933</v>
      </c>
      <c r="I2759" s="133">
        <v>0.10889020286837173</v>
      </c>
    </row>
    <row r="2760" spans="8:9" ht="12" customHeight="1">
      <c r="H2760" s="133">
        <v>0.14954302177113696</v>
      </c>
      <c r="I2760" s="133">
        <v>0.10891804733405903</v>
      </c>
    </row>
    <row r="2761" spans="8:9" ht="12" customHeight="1">
      <c r="H2761" s="133">
        <v>0.14990360066354314</v>
      </c>
      <c r="I2761" s="133">
        <v>0.10899550346785222</v>
      </c>
    </row>
    <row r="2762" spans="8:9" ht="12" customHeight="1">
      <c r="H2762" s="133">
        <v>0.15151307150573545</v>
      </c>
      <c r="I2762" s="133">
        <v>0.10934182443561753</v>
      </c>
    </row>
    <row r="2763" spans="8:9" ht="12" customHeight="1">
      <c r="H2763" s="133">
        <v>0.15154672413113274</v>
      </c>
      <c r="I2763" s="133">
        <v>0.10934907599614679</v>
      </c>
    </row>
    <row r="2764" spans="8:9" ht="12" customHeight="1">
      <c r="H2764" s="133">
        <v>0.15159260581980144</v>
      </c>
      <c r="I2764" s="133">
        <v>0.10935896338864821</v>
      </c>
    </row>
    <row r="2765" spans="8:9" ht="12" customHeight="1">
      <c r="H2765" s="133">
        <v>0.15192235153214917</v>
      </c>
      <c r="I2765" s="133">
        <v>0.10943004586309399</v>
      </c>
    </row>
    <row r="2766" spans="8:9" ht="12" customHeight="1">
      <c r="H2766" s="133">
        <v>0.1523478827356709</v>
      </c>
      <c r="I2766" s="133">
        <v>0.10952183647205702</v>
      </c>
    </row>
    <row r="2767" spans="8:9" ht="12" customHeight="1">
      <c r="H2767" s="133">
        <v>0.15239811954967833</v>
      </c>
      <c r="I2767" s="133">
        <v>0.1095326774247089</v>
      </c>
    </row>
    <row r="2768" spans="8:9" ht="12" customHeight="1">
      <c r="H2768" s="133">
        <v>0.1526251041217753</v>
      </c>
      <c r="I2768" s="133">
        <v>0.10958167174231964</v>
      </c>
    </row>
    <row r="2769" spans="8:9" ht="12" customHeight="1">
      <c r="H2769" s="133">
        <v>0.15287282036297756</v>
      </c>
      <c r="I2769" s="133">
        <v>0.10963516289343135</v>
      </c>
    </row>
    <row r="2770" spans="8:9" ht="12" customHeight="1">
      <c r="H2770" s="133">
        <v>0.15309812628896319</v>
      </c>
      <c r="I2770" s="133">
        <v>0.10968383470512016</v>
      </c>
    </row>
    <row r="2771" spans="8:9" ht="12" customHeight="1">
      <c r="H2771" s="133">
        <v>0.15361069354399678</v>
      </c>
      <c r="I2771" s="133">
        <v>0.10979463285300585</v>
      </c>
    </row>
    <row r="2772" spans="8:9" ht="12" customHeight="1">
      <c r="H2772" s="133">
        <v>0.15493368723287293</v>
      </c>
      <c r="I2772" s="133">
        <v>0.11008106888335897</v>
      </c>
    </row>
    <row r="2773" spans="8:9" ht="12" customHeight="1">
      <c r="H2773" s="133">
        <v>0.15497112541001956</v>
      </c>
      <c r="I2773" s="133">
        <v>0.11008918399171731</v>
      </c>
    </row>
    <row r="2774" spans="8:9" ht="12" customHeight="1">
      <c r="H2774" s="133">
        <v>0.15628582206710534</v>
      </c>
      <c r="I2774" s="133">
        <v>0.11037449055866001</v>
      </c>
    </row>
    <row r="2775" spans="8:9" ht="12" customHeight="1">
      <c r="H2775" s="133">
        <v>0.15643087605580058</v>
      </c>
      <c r="I2775" s="133">
        <v>0.11040600883364868</v>
      </c>
    </row>
    <row r="2776" spans="8:9" ht="12" customHeight="1">
      <c r="H2776" s="133">
        <v>0.15691081961080333</v>
      </c>
      <c r="I2776" s="133">
        <v>0.11051035029256404</v>
      </c>
    </row>
    <row r="2777" spans="8:9" ht="12" customHeight="1">
      <c r="H2777" s="133">
        <v>0.15777583323247135</v>
      </c>
      <c r="I2777" s="133">
        <v>0.11069862546474532</v>
      </c>
    </row>
    <row r="2778" spans="8:9" ht="12" customHeight="1">
      <c r="H2778" s="133">
        <v>0.15849512364958956</v>
      </c>
      <c r="I2778" s="133">
        <v>0.11085539694272069</v>
      </c>
    </row>
    <row r="2779" spans="8:9" ht="12" customHeight="1">
      <c r="H2779" s="133">
        <v>0.15894050403439261</v>
      </c>
      <c r="I2779" s="133">
        <v>0.11095256631172777</v>
      </c>
    </row>
    <row r="2780" spans="8:9" ht="12" customHeight="1">
      <c r="H2780" s="133">
        <v>0.15907642499151392</v>
      </c>
      <c r="I2780" s="133">
        <v>0.1109822352523136</v>
      </c>
    </row>
    <row r="2781" spans="8:9" ht="12" customHeight="1">
      <c r="H2781" s="133">
        <v>0.15978374016947638</v>
      </c>
      <c r="I2781" s="133">
        <v>0.11113674070059301</v>
      </c>
    </row>
    <row r="2782" spans="8:9" ht="12" customHeight="1">
      <c r="H2782" s="133">
        <v>0.15978682154415896</v>
      </c>
      <c r="I2782" s="133">
        <v>0.1111374142055402</v>
      </c>
    </row>
    <row r="2783" spans="8:9" ht="12" customHeight="1">
      <c r="H2783" s="133">
        <v>0.16004650026559786</v>
      </c>
      <c r="I2783" s="133">
        <v>0.11119418576547838</v>
      </c>
    </row>
    <row r="2784" spans="8:9" ht="12" customHeight="1">
      <c r="H2784" s="133">
        <v>0.16046294577363204</v>
      </c>
      <c r="I2784" s="133">
        <v>0.11128528301216931</v>
      </c>
    </row>
    <row r="2785" spans="8:9" ht="12" customHeight="1">
      <c r="H2785" s="133">
        <v>0.16070467283867812</v>
      </c>
      <c r="I2785" s="133">
        <v>0.11133819062818943</v>
      </c>
    </row>
    <row r="2786" spans="8:9" ht="12" customHeight="1">
      <c r="H2786" s="133">
        <v>0.1608387650793239</v>
      </c>
      <c r="I2786" s="133">
        <v>0.11136754933491005</v>
      </c>
    </row>
    <row r="2787" spans="8:9" ht="12" customHeight="1">
      <c r="H2787" s="133">
        <v>0.16123751477097842</v>
      </c>
      <c r="I2787" s="133">
        <v>0.11145489324250148</v>
      </c>
    </row>
    <row r="2788" spans="8:9" ht="12" customHeight="1">
      <c r="H2788" s="133">
        <v>0.16159812557236913</v>
      </c>
      <c r="I2788" s="133">
        <v>0.11153393462064803</v>
      </c>
    </row>
    <row r="2789" spans="8:9" ht="12" customHeight="1">
      <c r="H2789" s="133">
        <v>0.16172267126490592</v>
      </c>
      <c r="I2789" s="133">
        <v>0.11156124486513544</v>
      </c>
    </row>
    <row r="2790" spans="8:9" ht="12" customHeight="1">
      <c r="H2790" s="133">
        <v>0.16179742450657392</v>
      </c>
      <c r="I2790" s="133">
        <v>0.1115776394829443</v>
      </c>
    </row>
    <row r="2791" spans="8:9" ht="12" customHeight="1">
      <c r="H2791" s="133">
        <v>0.16415710005273373</v>
      </c>
      <c r="I2791" s="133">
        <v>0.11209623898590242</v>
      </c>
    </row>
    <row r="2792" spans="8:9" ht="12" customHeight="1">
      <c r="H2792" s="133">
        <v>0.16447121740306186</v>
      </c>
      <c r="I2792" s="133">
        <v>0.11216543299012235</v>
      </c>
    </row>
    <row r="2793" spans="8:9" ht="12" customHeight="1">
      <c r="H2793" s="133">
        <v>0.16551596310432842</v>
      </c>
      <c r="I2793" s="133">
        <v>0.1123958388561587</v>
      </c>
    </row>
    <row r="2794" spans="8:9" ht="12" customHeight="1">
      <c r="H2794" s="133">
        <v>0.16589366551105245</v>
      </c>
      <c r="I2794" s="133">
        <v>0.11247923817572027</v>
      </c>
    </row>
    <row r="2795" spans="8:9" ht="12" customHeight="1">
      <c r="H2795" s="133">
        <v>0.16775030774224714</v>
      </c>
      <c r="I2795" s="133">
        <v>0.11288998379293873</v>
      </c>
    </row>
    <row r="2796" spans="8:9" ht="12" customHeight="1">
      <c r="H2796" s="133">
        <v>0.16784800254067139</v>
      </c>
      <c r="I2796" s="133">
        <v>0.11291163305973963</v>
      </c>
    </row>
    <row r="2797" spans="8:9" ht="12" customHeight="1">
      <c r="H2797" s="133">
        <v>0.16856353564862331</v>
      </c>
      <c r="I2797" s="133">
        <v>0.11307030640017453</v>
      </c>
    </row>
    <row r="2798" spans="8:9" ht="12" customHeight="1">
      <c r="H2798" s="133">
        <v>0.16867710788139564</v>
      </c>
      <c r="I2798" s="133">
        <v>0.11309550954135202</v>
      </c>
    </row>
    <row r="2799" spans="8:9" ht="12" customHeight="1">
      <c r="H2799" s="133">
        <v>0.16898408025701966</v>
      </c>
      <c r="I2799" s="133">
        <v>0.11316365519376187</v>
      </c>
    </row>
    <row r="2800" spans="8:9" ht="12" customHeight="1">
      <c r="H2800" s="133">
        <v>0.1690460287436438</v>
      </c>
      <c r="I2800" s="133">
        <v>0.11317741165396401</v>
      </c>
    </row>
    <row r="2801" spans="8:9" ht="12" customHeight="1">
      <c r="H2801" s="133">
        <v>0.16936641630850499</v>
      </c>
      <c r="I2801" s="133">
        <v>0.11324858112876438</v>
      </c>
    </row>
    <row r="2802" spans="8:9" ht="12" customHeight="1">
      <c r="H2802" s="133">
        <v>0.17001021775049716</v>
      </c>
      <c r="I2802" s="133">
        <v>0.11339171037261975</v>
      </c>
    </row>
    <row r="2803" spans="8:9" ht="12" customHeight="1">
      <c r="H2803" s="133">
        <v>0.17015840603319296</v>
      </c>
      <c r="I2803" s="133">
        <v>0.1134246777597361</v>
      </c>
    </row>
    <row r="2804" spans="8:9" ht="12" customHeight="1">
      <c r="H2804" s="133">
        <v>0.17060527245877663</v>
      </c>
      <c r="I2804" s="133">
        <v>0.11352414256322832</v>
      </c>
    </row>
    <row r="2805" spans="8:9" ht="12" customHeight="1">
      <c r="H2805" s="133">
        <v>0.17092982689611069</v>
      </c>
      <c r="I2805" s="133">
        <v>0.11359643048512323</v>
      </c>
    </row>
    <row r="2806" spans="8:9" ht="12" customHeight="1">
      <c r="H2806" s="133">
        <v>0.17121234057534429</v>
      </c>
      <c r="I2806" s="133">
        <v>0.1136593873475896</v>
      </c>
    </row>
    <row r="2807" spans="8:9" ht="12" customHeight="1">
      <c r="H2807" s="133">
        <v>0.1723492411422497</v>
      </c>
      <c r="I2807" s="133">
        <v>0.11391304793977347</v>
      </c>
    </row>
    <row r="2808" spans="8:9" ht="12" customHeight="1">
      <c r="H2808" s="133">
        <v>0.17251710511531759</v>
      </c>
      <c r="I2808" s="133">
        <v>0.11395054283168199</v>
      </c>
    </row>
    <row r="2809" spans="8:9" ht="12" customHeight="1">
      <c r="H2809" s="133">
        <v>0.17258351185821752</v>
      </c>
      <c r="I2809" s="133">
        <v>0.11396537872472347</v>
      </c>
    </row>
    <row r="2810" spans="8:9" ht="12" customHeight="1">
      <c r="H2810" s="133">
        <v>0.17340165900269464</v>
      </c>
      <c r="I2810" s="133">
        <v>0.11414829866209297</v>
      </c>
    </row>
    <row r="2811" spans="8:9" ht="12" customHeight="1">
      <c r="H2811" s="133">
        <v>0.17454265116633727</v>
      </c>
      <c r="I2811" s="133">
        <v>0.11440382676413376</v>
      </c>
    </row>
    <row r="2812" spans="8:9" ht="12" customHeight="1">
      <c r="H2812" s="133">
        <v>0.17558495344650754</v>
      </c>
      <c r="I2812" s="133">
        <v>0.11463768823038802</v>
      </c>
    </row>
    <row r="2813" spans="8:9" ht="12" customHeight="1">
      <c r="H2813" s="133">
        <v>0.17560154262730054</v>
      </c>
      <c r="I2813" s="133">
        <v>0.11464141370880045</v>
      </c>
    </row>
    <row r="2814" spans="8:9" ht="12" customHeight="1">
      <c r="H2814" s="133">
        <v>0.17673075002923508</v>
      </c>
      <c r="I2814" s="133">
        <v>0.11489525080398054</v>
      </c>
    </row>
    <row r="2815" spans="8:9" ht="12" customHeight="1">
      <c r="H2815" s="133">
        <v>0.1772813221727757</v>
      </c>
      <c r="I2815" s="133">
        <v>0.1150191924433053</v>
      </c>
    </row>
    <row r="2816" spans="8:9" ht="12" customHeight="1">
      <c r="H2816" s="133">
        <v>0.17848866810817104</v>
      </c>
      <c r="I2816" s="133">
        <v>0.11529139049952447</v>
      </c>
    </row>
    <row r="2817" spans="8:9" ht="12" customHeight="1">
      <c r="H2817" s="133">
        <v>0.17879156127422491</v>
      </c>
      <c r="I2817" s="133">
        <v>0.11535976609048137</v>
      </c>
    </row>
    <row r="2818" spans="8:9" ht="12" customHeight="1">
      <c r="H2818" s="133">
        <v>0.17928419876145207</v>
      </c>
      <c r="I2818" s="133">
        <v>0.11547105018746701</v>
      </c>
    </row>
    <row r="2819" spans="8:9" ht="12" customHeight="1">
      <c r="H2819" s="133">
        <v>0.17929833542023266</v>
      </c>
      <c r="I2819" s="133">
        <v>0.11547424495810008</v>
      </c>
    </row>
    <row r="2820" spans="8:9" ht="12" customHeight="1">
      <c r="H2820" s="133">
        <v>0.17943512618710461</v>
      </c>
      <c r="I2820" s="133">
        <v>0.11550516253570114</v>
      </c>
    </row>
    <row r="2821" spans="8:9" ht="12" customHeight="1">
      <c r="H2821" s="133">
        <v>0.17946215588993791</v>
      </c>
      <c r="I2821" s="133">
        <v>0.11551127266602031</v>
      </c>
    </row>
    <row r="2822" spans="8:9" ht="12" customHeight="1">
      <c r="H2822" s="133">
        <v>0.18012241377457744</v>
      </c>
      <c r="I2822" s="133">
        <v>0.11566061286186666</v>
      </c>
    </row>
    <row r="2823" spans="8:9" ht="12" customHeight="1">
      <c r="H2823" s="133">
        <v>0.18046889227804919</v>
      </c>
      <c r="I2823" s="133">
        <v>0.11573904810164939</v>
      </c>
    </row>
    <row r="2824" spans="8:9" ht="12" customHeight="1">
      <c r="H2824" s="133">
        <v>0.18051249850822476</v>
      </c>
      <c r="I2824" s="133">
        <v>0.11574892288361595</v>
      </c>
    </row>
    <row r="2825" spans="8:9" ht="12" customHeight="1">
      <c r="H2825" s="133">
        <v>0.18085915492946952</v>
      </c>
      <c r="I2825" s="133">
        <v>0.1158274504823459</v>
      </c>
    </row>
    <row r="2826" spans="8:9" ht="12" customHeight="1">
      <c r="H2826" s="133">
        <v>0.18092112121921639</v>
      </c>
      <c r="I2826" s="133">
        <v>0.11584149249663707</v>
      </c>
    </row>
    <row r="2827" spans="8:9" ht="12" customHeight="1">
      <c r="H2827" s="133">
        <v>0.18125668557650973</v>
      </c>
      <c r="I2827" s="133">
        <v>0.11591755953135462</v>
      </c>
    </row>
    <row r="2828" spans="8:9" ht="12" customHeight="1">
      <c r="H2828" s="133">
        <v>0.18162801987652671</v>
      </c>
      <c r="I2828" s="133">
        <v>0.11600178561832705</v>
      </c>
    </row>
    <row r="2829" spans="8:9" ht="12" customHeight="1">
      <c r="H2829" s="133">
        <v>0.18239412642136937</v>
      </c>
      <c r="I2829" s="133">
        <v>0.11617572199814373</v>
      </c>
    </row>
    <row r="2830" spans="8:9" ht="12" customHeight="1">
      <c r="H2830" s="133">
        <v>0.18404370163040634</v>
      </c>
      <c r="I2830" s="133">
        <v>0.11655100966533213</v>
      </c>
    </row>
    <row r="2831" spans="8:9" ht="12" customHeight="1">
      <c r="H2831" s="133">
        <v>0.18449178362385604</v>
      </c>
      <c r="I2831" s="133">
        <v>0.11665313244463645</v>
      </c>
    </row>
    <row r="2832" spans="8:9" ht="12" customHeight="1">
      <c r="H2832" s="133">
        <v>0.18527766453725009</v>
      </c>
      <c r="I2832" s="133">
        <v>0.11683243084526528</v>
      </c>
    </row>
    <row r="2833" spans="8:9" ht="12" customHeight="1">
      <c r="H2833" s="133">
        <v>0.18560553787538853</v>
      </c>
      <c r="I2833" s="133">
        <v>0.11690730567778923</v>
      </c>
    </row>
    <row r="2834" spans="8:9" ht="12" customHeight="1">
      <c r="H2834" s="133">
        <v>0.18590694006572572</v>
      </c>
      <c r="I2834" s="133">
        <v>0.11697617214675121</v>
      </c>
    </row>
    <row r="2835" spans="8:9" ht="12" customHeight="1">
      <c r="H2835" s="133">
        <v>0.18695447081501412</v>
      </c>
      <c r="I2835" s="133">
        <v>0.117215793022854</v>
      </c>
    </row>
    <row r="2836" spans="8:9" ht="12" customHeight="1">
      <c r="H2836" s="133">
        <v>0.18764169565020611</v>
      </c>
      <c r="I2836" s="133">
        <v>0.1173732256767441</v>
      </c>
    </row>
    <row r="2837" spans="8:9" ht="12" customHeight="1">
      <c r="H2837" s="133">
        <v>0.18838886663728094</v>
      </c>
      <c r="I2837" s="133">
        <v>0.11754459905489782</v>
      </c>
    </row>
    <row r="2838" spans="8:9" ht="12" customHeight="1">
      <c r="H2838" s="133">
        <v>0.18855647273688247</v>
      </c>
      <c r="I2838" s="133">
        <v>0.11758307146359399</v>
      </c>
    </row>
    <row r="2839" spans="8:9" ht="12" customHeight="1">
      <c r="H2839" s="133">
        <v>0.18876363677070856</v>
      </c>
      <c r="I2839" s="133">
        <v>0.11763063910676107</v>
      </c>
    </row>
    <row r="2840" spans="8:9" ht="12" customHeight="1">
      <c r="H2840" s="133">
        <v>0.18905912018479093</v>
      </c>
      <c r="I2840" s="133">
        <v>0.11769851492346729</v>
      </c>
    </row>
    <row r="2841" spans="8:9" ht="12" customHeight="1">
      <c r="H2841" s="133">
        <v>0.18929085833788128</v>
      </c>
      <c r="I2841" s="133">
        <v>0.11775177149228828</v>
      </c>
    </row>
    <row r="2842" spans="8:9" ht="12" customHeight="1">
      <c r="H2842" s="133">
        <v>0.18981703397272415</v>
      </c>
      <c r="I2842" s="133">
        <v>0.11787277132197677</v>
      </c>
    </row>
    <row r="2843" spans="8:9" ht="12" customHeight="1">
      <c r="H2843" s="133">
        <v>0.18988303655180988</v>
      </c>
      <c r="I2843" s="133">
        <v>0.11788795693684782</v>
      </c>
    </row>
    <row r="2844" spans="8:9" ht="12" customHeight="1">
      <c r="H2844" s="133">
        <v>0.19009332899044215</v>
      </c>
      <c r="I2844" s="133">
        <v>0.1179363515008173</v>
      </c>
    </row>
    <row r="2845" spans="8:9" ht="12" customHeight="1">
      <c r="H2845" s="133">
        <v>0.19046394340479422</v>
      </c>
      <c r="I2845" s="133">
        <v>0.11802168282752028</v>
      </c>
    </row>
    <row r="2846" spans="8:9" ht="12" customHeight="1">
      <c r="H2846" s="133">
        <v>0.19058826302875484</v>
      </c>
      <c r="I2846" s="133">
        <v>0.11805031851062918</v>
      </c>
    </row>
    <row r="2847" spans="8:9" ht="12" customHeight="1">
      <c r="H2847" s="133">
        <v>0.19118406099145999</v>
      </c>
      <c r="I2847" s="133">
        <v>0.11818763767937544</v>
      </c>
    </row>
    <row r="2848" spans="8:9" ht="12" customHeight="1">
      <c r="H2848" s="133">
        <v>0.19126912674965524</v>
      </c>
      <c r="I2848" s="133">
        <v>0.11820725486671586</v>
      </c>
    </row>
    <row r="2849" spans="8:9" ht="12" customHeight="1">
      <c r="H2849" s="133">
        <v>0.19167866766721647</v>
      </c>
      <c r="I2849" s="133">
        <v>0.1183017393984406</v>
      </c>
    </row>
    <row r="2850" spans="8:9" ht="12" customHeight="1">
      <c r="H2850" s="133">
        <v>0.192466021218265</v>
      </c>
      <c r="I2850" s="133">
        <v>0.11848357218521285</v>
      </c>
    </row>
    <row r="2851" spans="8:9" ht="12" customHeight="1">
      <c r="H2851" s="133">
        <v>0.19270230346559353</v>
      </c>
      <c r="I2851" s="133">
        <v>0.11853818678823012</v>
      </c>
    </row>
    <row r="2852" spans="8:9" ht="12" customHeight="1">
      <c r="H2852" s="133">
        <v>0.19463802335765579</v>
      </c>
      <c r="I2852" s="133">
        <v>0.11898643263454782</v>
      </c>
    </row>
    <row r="2853" spans="8:9" ht="12" customHeight="1">
      <c r="H2853" s="133">
        <v>0.19589842588619111</v>
      </c>
      <c r="I2853" s="133">
        <v>0.11927908581614988</v>
      </c>
    </row>
    <row r="2854" spans="8:9" ht="12" customHeight="1">
      <c r="H2854" s="133">
        <v>0.19592055052389287</v>
      </c>
      <c r="I2854" s="133">
        <v>0.11928422849483884</v>
      </c>
    </row>
    <row r="2855" spans="8:9" ht="12" customHeight="1">
      <c r="H2855" s="133">
        <v>0.19603441233977242</v>
      </c>
      <c r="I2855" s="133">
        <v>0.11931069771079887</v>
      </c>
    </row>
    <row r="2856" spans="8:9" ht="12" customHeight="1">
      <c r="H2856" s="133">
        <v>0.1961816550246801</v>
      </c>
      <c r="I2856" s="133">
        <v>0.11934493443580269</v>
      </c>
    </row>
    <row r="2857" spans="8:9" ht="12" customHeight="1">
      <c r="H2857" s="133">
        <v>0.19858664583675045</v>
      </c>
      <c r="I2857" s="133">
        <v>0.11990534372643377</v>
      </c>
    </row>
    <row r="2858" spans="8:9" ht="12" customHeight="1">
      <c r="H2858" s="133">
        <v>0.19911709670832853</v>
      </c>
      <c r="I2858" s="133">
        <v>0.12002925457828062</v>
      </c>
    </row>
    <row r="2859" spans="8:9" ht="12" customHeight="1">
      <c r="H2859" s="133">
        <v>0.1992761405964088</v>
      </c>
      <c r="I2859" s="133">
        <v>0.12006642803218584</v>
      </c>
    </row>
    <row r="2860" spans="8:9" ht="12" customHeight="1">
      <c r="H2860" s="133">
        <v>0.19953259158942943</v>
      </c>
      <c r="I2860" s="133">
        <v>0.1201263894655069</v>
      </c>
    </row>
    <row r="2861" spans="8:9" ht="12" customHeight="1">
      <c r="H2861" s="133">
        <v>0.2015438595173345</v>
      </c>
      <c r="I2861" s="133">
        <v>0.12059754601686981</v>
      </c>
    </row>
    <row r="2862" spans="8:9" ht="12" customHeight="1">
      <c r="H2862" s="133">
        <v>0.201591559636291</v>
      </c>
      <c r="I2862" s="133">
        <v>0.12060873950681901</v>
      </c>
    </row>
    <row r="2863" spans="8:9" ht="12" customHeight="1">
      <c r="H2863" s="133">
        <v>0.20218551201412616</v>
      </c>
      <c r="I2863" s="133">
        <v>0.12074819370468731</v>
      </c>
    </row>
    <row r="2864" spans="8:9" ht="12" customHeight="1">
      <c r="H2864" s="133">
        <v>0.20353355383878177</v>
      </c>
      <c r="I2864" s="133">
        <v>0.12106521688572926</v>
      </c>
    </row>
    <row r="2865" spans="8:9" ht="12" customHeight="1">
      <c r="H2865" s="133">
        <v>0.20434847096790948</v>
      </c>
      <c r="I2865" s="133">
        <v>0.1212572113539914</v>
      </c>
    </row>
    <row r="2866" spans="8:9" ht="12" customHeight="1">
      <c r="H2866" s="133">
        <v>0.20437935141225189</v>
      </c>
      <c r="I2866" s="133">
        <v>0.12126449194520453</v>
      </c>
    </row>
    <row r="2867" spans="8:9" ht="12" customHeight="1">
      <c r="H2867" s="133">
        <v>0.20510242736424328</v>
      </c>
      <c r="I2867" s="133">
        <v>0.12143507716602263</v>
      </c>
    </row>
    <row r="2868" spans="8:9" ht="12" customHeight="1">
      <c r="H2868" s="133">
        <v>0.20602338187970248</v>
      </c>
      <c r="I2868" s="133">
        <v>0.12165264450840652</v>
      </c>
    </row>
    <row r="2869" spans="8:9" ht="12" customHeight="1">
      <c r="H2869" s="133">
        <v>0.20637127654808371</v>
      </c>
      <c r="I2869" s="133">
        <v>0.12173491888888265</v>
      </c>
    </row>
    <row r="2870" spans="8:9" ht="12" customHeight="1">
      <c r="H2870" s="133">
        <v>0.20660832451620886</v>
      </c>
      <c r="I2870" s="133">
        <v>0.1217910063398136</v>
      </c>
    </row>
    <row r="2871" spans="8:9" ht="12" customHeight="1">
      <c r="H2871" s="133">
        <v>0.20663573366169416</v>
      </c>
      <c r="I2871" s="133">
        <v>0.1217974929989068</v>
      </c>
    </row>
    <row r="2872" spans="8:9" ht="12" customHeight="1">
      <c r="H2872" s="133">
        <v>0.20704827278683044</v>
      </c>
      <c r="I2872" s="133">
        <v>0.12189516061871787</v>
      </c>
    </row>
    <row r="2873" spans="8:9" ht="12" customHeight="1">
      <c r="H2873" s="133">
        <v>0.20790347993239228</v>
      </c>
      <c r="I2873" s="133">
        <v>0.12209784364275496</v>
      </c>
    </row>
    <row r="2874" spans="8:9" ht="12" customHeight="1">
      <c r="H2874" s="133">
        <v>0.20914147541646322</v>
      </c>
      <c r="I2874" s="133">
        <v>0.12239176098119807</v>
      </c>
    </row>
    <row r="2875" spans="8:9" ht="12" customHeight="1">
      <c r="H2875" s="133">
        <v>0.20967211231973668</v>
      </c>
      <c r="I2875" s="133">
        <v>0.12251792786526317</v>
      </c>
    </row>
    <row r="2876" spans="8:9" ht="12" customHeight="1">
      <c r="H2876" s="133">
        <v>0.2097624392091274</v>
      </c>
      <c r="I2876" s="133">
        <v>0.12253941558007156</v>
      </c>
    </row>
    <row r="2877" spans="8:9" ht="12" customHeight="1">
      <c r="H2877" s="133">
        <v>0.21005249188332187</v>
      </c>
      <c r="I2877" s="133">
        <v>0.12260843765577996</v>
      </c>
    </row>
    <row r="2878" spans="8:9" ht="12" customHeight="1">
      <c r="H2878" s="133">
        <v>0.21027436002546449</v>
      </c>
      <c r="I2878" s="133">
        <v>0.12266125684541468</v>
      </c>
    </row>
    <row r="2879" spans="8:9" ht="12" customHeight="1">
      <c r="H2879" s="133">
        <v>0.21044740863418865</v>
      </c>
      <c r="I2879" s="133">
        <v>0.12270246736529559</v>
      </c>
    </row>
    <row r="2880" spans="8:9" ht="12" customHeight="1">
      <c r="H2880" s="133">
        <v>0.21081316020939617</v>
      </c>
      <c r="I2880" s="133">
        <v>0.12278960816217224</v>
      </c>
    </row>
    <row r="2881" spans="8:9" ht="12" customHeight="1">
      <c r="H2881" s="133">
        <v>0.21139391468314012</v>
      </c>
      <c r="I2881" s="133">
        <v>0.12292808303003638</v>
      </c>
    </row>
    <row r="2882" spans="8:9" ht="12" customHeight="1">
      <c r="H2882" s="133">
        <v>0.21158262474909939</v>
      </c>
      <c r="I2882" s="133">
        <v>0.12297310787997746</v>
      </c>
    </row>
    <row r="2883" spans="8:9" ht="12" customHeight="1">
      <c r="H2883" s="133">
        <v>0.21209024630381307</v>
      </c>
      <c r="I2883" s="133">
        <v>0.12309429306558871</v>
      </c>
    </row>
    <row r="2884" spans="8:9" ht="12" customHeight="1">
      <c r="H2884" s="133">
        <v>0.21274185570259729</v>
      </c>
      <c r="I2884" s="133">
        <v>0.12325000312073307</v>
      </c>
    </row>
    <row r="2885" spans="8:9" ht="12" customHeight="1">
      <c r="H2885" s="133">
        <v>0.21338185205690374</v>
      </c>
      <c r="I2885" s="133">
        <v>0.12340310284700423</v>
      </c>
    </row>
    <row r="2886" spans="8:9" ht="12" customHeight="1">
      <c r="H2886" s="133">
        <v>0.21369910963934111</v>
      </c>
      <c r="I2886" s="133">
        <v>0.12347905766773404</v>
      </c>
    </row>
    <row r="2887" spans="8:9" ht="12" customHeight="1">
      <c r="H2887" s="133">
        <v>0.21398613916011769</v>
      </c>
      <c r="I2887" s="133">
        <v>0.12354781017390491</v>
      </c>
    </row>
    <row r="2888" spans="8:9" ht="12" customHeight="1">
      <c r="H2888" s="133">
        <v>0.21406083573317139</v>
      </c>
      <c r="I2888" s="133">
        <v>0.12356570772035806</v>
      </c>
    </row>
    <row r="2889" spans="8:9" ht="12" customHeight="1">
      <c r="H2889" s="133">
        <v>0.21472120467120459</v>
      </c>
      <c r="I2889" s="133">
        <v>0.12372403120366807</v>
      </c>
    </row>
    <row r="2890" spans="8:9" ht="12" customHeight="1">
      <c r="H2890" s="133">
        <v>0.2153429174540118</v>
      </c>
      <c r="I2890" s="133">
        <v>0.12387324605847487</v>
      </c>
    </row>
    <row r="2891" spans="8:9" ht="12" customHeight="1">
      <c r="H2891" s="133">
        <v>0.21540802076545101</v>
      </c>
      <c r="I2891" s="133">
        <v>0.12388888018374447</v>
      </c>
    </row>
    <row r="2892" spans="8:9" ht="12" customHeight="1">
      <c r="H2892" s="133">
        <v>0.21564454246967163</v>
      </c>
      <c r="I2892" s="133">
        <v>0.12394569354933746</v>
      </c>
    </row>
    <row r="2893" spans="8:9" ht="12" customHeight="1">
      <c r="H2893" s="133">
        <v>0.2163058603289939</v>
      </c>
      <c r="I2893" s="133">
        <v>0.12410466319277952</v>
      </c>
    </row>
    <row r="2894" spans="8:9" ht="12" customHeight="1">
      <c r="H2894" s="133">
        <v>0.21636837644357382</v>
      </c>
      <c r="I2894" s="133">
        <v>0.12411970006092357</v>
      </c>
    </row>
    <row r="2895" spans="8:9" ht="12" customHeight="1">
      <c r="H2895" s="133">
        <v>0.21646591299692317</v>
      </c>
      <c r="I2895" s="133">
        <v>0.12414316344378488</v>
      </c>
    </row>
    <row r="2896" spans="8:9" ht="12" customHeight="1">
      <c r="H2896" s="133">
        <v>0.21647670783180978</v>
      </c>
      <c r="I2896" s="133">
        <v>0.12414576048207242</v>
      </c>
    </row>
    <row r="2897" spans="8:9" ht="12" customHeight="1">
      <c r="H2897" s="133">
        <v>0.21720986138680642</v>
      </c>
      <c r="I2897" s="133">
        <v>0.12432225286515347</v>
      </c>
    </row>
    <row r="2898" spans="8:9" ht="12" customHeight="1">
      <c r="H2898" s="133">
        <v>0.2172208860625206</v>
      </c>
      <c r="I2898" s="133">
        <v>0.12432490848255656</v>
      </c>
    </row>
    <row r="2899" spans="8:9" ht="12" customHeight="1">
      <c r="H2899" s="133">
        <v>0.21724993904224926</v>
      </c>
      <c r="I2899" s="133">
        <v>0.12433190698036788</v>
      </c>
    </row>
    <row r="2900" spans="8:9" ht="12" customHeight="1">
      <c r="H2900" s="133">
        <v>0.21864083761166286</v>
      </c>
      <c r="I2900" s="133">
        <v>0.12466735261257038</v>
      </c>
    </row>
    <row r="2901" spans="8:9" ht="12" customHeight="1">
      <c r="H2901" s="133">
        <v>0.22127521460000829</v>
      </c>
      <c r="I2901" s="133">
        <v>0.12530481745820213</v>
      </c>
    </row>
    <row r="2902" spans="8:9" ht="12" customHeight="1">
      <c r="H2902" s="133">
        <v>0.22154217245341329</v>
      </c>
      <c r="I2902" s="133">
        <v>0.12536957134451518</v>
      </c>
    </row>
    <row r="2903" spans="8:9" ht="12" customHeight="1">
      <c r="H2903" s="133">
        <v>0.22225179214329521</v>
      </c>
      <c r="I2903" s="133">
        <v>0.1255418376500787</v>
      </c>
    </row>
    <row r="2904" spans="8:9" ht="12" customHeight="1">
      <c r="H2904" s="133">
        <v>0.22307708075353899</v>
      </c>
      <c r="I2904" s="133">
        <v>0.12574243852634745</v>
      </c>
    </row>
    <row r="2905" spans="8:9" ht="12" customHeight="1">
      <c r="H2905" s="133">
        <v>0.22328955719657867</v>
      </c>
      <c r="I2905" s="133">
        <v>0.1257941290572131</v>
      </c>
    </row>
    <row r="2906" spans="8:9" ht="12" customHeight="1">
      <c r="H2906" s="133">
        <v>0.22480342945389947</v>
      </c>
      <c r="I2906" s="133">
        <v>0.12616294538099421</v>
      </c>
    </row>
    <row r="2907" spans="8:9" ht="12" customHeight="1">
      <c r="H2907" s="133">
        <v>0.22514035252888667</v>
      </c>
      <c r="I2907" s="133">
        <v>0.12624515385336987</v>
      </c>
    </row>
    <row r="2908" spans="8:9" ht="12" customHeight="1">
      <c r="H2908" s="133">
        <v>0.22568141194448962</v>
      </c>
      <c r="I2908" s="133">
        <v>0.12637726701994331</v>
      </c>
    </row>
    <row r="2909" spans="8:9" ht="12" customHeight="1">
      <c r="H2909" s="133">
        <v>0.22590053456183895</v>
      </c>
      <c r="I2909" s="133">
        <v>0.12643080491330549</v>
      </c>
    </row>
    <row r="2910" spans="8:9" ht="12" customHeight="1">
      <c r="H2910" s="133">
        <v>0.225920130357322</v>
      </c>
      <c r="I2910" s="133">
        <v>0.12643559366880547</v>
      </c>
    </row>
    <row r="2911" spans="8:9" ht="12" customHeight="1">
      <c r="H2911" s="133">
        <v>0.22625692926419327</v>
      </c>
      <c r="I2911" s="133">
        <v>0.12651792371686121</v>
      </c>
    </row>
    <row r="2912" spans="8:9" ht="12" customHeight="1">
      <c r="H2912" s="133">
        <v>0.22680710003096813</v>
      </c>
      <c r="I2912" s="133">
        <v>0.12665251084363821</v>
      </c>
    </row>
    <row r="2913" spans="8:9" ht="12" customHeight="1">
      <c r="H2913" s="133">
        <v>0.22804455229916659</v>
      </c>
      <c r="I2913" s="133">
        <v>0.12695567353457557</v>
      </c>
    </row>
    <row r="2914" spans="8:9" ht="12" customHeight="1">
      <c r="H2914" s="133">
        <v>0.22833241263248424</v>
      </c>
      <c r="I2914" s="133">
        <v>0.12702628511553385</v>
      </c>
    </row>
    <row r="2915" spans="8:9" ht="12" customHeight="1">
      <c r="H2915" s="133">
        <v>0.22866531920583172</v>
      </c>
      <c r="I2915" s="133">
        <v>0.12710798829594061</v>
      </c>
    </row>
    <row r="2916" spans="8:9" ht="12" customHeight="1">
      <c r="H2916" s="133">
        <v>0.22892536554707499</v>
      </c>
      <c r="I2916" s="133">
        <v>0.12717184107550661</v>
      </c>
    </row>
    <row r="2917" spans="8:9" ht="12" customHeight="1">
      <c r="H2917" s="133">
        <v>0.22929072562586567</v>
      </c>
      <c r="I2917" s="133">
        <v>0.12726159929032538</v>
      </c>
    </row>
    <row r="2918" spans="8:9" ht="12" customHeight="1">
      <c r="H2918" s="133">
        <v>0.22986795892654927</v>
      </c>
      <c r="I2918" s="133">
        <v>0.12740351879801706</v>
      </c>
    </row>
    <row r="2919" spans="8:9" ht="12" customHeight="1">
      <c r="H2919" s="133">
        <v>0.23094812870650233</v>
      </c>
      <c r="I2919" s="133">
        <v>0.12766945418115769</v>
      </c>
    </row>
    <row r="2920" spans="8:9" ht="12" customHeight="1">
      <c r="H2920" s="133">
        <v>0.23125068522992107</v>
      </c>
      <c r="I2920" s="133">
        <v>0.12774402782535094</v>
      </c>
    </row>
    <row r="2921" spans="8:9" ht="12" customHeight="1">
      <c r="H2921" s="133">
        <v>0.23220677099650217</v>
      </c>
      <c r="I2921" s="133">
        <v>0.12797992671654965</v>
      </c>
    </row>
    <row r="2922" spans="8:9" ht="12" customHeight="1">
      <c r="H2922" s="133">
        <v>0.23233057443656924</v>
      </c>
      <c r="I2922" s="133">
        <v>0.12801050040432532</v>
      </c>
    </row>
    <row r="2923" spans="8:9" ht="12" customHeight="1">
      <c r="H2923" s="133">
        <v>0.23251986570211847</v>
      </c>
      <c r="I2923" s="133">
        <v>0.12805725858494588</v>
      </c>
    </row>
    <row r="2924" spans="8:9" ht="12" customHeight="1">
      <c r="H2924" s="133">
        <v>0.23267231192216592</v>
      </c>
      <c r="I2924" s="133">
        <v>0.12809492600103795</v>
      </c>
    </row>
    <row r="2925" spans="8:9" ht="12" customHeight="1">
      <c r="H2925" s="133">
        <v>0.23341658406383886</v>
      </c>
      <c r="I2925" s="133">
        <v>0.12827896140444986</v>
      </c>
    </row>
    <row r="2926" spans="8:9" ht="12" customHeight="1">
      <c r="H2926" s="133">
        <v>0.23434921368687039</v>
      </c>
      <c r="I2926" s="133">
        <v>0.12850989003978808</v>
      </c>
    </row>
    <row r="2927" spans="8:9" ht="12" customHeight="1">
      <c r="H2927" s="133">
        <v>0.23455312906040954</v>
      </c>
      <c r="I2927" s="133">
        <v>0.12856042876608728</v>
      </c>
    </row>
    <row r="2928" spans="8:9" ht="12" customHeight="1">
      <c r="H2928" s="133">
        <v>0.23463415964030132</v>
      </c>
      <c r="I2928" s="133">
        <v>0.12858051622377889</v>
      </c>
    </row>
    <row r="2929" spans="8:9" ht="12" customHeight="1">
      <c r="H2929" s="133">
        <v>0.23558523401284712</v>
      </c>
      <c r="I2929" s="133">
        <v>0.12881648733764003</v>
      </c>
    </row>
    <row r="2930" spans="8:9" ht="12" customHeight="1">
      <c r="H2930" s="133">
        <v>0.23574009503223942</v>
      </c>
      <c r="I2930" s="133">
        <v>0.12885494483030976</v>
      </c>
    </row>
    <row r="2931" spans="8:9" ht="12" customHeight="1">
      <c r="H2931" s="133">
        <v>0.23646402310600456</v>
      </c>
      <c r="I2931" s="133">
        <v>0.12903485166694267</v>
      </c>
    </row>
    <row r="2932" spans="8:9" ht="12" customHeight="1">
      <c r="H2932" s="133">
        <v>0.23700690287349585</v>
      </c>
      <c r="I2932" s="133">
        <v>0.12916990567816478</v>
      </c>
    </row>
    <row r="2933" spans="8:9" ht="12" customHeight="1">
      <c r="H2933" s="133">
        <v>0.23830708955204238</v>
      </c>
      <c r="I2933" s="133">
        <v>0.12949384692845162</v>
      </c>
    </row>
    <row r="2934" spans="8:9" ht="12" customHeight="1">
      <c r="H2934" s="133">
        <v>0.23855710021649351</v>
      </c>
      <c r="I2934" s="133">
        <v>0.12955621625265551</v>
      </c>
    </row>
    <row r="2935" spans="8:9" ht="12" customHeight="1">
      <c r="H2935" s="133">
        <v>0.23897897102584051</v>
      </c>
      <c r="I2935" s="133">
        <v>0.12966151692491584</v>
      </c>
    </row>
    <row r="2936" spans="8:9" ht="12" customHeight="1">
      <c r="H2936" s="133">
        <v>0.23910781990360996</v>
      </c>
      <c r="I2936" s="133">
        <v>0.12969369264648503</v>
      </c>
    </row>
    <row r="2937" spans="8:9" ht="12" customHeight="1">
      <c r="H2937" s="133">
        <v>0.23951272018722986</v>
      </c>
      <c r="I2937" s="133">
        <v>0.1297948472512295</v>
      </c>
    </row>
    <row r="2938" spans="8:9" ht="12" customHeight="1">
      <c r="H2938" s="133">
        <v>0.23977682285070576</v>
      </c>
      <c r="I2938" s="133">
        <v>0.12986086312102929</v>
      </c>
    </row>
    <row r="2939" spans="8:9" ht="12" customHeight="1">
      <c r="H2939" s="133">
        <v>0.24004762261394461</v>
      </c>
      <c r="I2939" s="133">
        <v>0.12992858267665558</v>
      </c>
    </row>
    <row r="2940" spans="8:9" ht="12" customHeight="1">
      <c r="H2940" s="133">
        <v>0.24056107421906098</v>
      </c>
      <c r="I2940" s="133">
        <v>0.13005706524685159</v>
      </c>
    </row>
    <row r="2941" spans="8:9" ht="12" customHeight="1">
      <c r="H2941" s="133">
        <v>0.24108100845156766</v>
      </c>
      <c r="I2941" s="133">
        <v>0.1301872800819894</v>
      </c>
    </row>
    <row r="2942" spans="8:9" ht="12" customHeight="1">
      <c r="H2942" s="133">
        <v>0.24133324202510636</v>
      </c>
      <c r="I2942" s="133">
        <v>0.13025049060010369</v>
      </c>
    </row>
    <row r="2943" spans="8:9" ht="12" customHeight="1">
      <c r="H2943" s="133">
        <v>0.24341681110203237</v>
      </c>
      <c r="I2943" s="133">
        <v>0.13077363807442033</v>
      </c>
    </row>
    <row r="2944" spans="8:9" ht="12" customHeight="1">
      <c r="H2944" s="133">
        <v>0.24366840455590397</v>
      </c>
      <c r="I2944" s="133">
        <v>0.13083692940297428</v>
      </c>
    </row>
    <row r="2945" spans="8:9" ht="12" customHeight="1">
      <c r="H2945" s="133">
        <v>0.24428625753880528</v>
      </c>
      <c r="I2945" s="133">
        <v>0.13099246809272888</v>
      </c>
    </row>
    <row r="2946" spans="8:9" ht="12" customHeight="1">
      <c r="H2946" s="133">
        <v>0.24504526849491359</v>
      </c>
      <c r="I2946" s="133">
        <v>0.13118375689336026</v>
      </c>
    </row>
    <row r="2947" spans="8:9" ht="12" customHeight="1">
      <c r="H2947" s="133">
        <v>0.24517302489953813</v>
      </c>
      <c r="I2947" s="133">
        <v>0.1312159778530331</v>
      </c>
    </row>
    <row r="2948" spans="8:9" ht="12" customHeight="1">
      <c r="H2948" s="133">
        <v>0.24520405812945473</v>
      </c>
      <c r="I2948" s="133">
        <v>0.13122380564076358</v>
      </c>
    </row>
    <row r="2949" spans="8:9" ht="12" customHeight="1">
      <c r="H2949" s="133">
        <v>0.24524585413380723</v>
      </c>
      <c r="I2949" s="133">
        <v>0.1312343488453758</v>
      </c>
    </row>
    <row r="2950" spans="8:9" ht="12" customHeight="1">
      <c r="H2950" s="133">
        <v>0.24652592149933</v>
      </c>
      <c r="I2950" s="133">
        <v>0.13155759922895371</v>
      </c>
    </row>
    <row r="2951" spans="8:9" ht="12" customHeight="1">
      <c r="H2951" s="133">
        <v>0.24667559286488577</v>
      </c>
      <c r="I2951" s="133">
        <v>0.13159543923409497</v>
      </c>
    </row>
    <row r="2952" spans="8:9" ht="12" customHeight="1">
      <c r="H2952" s="133">
        <v>0.24699735646519955</v>
      </c>
      <c r="I2952" s="133">
        <v>0.13167681896829206</v>
      </c>
    </row>
    <row r="2953" spans="8:9" ht="12" customHeight="1">
      <c r="H2953" s="133">
        <v>0.24780866493680775</v>
      </c>
      <c r="I2953" s="133">
        <v>0.13188220285756008</v>
      </c>
    </row>
    <row r="2954" spans="8:9" ht="12" customHeight="1">
      <c r="H2954" s="133">
        <v>0.24863153359811901</v>
      </c>
      <c r="I2954" s="133">
        <v>0.13209079067724844</v>
      </c>
    </row>
    <row r="2955" spans="8:9" ht="12" customHeight="1">
      <c r="H2955" s="133">
        <v>0.24904625969021571</v>
      </c>
      <c r="I2955" s="133">
        <v>0.13219602497958735</v>
      </c>
    </row>
    <row r="2956" spans="8:9" ht="12" customHeight="1">
      <c r="H2956" s="133">
        <v>0.24946950662789591</v>
      </c>
      <c r="I2956" s="133">
        <v>0.13230349465959218</v>
      </c>
    </row>
    <row r="2957" spans="8:9" ht="12" customHeight="1">
      <c r="H2957" s="133">
        <v>0.24947363593077038</v>
      </c>
      <c r="I2957" s="133">
        <v>0.13230454352528184</v>
      </c>
    </row>
    <row r="2958" spans="8:9" ht="12" customHeight="1">
      <c r="H2958" s="133">
        <v>0.2525604004906673</v>
      </c>
      <c r="I2958" s="133">
        <v>0.13309057224984502</v>
      </c>
    </row>
    <row r="2959" spans="8:9" ht="12" customHeight="1">
      <c r="H2959" s="133">
        <v>0.25272485139016976</v>
      </c>
      <c r="I2959" s="133">
        <v>0.13313255953250047</v>
      </c>
    </row>
    <row r="2960" spans="8:9" ht="12" customHeight="1">
      <c r="H2960" s="133">
        <v>0.25323864464152479</v>
      </c>
      <c r="I2960" s="133">
        <v>0.13326381246165173</v>
      </c>
    </row>
    <row r="2961" spans="8:9" ht="12" customHeight="1">
      <c r="H2961" s="133">
        <v>0.25347551770029858</v>
      </c>
      <c r="I2961" s="133">
        <v>0.13332436060377834</v>
      </c>
    </row>
    <row r="2962" spans="8:9" ht="12" customHeight="1">
      <c r="H2962" s="133">
        <v>0.25436931892642989</v>
      </c>
      <c r="I2962" s="133">
        <v>0.13355303864432239</v>
      </c>
    </row>
    <row r="2963" spans="8:9" ht="12" customHeight="1">
      <c r="H2963" s="133">
        <v>0.25448431167254632</v>
      </c>
      <c r="I2963" s="133">
        <v>0.13358248348515367</v>
      </c>
    </row>
    <row r="2964" spans="8:9" ht="12" customHeight="1">
      <c r="H2964" s="133">
        <v>0.25471596091456095</v>
      </c>
      <c r="I2964" s="133">
        <v>0.13364181585558685</v>
      </c>
    </row>
    <row r="2965" spans="8:9" ht="12" customHeight="1">
      <c r="H2965" s="133">
        <v>0.2549066157587857</v>
      </c>
      <c r="I2965" s="133">
        <v>0.13369066504136573</v>
      </c>
    </row>
    <row r="2966" spans="8:9" ht="12" customHeight="1">
      <c r="H2966" s="133">
        <v>0.25523410276288322</v>
      </c>
      <c r="I2966" s="133">
        <v>0.13377460832144586</v>
      </c>
    </row>
    <row r="2967" spans="8:9" ht="12" customHeight="1">
      <c r="H2967" s="133">
        <v>0.2556143973502561</v>
      </c>
      <c r="I2967" s="133">
        <v>0.13387214345556223</v>
      </c>
    </row>
    <row r="2968" spans="8:9" ht="12" customHeight="1">
      <c r="H2968" s="133">
        <v>0.25610999606814133</v>
      </c>
      <c r="I2968" s="133">
        <v>0.13399934115837114</v>
      </c>
    </row>
    <row r="2969" spans="8:9" ht="12" customHeight="1">
      <c r="H2969" s="133">
        <v>0.25614530510842842</v>
      </c>
      <c r="I2969" s="133">
        <v>0.13400840728403518</v>
      </c>
    </row>
    <row r="2970" spans="8:9" ht="12" customHeight="1">
      <c r="H2970" s="133">
        <v>0.25632522293748045</v>
      </c>
      <c r="I2970" s="133">
        <v>0.13405461193722717</v>
      </c>
    </row>
    <row r="2971" spans="8:9" ht="12" customHeight="1">
      <c r="H2971" s="133">
        <v>0.25672399767678833</v>
      </c>
      <c r="I2971" s="133">
        <v>0.13415706917466869</v>
      </c>
    </row>
    <row r="2972" spans="8:9" ht="12" customHeight="1">
      <c r="H2972" s="133">
        <v>0.25685869851318432</v>
      </c>
      <c r="I2972" s="133">
        <v>0.13419169282397223</v>
      </c>
    </row>
    <row r="2973" spans="8:9" ht="12" customHeight="1">
      <c r="H2973" s="133">
        <v>0.25702147022052524</v>
      </c>
      <c r="I2973" s="133">
        <v>0.13423354191521331</v>
      </c>
    </row>
    <row r="2974" spans="8:9" ht="12" customHeight="1">
      <c r="H2974" s="133">
        <v>0.25872649670841802</v>
      </c>
      <c r="I2974" s="133">
        <v>0.13467257234285498</v>
      </c>
    </row>
    <row r="2975" spans="8:9" ht="12" customHeight="1">
      <c r="H2975" s="133">
        <v>0.25878006580149931</v>
      </c>
      <c r="I2975" s="133">
        <v>0.13468638557280771</v>
      </c>
    </row>
    <row r="2976" spans="8:9" ht="12" customHeight="1">
      <c r="H2976" s="133">
        <v>0.25966245314826686</v>
      </c>
      <c r="I2976" s="133">
        <v>0.13491408857010692</v>
      </c>
    </row>
    <row r="2977" spans="8:9" ht="12" customHeight="1">
      <c r="H2977" s="133">
        <v>0.2604402392729141</v>
      </c>
      <c r="I2977" s="133">
        <v>0.1351150682229367</v>
      </c>
    </row>
    <row r="2978" spans="8:9" ht="12" customHeight="1">
      <c r="H2978" s="133">
        <v>0.26049946088386539</v>
      </c>
      <c r="I2978" s="133">
        <v>0.13513038141094133</v>
      </c>
    </row>
    <row r="2979" spans="8:9" ht="12" customHeight="1">
      <c r="H2979" s="133">
        <v>0.26119935482039935</v>
      </c>
      <c r="I2979" s="133">
        <v>0.13531146694777882</v>
      </c>
    </row>
    <row r="2980" spans="8:9" ht="12" customHeight="1">
      <c r="H2980" s="133">
        <v>0.26141613122765495</v>
      </c>
      <c r="I2980" s="133">
        <v>0.13536759562383907</v>
      </c>
    </row>
    <row r="2981" spans="8:9" ht="12" customHeight="1">
      <c r="H2981" s="133">
        <v>0.26212555206788207</v>
      </c>
      <c r="I2981" s="133">
        <v>0.1355514192094929</v>
      </c>
    </row>
    <row r="2982" spans="8:9" ht="12" customHeight="1">
      <c r="H2982" s="133">
        <v>0.26301455253238998</v>
      </c>
      <c r="I2982" s="133">
        <v>0.13578207217592014</v>
      </c>
    </row>
    <row r="2983" spans="8:9" ht="12" customHeight="1">
      <c r="H2983" s="133">
        <v>0.26346811249763386</v>
      </c>
      <c r="I2983" s="133">
        <v>0.13589987661767314</v>
      </c>
    </row>
    <row r="2984" spans="8:9" ht="12" customHeight="1">
      <c r="H2984" s="133">
        <v>0.26347881389307448</v>
      </c>
      <c r="I2984" s="133">
        <v>0.13590265716187702</v>
      </c>
    </row>
    <row r="2985" spans="8:9" ht="12" customHeight="1">
      <c r="H2985" s="133">
        <v>0.26347881389307448</v>
      </c>
      <c r="I2985" s="133">
        <v>0.13590265716187702</v>
      </c>
    </row>
    <row r="2986" spans="8:9" ht="12" customHeight="1">
      <c r="H2986" s="133">
        <v>0.2637703103897136</v>
      </c>
      <c r="I2986" s="133">
        <v>0.1359784151542382</v>
      </c>
    </row>
    <row r="2987" spans="8:9" ht="12" customHeight="1">
      <c r="H2987" s="133">
        <v>0.26430103655945275</v>
      </c>
      <c r="I2987" s="133">
        <v>0.13611643871361737</v>
      </c>
    </row>
    <row r="2988" spans="8:9" ht="12" customHeight="1">
      <c r="H2988" s="133">
        <v>0.26531344499679588</v>
      </c>
      <c r="I2988" s="133">
        <v>0.13638005851304486</v>
      </c>
    </row>
    <row r="2989" spans="8:9" ht="12" customHeight="1">
      <c r="H2989" s="133">
        <v>0.26545392463722156</v>
      </c>
      <c r="I2989" s="133">
        <v>0.13641667178343803</v>
      </c>
    </row>
    <row r="2990" spans="8:9" ht="12" customHeight="1">
      <c r="H2990" s="133">
        <v>0.26651108550798713</v>
      </c>
      <c r="I2990" s="133">
        <v>0.13669246564793905</v>
      </c>
    </row>
    <row r="2991" spans="8:9" ht="12" customHeight="1">
      <c r="H2991" s="133">
        <v>0.26840193211343577</v>
      </c>
      <c r="I2991" s="133">
        <v>0.13718692307405567</v>
      </c>
    </row>
    <row r="2992" spans="8:9" ht="12" customHeight="1">
      <c r="H2992" s="133">
        <v>0.26873294267996439</v>
      </c>
      <c r="I2992" s="133">
        <v>0.13727363707139256</v>
      </c>
    </row>
    <row r="2993" spans="8:9" ht="12" customHeight="1">
      <c r="H2993" s="133">
        <v>0.26902950061766562</v>
      </c>
      <c r="I2993" s="133">
        <v>0.13735136474014958</v>
      </c>
    </row>
    <row r="2994" spans="8:9" ht="12" customHeight="1">
      <c r="H2994" s="133">
        <v>0.26932273850526378</v>
      </c>
      <c r="I2994" s="133">
        <v>0.13742825860703581</v>
      </c>
    </row>
    <row r="2995" spans="8:9" ht="12" customHeight="1">
      <c r="H2995" s="133">
        <v>0.26959113225951048</v>
      </c>
      <c r="I2995" s="133">
        <v>0.13749866947510248</v>
      </c>
    </row>
    <row r="2996" spans="8:9" ht="12" customHeight="1">
      <c r="H2996" s="133">
        <v>0.26991814234085826</v>
      </c>
      <c r="I2996" s="133">
        <v>0.1375844988270504</v>
      </c>
    </row>
    <row r="2997" spans="8:9" ht="12" customHeight="1">
      <c r="H2997" s="133">
        <v>0.26999395184809133</v>
      </c>
      <c r="I2997" s="133">
        <v>0.13760440274863203</v>
      </c>
    </row>
    <row r="2998" spans="8:9" ht="12" customHeight="1">
      <c r="H2998" s="133">
        <v>0.27017034457096689</v>
      </c>
      <c r="I2998" s="133">
        <v>0.13765072433952857</v>
      </c>
    </row>
    <row r="2999" spans="8:9" ht="12" customHeight="1">
      <c r="H2999" s="133">
        <v>0.27063351637644201</v>
      </c>
      <c r="I2999" s="133">
        <v>0.13777241790042441</v>
      </c>
    </row>
    <row r="3000" spans="8:9" ht="12" customHeight="1">
      <c r="H3000" s="133">
        <v>0.27067438433794183</v>
      </c>
      <c r="I3000" s="133">
        <v>0.13778315986979831</v>
      </c>
    </row>
    <row r="3001" spans="8:9" ht="12" customHeight="1">
      <c r="H3001" s="133">
        <v>0.27114079774508854</v>
      </c>
      <c r="I3001" s="133">
        <v>0.13790580449400097</v>
      </c>
    </row>
    <row r="3002" spans="8:9" ht="12" customHeight="1">
      <c r="H3002" s="133">
        <v>0.27139347026199406</v>
      </c>
      <c r="I3002" s="133">
        <v>0.13797228368171863</v>
      </c>
    </row>
    <row r="3003" spans="8:9" ht="12" customHeight="1">
      <c r="H3003" s="133">
        <v>0.2714251734077312</v>
      </c>
      <c r="I3003" s="133">
        <v>0.13798062681124107</v>
      </c>
    </row>
    <row r="3004" spans="8:9" ht="12" customHeight="1">
      <c r="H3004" s="133">
        <v>0.27167486683504716</v>
      </c>
      <c r="I3004" s="133">
        <v>0.13804635196741485</v>
      </c>
    </row>
    <row r="3005" spans="8:9" ht="12" customHeight="1">
      <c r="H3005" s="133">
        <v>0.27181473208865647</v>
      </c>
      <c r="I3005" s="133">
        <v>0.138083179264616</v>
      </c>
    </row>
    <row r="3006" spans="8:9" ht="12" customHeight="1">
      <c r="H3006" s="133">
        <v>0.27190319160367193</v>
      </c>
      <c r="I3006" s="133">
        <v>0.13810647540469653</v>
      </c>
    </row>
    <row r="3007" spans="8:9" ht="12" customHeight="1">
      <c r="H3007" s="133">
        <v>0.27195077826689695</v>
      </c>
      <c r="I3007" s="133">
        <v>0.13811900889353346</v>
      </c>
    </row>
    <row r="3008" spans="8:9" ht="12" customHeight="1">
      <c r="H3008" s="133">
        <v>0.27321308096308422</v>
      </c>
      <c r="I3008" s="133">
        <v>0.13845182602527414</v>
      </c>
    </row>
    <row r="3009" spans="8:9" ht="12" customHeight="1">
      <c r="H3009" s="133">
        <v>0.2747575579082312</v>
      </c>
      <c r="I3009" s="133">
        <v>0.13885995618592237</v>
      </c>
    </row>
    <row r="3010" spans="8:9" ht="12" customHeight="1">
      <c r="H3010" s="133">
        <v>0.27480629527328221</v>
      </c>
      <c r="I3010" s="133">
        <v>0.13887285151070888</v>
      </c>
    </row>
    <row r="3011" spans="8:9" ht="12" customHeight="1">
      <c r="H3011" s="133">
        <v>0.27516089678181421</v>
      </c>
      <c r="I3011" s="133">
        <v>0.13896670507651201</v>
      </c>
    </row>
    <row r="3012" spans="8:9" ht="12" customHeight="1">
      <c r="H3012" s="133">
        <v>0.27526906163553178</v>
      </c>
      <c r="I3012" s="133">
        <v>0.13899534401489338</v>
      </c>
    </row>
    <row r="3013" spans="8:9" ht="12" customHeight="1">
      <c r="H3013" s="133">
        <v>0.27536825682917804</v>
      </c>
      <c r="I3013" s="133">
        <v>0.13902161239608218</v>
      </c>
    </row>
    <row r="3014" spans="8:9" ht="12" customHeight="1">
      <c r="H3014" s="133">
        <v>0.27595819890344303</v>
      </c>
      <c r="I3014" s="133">
        <v>0.13917792394974682</v>
      </c>
    </row>
    <row r="3015" spans="8:9" ht="12" customHeight="1">
      <c r="H3015" s="133">
        <v>0.27739954109758769</v>
      </c>
      <c r="I3015" s="133">
        <v>0.13956044296640502</v>
      </c>
    </row>
    <row r="3016" spans="8:9" ht="12" customHeight="1">
      <c r="H3016" s="133">
        <v>0.2783347246652747</v>
      </c>
      <c r="I3016" s="133">
        <v>0.13980910298485313</v>
      </c>
    </row>
    <row r="3017" spans="8:9" ht="12" customHeight="1">
      <c r="H3017" s="133">
        <v>0.27877547696092936</v>
      </c>
      <c r="I3017" s="133">
        <v>0.13992642511379363</v>
      </c>
    </row>
    <row r="3018" spans="8:9" ht="12" customHeight="1">
      <c r="H3018" s="133">
        <v>0.27908020438775666</v>
      </c>
      <c r="I3018" s="133">
        <v>0.14000758750574202</v>
      </c>
    </row>
    <row r="3019" spans="8:9" ht="12" customHeight="1">
      <c r="H3019" s="133">
        <v>0.27937147865611794</v>
      </c>
      <c r="I3019" s="133">
        <v>0.14008520356425494</v>
      </c>
    </row>
    <row r="3020" spans="8:9" ht="12" customHeight="1">
      <c r="H3020" s="133">
        <v>0.2796239693702276</v>
      </c>
      <c r="I3020" s="133">
        <v>0.1401525140828625</v>
      </c>
    </row>
    <row r="3021" spans="8:9" ht="12" customHeight="1">
      <c r="H3021" s="133">
        <v>0.27975564729625096</v>
      </c>
      <c r="I3021" s="133">
        <v>0.14018762832867221</v>
      </c>
    </row>
    <row r="3022" spans="8:9" ht="12" customHeight="1">
      <c r="H3022" s="133">
        <v>0.28041265177404645</v>
      </c>
      <c r="I3022" s="133">
        <v>0.14036294021707998</v>
      </c>
    </row>
    <row r="3023" spans="8:9" ht="12" customHeight="1">
      <c r="H3023" s="133">
        <v>0.28074840277167346</v>
      </c>
      <c r="I3023" s="133">
        <v>0.14045260118880148</v>
      </c>
    </row>
    <row r="3024" spans="8:9" ht="12" customHeight="1">
      <c r="H3024" s="133">
        <v>0.28156847287748626</v>
      </c>
      <c r="I3024" s="133">
        <v>0.14067179910415309</v>
      </c>
    </row>
    <row r="3025" spans="8:9" ht="12" customHeight="1">
      <c r="H3025" s="133">
        <v>0.28291766567491161</v>
      </c>
      <c r="I3025" s="133">
        <v>0.14103304957473489</v>
      </c>
    </row>
    <row r="3026" spans="8:9" ht="12" customHeight="1">
      <c r="H3026" s="133">
        <v>0.2835506550632933</v>
      </c>
      <c r="I3026" s="133">
        <v>0.14120280146697445</v>
      </c>
    </row>
    <row r="3027" spans="8:9" ht="12" customHeight="1">
      <c r="H3027" s="133">
        <v>0.28402082325575295</v>
      </c>
      <c r="I3027" s="133">
        <v>0.14132899926823395</v>
      </c>
    </row>
    <row r="3028" spans="8:9" ht="12" customHeight="1">
      <c r="H3028" s="133">
        <v>0.28452919846623359</v>
      </c>
      <c r="I3028" s="133">
        <v>0.14146555821719772</v>
      </c>
    </row>
    <row r="3029" spans="8:9" ht="12" customHeight="1">
      <c r="H3029" s="133">
        <v>0.28730509326593512</v>
      </c>
      <c r="I3029" s="133">
        <v>0.14221315944434648</v>
      </c>
    </row>
    <row r="3030" spans="8:9" ht="12" customHeight="1">
      <c r="H3030" s="133">
        <v>0.28804093302260453</v>
      </c>
      <c r="I3030" s="133">
        <v>0.14241188690948131</v>
      </c>
    </row>
    <row r="3031" spans="8:9" ht="12" customHeight="1">
      <c r="H3031" s="133">
        <v>0.28908434228524071</v>
      </c>
      <c r="I3031" s="133">
        <v>0.14269407630090833</v>
      </c>
    </row>
    <row r="3032" spans="8:9" ht="12" customHeight="1">
      <c r="H3032" s="133">
        <v>0.28953244450061139</v>
      </c>
      <c r="I3032" s="133">
        <v>0.14281540826323946</v>
      </c>
    </row>
    <row r="3033" spans="8:9" ht="12" customHeight="1">
      <c r="H3033" s="133">
        <v>0.28961061632532459</v>
      </c>
      <c r="I3033" s="133">
        <v>0.14283658353627471</v>
      </c>
    </row>
    <row r="3034" spans="8:9" ht="12" customHeight="1">
      <c r="H3034" s="133">
        <v>0.28961074782061719</v>
      </c>
      <c r="I3034" s="133">
        <v>0.14283661915807375</v>
      </c>
    </row>
    <row r="3035" spans="8:9" ht="12" customHeight="1">
      <c r="H3035" s="133">
        <v>0.29058158770919829</v>
      </c>
      <c r="I3035" s="133">
        <v>0.14309981950569628</v>
      </c>
    </row>
    <row r="3036" spans="8:9" ht="12" customHeight="1">
      <c r="H3036" s="133">
        <v>0.29073354063070067</v>
      </c>
      <c r="I3036" s="133">
        <v>0.14314105137302668</v>
      </c>
    </row>
    <row r="3037" spans="8:9" ht="12" customHeight="1">
      <c r="H3037" s="133">
        <v>0.29227370407947478</v>
      </c>
      <c r="I3037" s="133">
        <v>0.14355952771567876</v>
      </c>
    </row>
    <row r="3038" spans="8:9" ht="12" customHeight="1">
      <c r="H3038" s="133">
        <v>0.29506073604091093</v>
      </c>
      <c r="I3038" s="133">
        <v>0.14431937782252741</v>
      </c>
    </row>
    <row r="3039" spans="8:9" ht="12" customHeight="1">
      <c r="H3039" s="133">
        <v>0.29597325558199244</v>
      </c>
      <c r="I3039" s="133">
        <v>0.14456889065217485</v>
      </c>
    </row>
    <row r="3040" spans="8:9" ht="12" customHeight="1">
      <c r="H3040" s="133">
        <v>0.29621774477896812</v>
      </c>
      <c r="I3040" s="133">
        <v>0.14463580289398659</v>
      </c>
    </row>
    <row r="3041" spans="8:9" ht="12" customHeight="1">
      <c r="H3041" s="133">
        <v>0.29639542965277471</v>
      </c>
      <c r="I3041" s="133">
        <v>0.14468444815391568</v>
      </c>
    </row>
    <row r="3042" spans="8:9" ht="12" customHeight="1">
      <c r="H3042" s="133">
        <v>0.296621577449874</v>
      </c>
      <c r="I3042" s="133">
        <v>0.14474638089634659</v>
      </c>
    </row>
    <row r="3043" spans="8:9" ht="12" customHeight="1">
      <c r="H3043" s="133">
        <v>0.29680098872510668</v>
      </c>
      <c r="I3043" s="133">
        <v>0.1447955300596899</v>
      </c>
    </row>
    <row r="3044" spans="8:9" ht="12" customHeight="1">
      <c r="H3044" s="133">
        <v>0.2968954120617513</v>
      </c>
      <c r="I3044" s="133">
        <v>0.14482140260798235</v>
      </c>
    </row>
    <row r="3045" spans="8:9" ht="12" customHeight="1">
      <c r="H3045" s="133">
        <v>0.29700727527509563</v>
      </c>
      <c r="I3045" s="133">
        <v>0.14485205875419643</v>
      </c>
    </row>
    <row r="3046" spans="8:9" ht="12" customHeight="1">
      <c r="H3046" s="133">
        <v>0.29823288658408209</v>
      </c>
      <c r="I3046" s="133">
        <v>0.14518829103093941</v>
      </c>
    </row>
    <row r="3047" spans="8:9" ht="12" customHeight="1">
      <c r="H3047" s="133">
        <v>0.30034652405773082</v>
      </c>
      <c r="I3047" s="133">
        <v>0.14576966490831078</v>
      </c>
    </row>
    <row r="3048" spans="8:9" ht="12" customHeight="1">
      <c r="H3048" s="133">
        <v>0.30121437143362317</v>
      </c>
      <c r="I3048" s="133">
        <v>0.14600893222993708</v>
      </c>
    </row>
    <row r="3049" spans="8:9" ht="12" customHeight="1">
      <c r="H3049" s="133">
        <v>0.30243839187880378</v>
      </c>
      <c r="I3049" s="133">
        <v>0.14634695054734526</v>
      </c>
    </row>
    <row r="3050" spans="8:9" ht="12" customHeight="1">
      <c r="H3050" s="133">
        <v>0.30332186162597669</v>
      </c>
      <c r="I3050" s="133">
        <v>0.14659132706403627</v>
      </c>
    </row>
    <row r="3051" spans="8:9" ht="12" customHeight="1">
      <c r="H3051" s="133">
        <v>0.30384089193695207</v>
      </c>
      <c r="I3051" s="133">
        <v>0.14673505355296113</v>
      </c>
    </row>
    <row r="3052" spans="8:9" ht="12" customHeight="1">
      <c r="H3052" s="133">
        <v>0.30405433073672994</v>
      </c>
      <c r="I3052" s="133">
        <v>0.14679419148292705</v>
      </c>
    </row>
    <row r="3053" spans="8:9" ht="12" customHeight="1">
      <c r="H3053" s="133">
        <v>0.30455016706807958</v>
      </c>
      <c r="I3053" s="133">
        <v>0.14693165005076889</v>
      </c>
    </row>
    <row r="3054" spans="8:9" ht="12" customHeight="1">
      <c r="H3054" s="133">
        <v>0.30536194637660802</v>
      </c>
      <c r="I3054" s="133">
        <v>0.14715692612170567</v>
      </c>
    </row>
    <row r="3055" spans="8:9" ht="12" customHeight="1">
      <c r="H3055" s="133">
        <v>0.3057472197091245</v>
      </c>
      <c r="I3055" s="133">
        <v>0.14726394291242523</v>
      </c>
    </row>
    <row r="3056" spans="8:9" ht="12" customHeight="1">
      <c r="H3056" s="133">
        <v>0.30601615799112131</v>
      </c>
      <c r="I3056" s="133">
        <v>0.14733868364472613</v>
      </c>
    </row>
    <row r="3057" spans="8:9" ht="12" customHeight="1">
      <c r="H3057" s="133">
        <v>0.30731742682557439</v>
      </c>
      <c r="I3057" s="133">
        <v>0.14770076302071508</v>
      </c>
    </row>
    <row r="3058" spans="8:9" ht="12" customHeight="1">
      <c r="H3058" s="133">
        <v>0.30979717605432422</v>
      </c>
      <c r="I3058" s="133">
        <v>0.14839279205023795</v>
      </c>
    </row>
    <row r="3059" spans="8:9" ht="12" customHeight="1">
      <c r="H3059" s="133">
        <v>0.31242649079183044</v>
      </c>
      <c r="I3059" s="133">
        <v>0.14912948288495906</v>
      </c>
    </row>
    <row r="3060" spans="8:9" ht="12" customHeight="1">
      <c r="H3060" s="133">
        <v>0.31265100499292126</v>
      </c>
      <c r="I3060" s="133">
        <v>0.14919252764786625</v>
      </c>
    </row>
    <row r="3061" spans="8:9" ht="12" customHeight="1">
      <c r="H3061" s="133">
        <v>0.31316704168697662</v>
      </c>
      <c r="I3061" s="133">
        <v>0.14933751676707904</v>
      </c>
    </row>
    <row r="3062" spans="8:9" ht="12" customHeight="1">
      <c r="H3062" s="133">
        <v>0.31320778650122616</v>
      </c>
      <c r="I3062" s="133">
        <v>0.14934896964928468</v>
      </c>
    </row>
    <row r="3063" spans="8:9" ht="12" customHeight="1">
      <c r="H3063" s="133">
        <v>0.31407436702495739</v>
      </c>
      <c r="I3063" s="133">
        <v>0.14959272662993181</v>
      </c>
    </row>
    <row r="3064" spans="8:9" ht="12" customHeight="1">
      <c r="H3064" s="133">
        <v>0.3149400943097328</v>
      </c>
      <c r="I3064" s="133">
        <v>0.14983657088800043</v>
      </c>
    </row>
    <row r="3065" spans="8:9" ht="12" customHeight="1">
      <c r="H3065" s="133">
        <v>0.31697046147835228</v>
      </c>
      <c r="I3065" s="133">
        <v>0.15040973676362368</v>
      </c>
    </row>
    <row r="3066" spans="8:9" ht="12" customHeight="1">
      <c r="H3066" s="133">
        <v>0.31819461864381032</v>
      </c>
      <c r="I3066" s="133">
        <v>0.15075618338621999</v>
      </c>
    </row>
    <row r="3067" spans="8:9" ht="12" customHeight="1">
      <c r="H3067" s="133">
        <v>0.31879515301926281</v>
      </c>
      <c r="I3067" s="133">
        <v>0.15092637942047396</v>
      </c>
    </row>
    <row r="3068" spans="8:9" ht="12" customHeight="1">
      <c r="H3068" s="133">
        <v>0.31992325410139172</v>
      </c>
      <c r="I3068" s="133">
        <v>0.1512465190037755</v>
      </c>
    </row>
    <row r="3069" spans="8:9" ht="12" customHeight="1">
      <c r="H3069" s="133">
        <v>0.32060444854122838</v>
      </c>
      <c r="I3069" s="133">
        <v>0.15144010272352765</v>
      </c>
    </row>
    <row r="3070" spans="8:9" ht="12" customHeight="1">
      <c r="H3070" s="133">
        <v>0.32100906630784604</v>
      </c>
      <c r="I3070" s="133">
        <v>0.15155518445270247</v>
      </c>
    </row>
    <row r="3071" spans="8:9" ht="12" customHeight="1">
      <c r="H3071" s="133">
        <v>0.3214206446056812</v>
      </c>
      <c r="I3071" s="133">
        <v>0.15167231958742827</v>
      </c>
    </row>
    <row r="3072" spans="8:9" ht="12" customHeight="1">
      <c r="H3072" s="133">
        <v>0.32202320389572731</v>
      </c>
      <c r="I3072" s="133">
        <v>0.15184394197470594</v>
      </c>
    </row>
    <row r="3073" spans="8:9" ht="12" customHeight="1">
      <c r="H3073" s="133">
        <v>0.32318788834908357</v>
      </c>
      <c r="I3073" s="133">
        <v>0.15217612207616824</v>
      </c>
    </row>
    <row r="3074" spans="8:9" ht="12" customHeight="1">
      <c r="H3074" s="133">
        <v>0.3232631092259165</v>
      </c>
      <c r="I3074" s="133">
        <v>0.1521975963361383</v>
      </c>
    </row>
    <row r="3075" spans="8:9" ht="12" customHeight="1">
      <c r="H3075" s="133">
        <v>0.32356953042079067</v>
      </c>
      <c r="I3075" s="133">
        <v>0.15228509998451825</v>
      </c>
    </row>
    <row r="3076" spans="8:9" ht="12" customHeight="1">
      <c r="H3076" s="133">
        <v>0.32418705110669493</v>
      </c>
      <c r="I3076" s="133">
        <v>0.15246156863656393</v>
      </c>
    </row>
    <row r="3077" spans="8:9" ht="12" customHeight="1">
      <c r="H3077" s="133">
        <v>0.32433734602758613</v>
      </c>
      <c r="I3077" s="133">
        <v>0.1525045437267305</v>
      </c>
    </row>
    <row r="3078" spans="8:9" ht="12" customHeight="1">
      <c r="H3078" s="133">
        <v>0.32490911467548822</v>
      </c>
      <c r="I3078" s="133">
        <v>0.15266812512764272</v>
      </c>
    </row>
    <row r="3079" spans="8:9" ht="12" customHeight="1">
      <c r="H3079" s="133">
        <v>0.32520044206474369</v>
      </c>
      <c r="I3079" s="133">
        <v>0.1527515283785929</v>
      </c>
    </row>
    <row r="3080" spans="8:9" ht="12" customHeight="1">
      <c r="H3080" s="133">
        <v>0.32521152105260548</v>
      </c>
      <c r="I3080" s="133">
        <v>0.15275470088610602</v>
      </c>
    </row>
    <row r="3081" spans="8:9" ht="12" customHeight="1">
      <c r="H3081" s="133">
        <v>0.32664859908578758</v>
      </c>
      <c r="I3081" s="133">
        <v>0.15316667130729919</v>
      </c>
    </row>
    <row r="3082" spans="8:9" ht="12" customHeight="1">
      <c r="H3082" s="133">
        <v>0.32702133418420953</v>
      </c>
      <c r="I3082" s="133">
        <v>0.15327367265345238</v>
      </c>
    </row>
    <row r="3083" spans="8:9" ht="12" customHeight="1">
      <c r="H3083" s="133">
        <v>0.32756722965534762</v>
      </c>
      <c r="I3083" s="133">
        <v>0.15343049375521534</v>
      </c>
    </row>
    <row r="3084" spans="8:9" ht="12" customHeight="1">
      <c r="H3084" s="133">
        <v>0.32812422386318196</v>
      </c>
      <c r="I3084" s="133">
        <v>0.15359063860552832</v>
      </c>
    </row>
    <row r="3085" spans="8:9" ht="12" customHeight="1">
      <c r="H3085" s="133">
        <v>0.32830036468217366</v>
      </c>
      <c r="I3085" s="133">
        <v>0.1536413104092415</v>
      </c>
    </row>
    <row r="3086" spans="8:9" ht="12" customHeight="1">
      <c r="H3086" s="133">
        <v>0.32857197551425149</v>
      </c>
      <c r="I3086" s="133">
        <v>0.15371947363211322</v>
      </c>
    </row>
    <row r="3087" spans="8:9" ht="12" customHeight="1">
      <c r="H3087" s="133">
        <v>0.32907721491748465</v>
      </c>
      <c r="I3087" s="133">
        <v>0.15386495623804033</v>
      </c>
    </row>
    <row r="3088" spans="8:9" ht="12" customHeight="1">
      <c r="H3088" s="133">
        <v>0.32934077481859841</v>
      </c>
      <c r="I3088" s="133">
        <v>0.15394089244706063</v>
      </c>
    </row>
    <row r="3089" spans="8:9" ht="12" customHeight="1">
      <c r="H3089" s="133">
        <v>0.32994064427881253</v>
      </c>
      <c r="I3089" s="133">
        <v>0.15411383960679828</v>
      </c>
    </row>
    <row r="3090" spans="8:9" ht="12" customHeight="1">
      <c r="H3090" s="133">
        <v>0.33023126526796498</v>
      </c>
      <c r="I3090" s="133">
        <v>0.15419768508447385</v>
      </c>
    </row>
    <row r="3091" spans="8:9" ht="12" customHeight="1">
      <c r="H3091" s="133">
        <v>0.33028788875883852</v>
      </c>
      <c r="I3091" s="133">
        <v>0.15421402556020661</v>
      </c>
    </row>
    <row r="3092" spans="8:9" ht="12" customHeight="1">
      <c r="H3092" s="133">
        <v>0.33092962025781414</v>
      </c>
      <c r="I3092" s="133">
        <v>0.1543993161810143</v>
      </c>
    </row>
    <row r="3093" spans="8:9" ht="12" customHeight="1">
      <c r="H3093" s="133">
        <v>0.33161198475197817</v>
      </c>
      <c r="I3093" s="133">
        <v>0.15459653857327427</v>
      </c>
    </row>
    <row r="3094" spans="8:9" ht="12" customHeight="1">
      <c r="H3094" s="133">
        <v>0.33164134264588352</v>
      </c>
      <c r="I3094" s="133">
        <v>0.15460502844142529</v>
      </c>
    </row>
    <row r="3095" spans="8:9" ht="12" customHeight="1">
      <c r="H3095" s="133">
        <v>0.33253767640428805</v>
      </c>
      <c r="I3095" s="133">
        <v>0.15486441830210446</v>
      </c>
    </row>
    <row r="3096" spans="8:9" ht="12" customHeight="1">
      <c r="H3096" s="133">
        <v>0.33290935551278222</v>
      </c>
      <c r="I3096" s="133">
        <v>0.15497208266130691</v>
      </c>
    </row>
    <row r="3097" spans="8:9" ht="12" customHeight="1">
      <c r="H3097" s="133">
        <v>0.3329783414203546</v>
      </c>
      <c r="I3097" s="133">
        <v>0.15499207254640979</v>
      </c>
    </row>
    <row r="3098" spans="8:9" ht="12" customHeight="1">
      <c r="H3098" s="133">
        <v>0.33310852090590093</v>
      </c>
      <c r="I3098" s="133">
        <v>0.15502980008693334</v>
      </c>
    </row>
    <row r="3099" spans="8:9" ht="12" customHeight="1">
      <c r="H3099" s="133">
        <v>0.33321298191867588</v>
      </c>
      <c r="I3099" s="133">
        <v>0.15506007953512391</v>
      </c>
    </row>
    <row r="3100" spans="8:9" ht="12" customHeight="1">
      <c r="H3100" s="133">
        <v>0.3334113221057482</v>
      </c>
      <c r="I3100" s="133">
        <v>0.15511758442917412</v>
      </c>
    </row>
    <row r="3101" spans="8:9" ht="12" customHeight="1">
      <c r="H3101" s="133">
        <v>0.33528343163162982</v>
      </c>
      <c r="I3101" s="133">
        <v>0.15566122432610291</v>
      </c>
    </row>
    <row r="3102" spans="8:9" ht="12" customHeight="1">
      <c r="H3102" s="133">
        <v>0.33548729970802704</v>
      </c>
      <c r="I3102" s="133">
        <v>0.1557205190939617</v>
      </c>
    </row>
    <row r="3103" spans="8:9" ht="12" customHeight="1">
      <c r="H3103" s="133">
        <v>0.33629078908231819</v>
      </c>
      <c r="I3103" s="133">
        <v>0.15595439232392336</v>
      </c>
    </row>
    <row r="3104" spans="8:9" ht="12" customHeight="1">
      <c r="H3104" s="133">
        <v>0.33775562164307515</v>
      </c>
      <c r="I3104" s="133">
        <v>0.15638150080056124</v>
      </c>
    </row>
    <row r="3105" spans="8:9" ht="12" customHeight="1">
      <c r="H3105" s="133">
        <v>0.3381529380258167</v>
      </c>
      <c r="I3105" s="133">
        <v>0.15649751246113805</v>
      </c>
    </row>
    <row r="3106" spans="8:9" ht="12" customHeight="1">
      <c r="H3106" s="133">
        <v>0.33850394376285731</v>
      </c>
      <c r="I3106" s="133">
        <v>0.15660006027154702</v>
      </c>
    </row>
    <row r="3107" spans="8:9" ht="12" customHeight="1">
      <c r="H3107" s="133">
        <v>0.33860847629173702</v>
      </c>
      <c r="I3107" s="133">
        <v>0.1566306104645401</v>
      </c>
    </row>
    <row r="3108" spans="8:9" ht="12" customHeight="1">
      <c r="H3108" s="133">
        <v>0.33886389520707133</v>
      </c>
      <c r="I3108" s="133">
        <v>0.15670527843045581</v>
      </c>
    </row>
    <row r="3109" spans="8:9" ht="12" customHeight="1">
      <c r="H3109" s="133">
        <v>0.33912253499418321</v>
      </c>
      <c r="I3109" s="133">
        <v>0.15678091749954273</v>
      </c>
    </row>
    <row r="3110" spans="8:9" ht="12" customHeight="1">
      <c r="H3110" s="133">
        <v>0.33987771783694976</v>
      </c>
      <c r="I3110" s="133">
        <v>0.15700194041026791</v>
      </c>
    </row>
    <row r="3111" spans="8:9" ht="12" customHeight="1">
      <c r="H3111" s="133">
        <v>0.34072111087650148</v>
      </c>
      <c r="I3111" s="133">
        <v>0.15724907985385936</v>
      </c>
    </row>
    <row r="3112" spans="8:9" ht="12" customHeight="1">
      <c r="H3112" s="133">
        <v>0.34093224918726073</v>
      </c>
      <c r="I3112" s="133">
        <v>0.15731099921197797</v>
      </c>
    </row>
    <row r="3113" spans="8:9" ht="12" customHeight="1">
      <c r="H3113" s="133">
        <v>0.34134239541199646</v>
      </c>
      <c r="I3113" s="133">
        <v>0.1574313371876975</v>
      </c>
    </row>
    <row r="3114" spans="8:9" ht="12" customHeight="1">
      <c r="H3114" s="133">
        <v>0.34270687170707076</v>
      </c>
      <c r="I3114" s="133">
        <v>0.15783221688432075</v>
      </c>
    </row>
    <row r="3115" spans="8:9" ht="12" customHeight="1">
      <c r="H3115" s="133">
        <v>0.34318188066461897</v>
      </c>
      <c r="I3115" s="133">
        <v>0.15797196783343811</v>
      </c>
    </row>
    <row r="3116" spans="8:9" ht="12" customHeight="1">
      <c r="H3116" s="133">
        <v>0.34384553396359563</v>
      </c>
      <c r="I3116" s="133">
        <v>0.15816738758057747</v>
      </c>
    </row>
    <row r="3117" spans="8:9" ht="12" customHeight="1">
      <c r="H3117" s="133">
        <v>0.34398103378624484</v>
      </c>
      <c r="I3117" s="133">
        <v>0.15820731106506677</v>
      </c>
    </row>
    <row r="3118" spans="8:9" ht="12" customHeight="1">
      <c r="H3118" s="133">
        <v>0.34485793722163505</v>
      </c>
      <c r="I3118" s="133">
        <v>0.15846587857483771</v>
      </c>
    </row>
    <row r="3119" spans="8:9" ht="12" customHeight="1">
      <c r="H3119" s="133">
        <v>0.3453554715059563</v>
      </c>
      <c r="I3119" s="133">
        <v>0.15861273612995588</v>
      </c>
    </row>
    <row r="3120" spans="8:9" ht="12" customHeight="1">
      <c r="H3120" s="133">
        <v>0.34661500915228421</v>
      </c>
      <c r="I3120" s="133">
        <v>0.15898500846375854</v>
      </c>
    </row>
    <row r="3121" spans="8:9" ht="12" customHeight="1">
      <c r="H3121" s="133">
        <v>0.34669167119494138</v>
      </c>
      <c r="I3121" s="133">
        <v>0.15900768976344642</v>
      </c>
    </row>
    <row r="3122" spans="8:9" ht="12" customHeight="1">
      <c r="H3122" s="133">
        <v>0.34690460603824314</v>
      </c>
      <c r="I3122" s="133">
        <v>0.15907070262052622</v>
      </c>
    </row>
    <row r="3123" spans="8:9" ht="12" customHeight="1">
      <c r="H3123" s="133">
        <v>0.34716926350307403</v>
      </c>
      <c r="I3123" s="133">
        <v>0.15914904974250879</v>
      </c>
    </row>
    <row r="3124" spans="8:9" ht="12" customHeight="1">
      <c r="H3124" s="133">
        <v>0.34813305718098386</v>
      </c>
      <c r="I3124" s="133">
        <v>0.15943462809344863</v>
      </c>
    </row>
    <row r="3125" spans="8:9" ht="12" customHeight="1">
      <c r="H3125" s="133">
        <v>0.34918090300888915</v>
      </c>
      <c r="I3125" s="133">
        <v>0.15974558263790273</v>
      </c>
    </row>
    <row r="3126" spans="8:9" ht="12" customHeight="1">
      <c r="H3126" s="133">
        <v>0.34943190138253588</v>
      </c>
      <c r="I3126" s="133">
        <v>0.15982014079233187</v>
      </c>
    </row>
    <row r="3127" spans="8:9" ht="12" customHeight="1">
      <c r="H3127" s="133">
        <v>0.34968478877986858</v>
      </c>
      <c r="I3127" s="133">
        <v>0.15989528856991742</v>
      </c>
    </row>
    <row r="3128" spans="8:9" ht="12" customHeight="1">
      <c r="H3128" s="133">
        <v>0.34972787961102692</v>
      </c>
      <c r="I3128" s="133">
        <v>0.15990809625258187</v>
      </c>
    </row>
    <row r="3129" spans="8:9" ht="12" customHeight="1">
      <c r="H3129" s="133">
        <v>0.35008582919290088</v>
      </c>
      <c r="I3129" s="133">
        <v>0.16001452001300451</v>
      </c>
    </row>
    <row r="3130" spans="8:9" ht="12" customHeight="1">
      <c r="H3130" s="133">
        <v>0.35089168712065744</v>
      </c>
      <c r="I3130" s="133">
        <v>0.16025432345341584</v>
      </c>
    </row>
    <row r="3131" spans="8:9" ht="12" customHeight="1">
      <c r="H3131" s="133">
        <v>0.35290004388952317</v>
      </c>
      <c r="I3131" s="133">
        <v>0.16085322627281939</v>
      </c>
    </row>
    <row r="3132" spans="8:9" ht="12" customHeight="1">
      <c r="H3132" s="133">
        <v>0.35324745813590963</v>
      </c>
      <c r="I3132" s="133">
        <v>0.16095701042918512</v>
      </c>
    </row>
    <row r="3133" spans="8:9" ht="12" customHeight="1">
      <c r="H3133" s="133">
        <v>0.3565383950475064</v>
      </c>
      <c r="I3133" s="133">
        <v>0.16194280801494731</v>
      </c>
    </row>
    <row r="3134" spans="8:9" ht="12" customHeight="1">
      <c r="H3134" s="133">
        <v>0.35664970611244212</v>
      </c>
      <c r="I3134" s="133">
        <v>0.16197623616449267</v>
      </c>
    </row>
    <row r="3135" spans="8:9" ht="12" customHeight="1">
      <c r="H3135" s="133">
        <v>0.35682008405523385</v>
      </c>
      <c r="I3135" s="133">
        <v>0.16202741364059758</v>
      </c>
    </row>
    <row r="3136" spans="8:9" ht="12" customHeight="1">
      <c r="H3136" s="133">
        <v>0.3569485164663711</v>
      </c>
      <c r="I3136" s="133">
        <v>0.16206600029928792</v>
      </c>
    </row>
    <row r="3137" spans="8:9" ht="12" customHeight="1">
      <c r="H3137" s="133">
        <v>0.357134460281265</v>
      </c>
      <c r="I3137" s="133">
        <v>0.16212187900781366</v>
      </c>
    </row>
    <row r="3138" spans="8:9" ht="12" customHeight="1">
      <c r="H3138" s="133">
        <v>0.35764556338044573</v>
      </c>
      <c r="I3138" s="133">
        <v>0.16227555266880656</v>
      </c>
    </row>
    <row r="3139" spans="8:9" ht="12" customHeight="1">
      <c r="H3139" s="133">
        <v>0.35773311602774094</v>
      </c>
      <c r="I3139" s="133">
        <v>0.16230188895293454</v>
      </c>
    </row>
    <row r="3140" spans="8:9" ht="12" customHeight="1">
      <c r="H3140" s="133">
        <v>0.35804239625438716</v>
      </c>
      <c r="I3140" s="133">
        <v>0.16239494961527859</v>
      </c>
    </row>
    <row r="3141" spans="8:9" ht="12" customHeight="1">
      <c r="H3141" s="133">
        <v>0.3582523483725647</v>
      </c>
      <c r="I3141" s="133">
        <v>0.1624581475218399</v>
      </c>
    </row>
    <row r="3142" spans="8:9" ht="12" customHeight="1">
      <c r="H3142" s="133">
        <v>0.35866767343365208</v>
      </c>
      <c r="I3142" s="133">
        <v>0.16258322334542469</v>
      </c>
    </row>
    <row r="3143" spans="8:9" ht="12" customHeight="1">
      <c r="H3143" s="133">
        <v>0.35872503847763759</v>
      </c>
      <c r="I3143" s="133">
        <v>0.16260050502046297</v>
      </c>
    </row>
    <row r="3144" spans="8:9" ht="12" customHeight="1">
      <c r="H3144" s="133">
        <v>0.35874582962492624</v>
      </c>
      <c r="I3144" s="133">
        <v>0.16260676888414924</v>
      </c>
    </row>
    <row r="3145" spans="8:9" ht="12" customHeight="1">
      <c r="H3145" s="133">
        <v>0.35880737403201757</v>
      </c>
      <c r="I3145" s="133">
        <v>0.16262531184702222</v>
      </c>
    </row>
    <row r="3146" spans="8:9" ht="12" customHeight="1">
      <c r="H3146" s="133">
        <v>0.35906222473972577</v>
      </c>
      <c r="I3146" s="133">
        <v>0.16270211498228768</v>
      </c>
    </row>
    <row r="3147" spans="8:9" ht="12" customHeight="1">
      <c r="H3147" s="133">
        <v>0.36034887754914341</v>
      </c>
      <c r="I3147" s="133">
        <v>0.16309031362645299</v>
      </c>
    </row>
    <row r="3148" spans="8:9" ht="12" customHeight="1">
      <c r="H3148" s="133">
        <v>0.36046712103403517</v>
      </c>
      <c r="I3148" s="133">
        <v>0.16312602649870953</v>
      </c>
    </row>
    <row r="3149" spans="8:9" ht="12" customHeight="1">
      <c r="H3149" s="133">
        <v>0.3607180054200213</v>
      </c>
      <c r="I3149" s="133">
        <v>0.16320182152013266</v>
      </c>
    </row>
    <row r="3150" spans="8:9" ht="12" customHeight="1">
      <c r="H3150" s="133">
        <v>0.36172693457210869</v>
      </c>
      <c r="I3150" s="133">
        <v>0.1635069167264358</v>
      </c>
    </row>
    <row r="3151" spans="8:9" ht="12" customHeight="1">
      <c r="H3151" s="133">
        <v>0.36248092563627232</v>
      </c>
      <c r="I3151" s="133">
        <v>0.16373521938290023</v>
      </c>
    </row>
    <row r="3152" spans="8:9" ht="12" customHeight="1">
      <c r="H3152" s="133">
        <v>0.36264640207150423</v>
      </c>
      <c r="I3152" s="133">
        <v>0.16378535865844623</v>
      </c>
    </row>
    <row r="3153" spans="8:9" ht="12" customHeight="1">
      <c r="H3153" s="133">
        <v>0.36369334178089707</v>
      </c>
      <c r="I3153" s="133">
        <v>0.16410286705222912</v>
      </c>
    </row>
    <row r="3154" spans="8:9" ht="12" customHeight="1">
      <c r="H3154" s="133">
        <v>0.36466889348625725</v>
      </c>
      <c r="I3154" s="133">
        <v>0.16439917045470545</v>
      </c>
    </row>
    <row r="3155" spans="8:9" ht="12" customHeight="1">
      <c r="H3155" s="133">
        <v>0.36475327262756407</v>
      </c>
      <c r="I3155" s="133">
        <v>0.16442481903398587</v>
      </c>
    </row>
    <row r="3156" spans="8:9" ht="12" customHeight="1">
      <c r="H3156" s="133">
        <v>0.36485116812092683</v>
      </c>
      <c r="I3156" s="133">
        <v>0.16445458018256612</v>
      </c>
    </row>
    <row r="3157" spans="8:9" ht="12" customHeight="1">
      <c r="H3157" s="133">
        <v>0.36553348083859805</v>
      </c>
      <c r="I3157" s="133">
        <v>0.16466212982650796</v>
      </c>
    </row>
    <row r="3158" spans="8:9" ht="12" customHeight="1">
      <c r="H3158" s="133">
        <v>0.36627999471230932</v>
      </c>
      <c r="I3158" s="133">
        <v>0.16488944939288933</v>
      </c>
    </row>
    <row r="3159" spans="8:9" ht="12" customHeight="1">
      <c r="H3159" s="133">
        <v>0.36628115643321685</v>
      </c>
      <c r="I3159" s="133">
        <v>0.16488980334257849</v>
      </c>
    </row>
    <row r="3160" spans="8:9" ht="12" customHeight="1">
      <c r="H3160" s="133">
        <v>0.36651969860635736</v>
      </c>
      <c r="I3160" s="133">
        <v>0.16496249458402318</v>
      </c>
    </row>
    <row r="3161" spans="8:9" ht="12" customHeight="1">
      <c r="H3161" s="133">
        <v>0.36675804022131192</v>
      </c>
      <c r="I3161" s="133">
        <v>0.16503515038954922</v>
      </c>
    </row>
    <row r="3162" spans="8:9" ht="12" customHeight="1">
      <c r="H3162" s="133">
        <v>0.36785805281202311</v>
      </c>
      <c r="I3162" s="133">
        <v>0.16537080979055144</v>
      </c>
    </row>
    <row r="3163" spans="8:9" ht="12" customHeight="1">
      <c r="H3163" s="133">
        <v>0.36836727883756215</v>
      </c>
      <c r="I3163" s="133">
        <v>0.16552638101108794</v>
      </c>
    </row>
    <row r="3164" spans="8:9" ht="12" customHeight="1">
      <c r="H3164" s="133">
        <v>0.36845762705417801</v>
      </c>
      <c r="I3164" s="133">
        <v>0.16555399511603058</v>
      </c>
    </row>
    <row r="3165" spans="8:9" ht="12" customHeight="1">
      <c r="H3165" s="133">
        <v>0.36872650658644429</v>
      </c>
      <c r="I3165" s="133">
        <v>0.1656361975304747</v>
      </c>
    </row>
    <row r="3166" spans="8:9" ht="12" customHeight="1">
      <c r="H3166" s="133">
        <v>0.37051743091066941</v>
      </c>
      <c r="I3166" s="133">
        <v>0.16618455743166638</v>
      </c>
    </row>
    <row r="3167" spans="8:9" ht="12" customHeight="1">
      <c r="H3167" s="133">
        <v>0.37123546450791395</v>
      </c>
      <c r="I3167" s="133">
        <v>0.16640481872003829</v>
      </c>
    </row>
    <row r="3168" spans="8:9" ht="12" customHeight="1">
      <c r="H3168" s="133">
        <v>0.37138277231510936</v>
      </c>
      <c r="I3168" s="133">
        <v>0.16645003518389481</v>
      </c>
    </row>
    <row r="3169" spans="8:9" ht="12" customHeight="1">
      <c r="H3169" s="133">
        <v>0.37190113379369538</v>
      </c>
      <c r="I3169" s="133">
        <v>0.16660922559079716</v>
      </c>
    </row>
    <row r="3170" spans="8:9" ht="12" customHeight="1">
      <c r="H3170" s="133">
        <v>0.37215398056890392</v>
      </c>
      <c r="I3170" s="133">
        <v>0.16668691980336081</v>
      </c>
    </row>
    <row r="3171" spans="8:9" ht="12" customHeight="1">
      <c r="H3171" s="133">
        <v>0.37252348476187114</v>
      </c>
      <c r="I3171" s="133">
        <v>0.16680051237923682</v>
      </c>
    </row>
    <row r="3172" spans="8:9" ht="12" customHeight="1">
      <c r="H3172" s="133">
        <v>0.372936836221475</v>
      </c>
      <c r="I3172" s="133">
        <v>0.16692765779416452</v>
      </c>
    </row>
    <row r="3173" spans="8:9" ht="12" customHeight="1">
      <c r="H3173" s="133">
        <v>0.37334633279577928</v>
      </c>
      <c r="I3173" s="133">
        <v>0.1670536938657339</v>
      </c>
    </row>
    <row r="3174" spans="8:9" ht="12" customHeight="1">
      <c r="H3174" s="133">
        <v>0.37592345658644527</v>
      </c>
      <c r="I3174" s="133">
        <v>0.16784863505966205</v>
      </c>
    </row>
    <row r="3175" spans="8:9" ht="12" customHeight="1">
      <c r="H3175" s="133">
        <v>0.37633944366600441</v>
      </c>
      <c r="I3175" s="133">
        <v>0.16797723337033643</v>
      </c>
    </row>
    <row r="3176" spans="8:9" ht="12" customHeight="1">
      <c r="H3176" s="133">
        <v>0.37713182669015516</v>
      </c>
      <c r="I3176" s="133">
        <v>0.16822240831392793</v>
      </c>
    </row>
    <row r="3177" spans="8:9" ht="12" customHeight="1">
      <c r="H3177" s="133">
        <v>0.37912957207978465</v>
      </c>
      <c r="I3177" s="133">
        <v>0.16884180714337602</v>
      </c>
    </row>
    <row r="3178" spans="8:9" ht="12" customHeight="1">
      <c r="H3178" s="133">
        <v>0.37949127272518812</v>
      </c>
      <c r="I3178" s="133">
        <v>0.16895414614871251</v>
      </c>
    </row>
    <row r="3179" spans="8:9" ht="12" customHeight="1">
      <c r="H3179" s="133">
        <v>0.37968169159484649</v>
      </c>
      <c r="I3179" s="133">
        <v>0.16901331142718015</v>
      </c>
    </row>
    <row r="3180" spans="8:9" ht="12" customHeight="1">
      <c r="H3180" s="133">
        <v>0.38010388835527531</v>
      </c>
      <c r="I3180" s="133">
        <v>0.16914455156002678</v>
      </c>
    </row>
    <row r="3181" spans="8:9" ht="12" customHeight="1">
      <c r="H3181" s="133">
        <v>0.38048335794101368</v>
      </c>
      <c r="I3181" s="133">
        <v>0.16926257916922732</v>
      </c>
    </row>
    <row r="3182" spans="8:9" ht="12" customHeight="1">
      <c r="H3182" s="133">
        <v>0.38070212529391317</v>
      </c>
      <c r="I3182" s="133">
        <v>0.16933065285746585</v>
      </c>
    </row>
    <row r="3183" spans="8:9" ht="12" customHeight="1">
      <c r="H3183" s="133">
        <v>0.38111070704189454</v>
      </c>
      <c r="I3183" s="133">
        <v>0.16945784932849695</v>
      </c>
    </row>
    <row r="3184" spans="8:9" ht="12" customHeight="1">
      <c r="H3184" s="133">
        <v>0.38132114838254416</v>
      </c>
      <c r="I3184" s="133">
        <v>0.16952339194645416</v>
      </c>
    </row>
    <row r="3185" spans="8:9" ht="12" customHeight="1">
      <c r="H3185" s="133">
        <v>0.3818714177350982</v>
      </c>
      <c r="I3185" s="133">
        <v>0.16969487041895159</v>
      </c>
    </row>
    <row r="3186" spans="8:9" ht="12" customHeight="1">
      <c r="H3186" s="133">
        <v>0.38238541838018747</v>
      </c>
      <c r="I3186" s="133">
        <v>0.16985517123856847</v>
      </c>
    </row>
    <row r="3187" spans="8:9" ht="12" customHeight="1">
      <c r="H3187" s="133">
        <v>0.38241779254855729</v>
      </c>
      <c r="I3187" s="133">
        <v>0.16986527176592686</v>
      </c>
    </row>
    <row r="3188" spans="8:9" ht="12" customHeight="1">
      <c r="H3188" s="133">
        <v>0.38280565393068489</v>
      </c>
      <c r="I3188" s="133">
        <v>0.16998631911205742</v>
      </c>
    </row>
    <row r="3189" spans="8:9" ht="12" customHeight="1">
      <c r="H3189" s="133">
        <v>0.38339396643032753</v>
      </c>
      <c r="I3189" s="133">
        <v>0.17017005599996751</v>
      </c>
    </row>
    <row r="3190" spans="8:9" ht="12" customHeight="1">
      <c r="H3190" s="133">
        <v>0.38372999685467157</v>
      </c>
      <c r="I3190" s="133">
        <v>0.1702750730600581</v>
      </c>
    </row>
    <row r="3191" spans="8:9" ht="12" customHeight="1">
      <c r="H3191" s="133">
        <v>0.38436332146422669</v>
      </c>
      <c r="I3191" s="133">
        <v>0.17047314124945664</v>
      </c>
    </row>
    <row r="3192" spans="8:9" ht="12" customHeight="1">
      <c r="H3192" s="133">
        <v>0.3871837301554753</v>
      </c>
      <c r="I3192" s="133">
        <v>0.1713574289078692</v>
      </c>
    </row>
    <row r="3193" spans="8:9" ht="12" customHeight="1">
      <c r="H3193" s="133">
        <v>0.38719681972551279</v>
      </c>
      <c r="I3193" s="133">
        <v>0.17136154137283133</v>
      </c>
    </row>
    <row r="3194" spans="8:9" ht="12" customHeight="1">
      <c r="H3194" s="133">
        <v>0.38747937936186055</v>
      </c>
      <c r="I3194" s="133">
        <v>0.17145033469640777</v>
      </c>
    </row>
    <row r="3195" spans="8:9" ht="12" customHeight="1">
      <c r="H3195" s="133">
        <v>0.38752009032027074</v>
      </c>
      <c r="I3195" s="133">
        <v>0.17146313097186497</v>
      </c>
    </row>
    <row r="3196" spans="8:9" ht="12" customHeight="1">
      <c r="H3196" s="133">
        <v>0.38799111300996897</v>
      </c>
      <c r="I3196" s="133">
        <v>0.1716112379841</v>
      </c>
    </row>
    <row r="3197" spans="8:9" ht="12" customHeight="1">
      <c r="H3197" s="133">
        <v>0.38928133132580517</v>
      </c>
      <c r="I3197" s="133">
        <v>0.17201744991389736</v>
      </c>
    </row>
    <row r="3198" spans="8:9" ht="12" customHeight="1">
      <c r="H3198" s="133">
        <v>0.38937241813796331</v>
      </c>
      <c r="I3198" s="133">
        <v>0.1720461564252326</v>
      </c>
    </row>
    <row r="3199" spans="8:9" ht="12" customHeight="1">
      <c r="H3199" s="133">
        <v>0.3895374405983133</v>
      </c>
      <c r="I3199" s="133">
        <v>0.17209817382986806</v>
      </c>
    </row>
    <row r="3200" spans="8:9" ht="12" customHeight="1">
      <c r="H3200" s="133">
        <v>0.38986686396061349</v>
      </c>
      <c r="I3200" s="133">
        <v>0.17220204997053015</v>
      </c>
    </row>
    <row r="3201" spans="8:9" ht="12" customHeight="1">
      <c r="H3201" s="133">
        <v>0.39019046687376729</v>
      </c>
      <c r="I3201" s="133">
        <v>0.17230413910646875</v>
      </c>
    </row>
    <row r="3202" spans="8:9" ht="12" customHeight="1">
      <c r="H3202" s="133">
        <v>0.39048817865622126</v>
      </c>
      <c r="I3202" s="133">
        <v>0.17239810251764928</v>
      </c>
    </row>
    <row r="3203" spans="8:9" ht="12" customHeight="1">
      <c r="H3203" s="133">
        <v>0.3908980962030279</v>
      </c>
      <c r="I3203" s="133">
        <v>0.17252754654504643</v>
      </c>
    </row>
    <row r="3204" spans="8:9" ht="12" customHeight="1">
      <c r="H3204" s="133">
        <v>0.39151712488936624</v>
      </c>
      <c r="I3204" s="133">
        <v>0.17272316960700559</v>
      </c>
    </row>
    <row r="3205" spans="8:9" ht="12" customHeight="1">
      <c r="H3205" s="133">
        <v>0.39206422068513885</v>
      </c>
      <c r="I3205" s="133">
        <v>0.17289620677173348</v>
      </c>
    </row>
    <row r="3206" spans="8:9" ht="12" customHeight="1">
      <c r="H3206" s="133">
        <v>0.39206818291610424</v>
      </c>
      <c r="I3206" s="133">
        <v>0.17289746045846191</v>
      </c>
    </row>
    <row r="3207" spans="8:9" ht="12" customHeight="1">
      <c r="H3207" s="133">
        <v>0.39278791997613294</v>
      </c>
      <c r="I3207" s="133">
        <v>0.17312531125222777</v>
      </c>
    </row>
    <row r="3208" spans="8:9" ht="12" customHeight="1">
      <c r="H3208" s="133">
        <v>0.39309204011552251</v>
      </c>
      <c r="I3208" s="133">
        <v>0.17322165942481493</v>
      </c>
    </row>
    <row r="3209" spans="8:9" ht="12" customHeight="1">
      <c r="H3209" s="133">
        <v>0.39356368928232899</v>
      </c>
      <c r="I3209" s="133">
        <v>0.17337116623021132</v>
      </c>
    </row>
    <row r="3210" spans="8:9" ht="12" customHeight="1">
      <c r="H3210" s="133">
        <v>0.39478947437649914</v>
      </c>
      <c r="I3210" s="133">
        <v>0.1737602014387043</v>
      </c>
    </row>
    <row r="3211" spans="8:9" ht="12" customHeight="1">
      <c r="H3211" s="133">
        <v>0.39666410309654171</v>
      </c>
      <c r="I3211" s="133">
        <v>0.17435649711113191</v>
      </c>
    </row>
    <row r="3212" spans="8:9" ht="12" customHeight="1">
      <c r="H3212" s="133">
        <v>0.39684944386458854</v>
      </c>
      <c r="I3212" s="133">
        <v>0.17441553926238013</v>
      </c>
    </row>
    <row r="3213" spans="8:9" ht="12" customHeight="1">
      <c r="H3213" s="133">
        <v>0.39746700593298689</v>
      </c>
      <c r="I3213" s="133">
        <v>0.17461238363411105</v>
      </c>
    </row>
    <row r="3214" spans="8:9" ht="12" customHeight="1">
      <c r="H3214" s="133">
        <v>0.39748814201450294</v>
      </c>
      <c r="I3214" s="133">
        <v>0.17461912373800542</v>
      </c>
    </row>
    <row r="3215" spans="8:9" ht="12" customHeight="1">
      <c r="H3215" s="133">
        <v>0.39749556276853376</v>
      </c>
      <c r="I3215" s="133">
        <v>0.17462149019753173</v>
      </c>
    </row>
    <row r="3216" spans="8:9" ht="12" customHeight="1">
      <c r="H3216" s="133">
        <v>0.39799204788507025</v>
      </c>
      <c r="I3216" s="133">
        <v>0.17477987547686066</v>
      </c>
    </row>
    <row r="3217" spans="8:9" ht="12" customHeight="1">
      <c r="H3217" s="133">
        <v>0.39811349363946091</v>
      </c>
      <c r="I3217" s="133">
        <v>0.17481863550133728</v>
      </c>
    </row>
    <row r="3218" spans="8:9" ht="12" customHeight="1">
      <c r="H3218" s="133">
        <v>0.40069489515586743</v>
      </c>
      <c r="I3218" s="133">
        <v>0.17564410570478803</v>
      </c>
    </row>
    <row r="3219" spans="8:9" ht="12" customHeight="1">
      <c r="H3219" s="133">
        <v>0.40127567557337429</v>
      </c>
      <c r="I3219" s="133">
        <v>0.1758302474602603</v>
      </c>
    </row>
    <row r="3220" spans="8:9" ht="12" customHeight="1">
      <c r="H3220" s="133">
        <v>0.40144376084314365</v>
      </c>
      <c r="I3220" s="133">
        <v>0.17588414820785603</v>
      </c>
    </row>
    <row r="3221" spans="8:9" ht="12" customHeight="1">
      <c r="H3221" s="133">
        <v>0.40175350873208993</v>
      </c>
      <c r="I3221" s="133">
        <v>0.1759835106609034</v>
      </c>
    </row>
    <row r="3222" spans="8:9" ht="12" customHeight="1">
      <c r="H3222" s="133">
        <v>0.40197449218387499</v>
      </c>
      <c r="I3222" s="133">
        <v>0.1760544257986541</v>
      </c>
    </row>
    <row r="3223" spans="8:9" ht="12" customHeight="1">
      <c r="H3223" s="133">
        <v>0.40205959480593501</v>
      </c>
      <c r="I3223" s="133">
        <v>0.17608174181864314</v>
      </c>
    </row>
    <row r="3224" spans="8:9" ht="12" customHeight="1">
      <c r="H3224" s="133">
        <v>0.40229453915289304</v>
      </c>
      <c r="I3224" s="133">
        <v>0.17615717094801445</v>
      </c>
    </row>
    <row r="3225" spans="8:9" ht="12" customHeight="1">
      <c r="H3225" s="133">
        <v>0.40264164908324929</v>
      </c>
      <c r="I3225" s="133">
        <v>0.17626865744170014</v>
      </c>
    </row>
    <row r="3226" spans="8:9" ht="12" customHeight="1">
      <c r="H3226" s="133">
        <v>0.40324371077152171</v>
      </c>
      <c r="I3226" s="133">
        <v>0.17646216211699833</v>
      </c>
    </row>
    <row r="3227" spans="8:9" ht="12" customHeight="1">
      <c r="H3227" s="133">
        <v>0.40329453437166618</v>
      </c>
      <c r="I3227" s="133">
        <v>0.17647850463219883</v>
      </c>
    </row>
    <row r="3228" spans="8:9" ht="12" customHeight="1">
      <c r="H3228" s="133">
        <v>0.40339301876197925</v>
      </c>
      <c r="I3228" s="133">
        <v>0.17651017603420557</v>
      </c>
    </row>
    <row r="3229" spans="8:9" ht="12" customHeight="1">
      <c r="H3229" s="133">
        <v>0.40359049378588041</v>
      </c>
      <c r="I3229" s="133">
        <v>0.17657369509377893</v>
      </c>
    </row>
    <row r="3230" spans="8:9" ht="12" customHeight="1">
      <c r="H3230" s="133">
        <v>0.40362584954172454</v>
      </c>
      <c r="I3230" s="133">
        <v>0.17658506938579319</v>
      </c>
    </row>
    <row r="3231" spans="8:9" ht="12" customHeight="1">
      <c r="H3231" s="133">
        <v>0.4045718738792019</v>
      </c>
      <c r="I3231" s="133">
        <v>0.17688962842014699</v>
      </c>
    </row>
    <row r="3232" spans="8:9" ht="12" customHeight="1">
      <c r="H3232" s="133">
        <v>0.40512485404829551</v>
      </c>
      <c r="I3232" s="133">
        <v>0.17706784339300388</v>
      </c>
    </row>
    <row r="3233" spans="8:9" ht="12" customHeight="1">
      <c r="H3233" s="133">
        <v>0.40556957662644988</v>
      </c>
      <c r="I3233" s="133">
        <v>0.17721127121928479</v>
      </c>
    </row>
    <row r="3234" spans="8:9" ht="12" customHeight="1">
      <c r="H3234" s="133">
        <v>0.40587404488529694</v>
      </c>
      <c r="I3234" s="133">
        <v>0.17730951807221035</v>
      </c>
    </row>
    <row r="3235" spans="8:9" ht="12" customHeight="1">
      <c r="H3235" s="133">
        <v>0.4076887616720612</v>
      </c>
      <c r="I3235" s="133">
        <v>0.17789598345652788</v>
      </c>
    </row>
    <row r="3236" spans="8:9" ht="12" customHeight="1">
      <c r="H3236" s="133">
        <v>0.40789439524228105</v>
      </c>
      <c r="I3236" s="133">
        <v>0.17796253422735289</v>
      </c>
    </row>
    <row r="3237" spans="8:9" ht="12" customHeight="1">
      <c r="H3237" s="133">
        <v>0.40861939646884882</v>
      </c>
      <c r="I3237" s="133">
        <v>0.17819732756524653</v>
      </c>
    </row>
    <row r="3238" spans="8:9" ht="12" customHeight="1">
      <c r="H3238" s="133">
        <v>0.40892020124760486</v>
      </c>
      <c r="I3238" s="133">
        <v>0.17829481507918274</v>
      </c>
    </row>
    <row r="3239" spans="8:9" ht="12" customHeight="1">
      <c r="H3239" s="133">
        <v>0.40938804937063555</v>
      </c>
      <c r="I3239" s="133">
        <v>0.17844652247820011</v>
      </c>
    </row>
    <row r="3240" spans="8:9" ht="12" customHeight="1">
      <c r="H3240" s="133">
        <v>0.40961909120956369</v>
      </c>
      <c r="I3240" s="133">
        <v>0.17852147883375763</v>
      </c>
    </row>
    <row r="3241" spans="8:9" ht="12" customHeight="1">
      <c r="H3241" s="133">
        <v>0.41026785209576244</v>
      </c>
      <c r="I3241" s="133">
        <v>0.17873208653495368</v>
      </c>
    </row>
    <row r="3242" spans="8:9" ht="12" customHeight="1">
      <c r="H3242" s="133">
        <v>0.41031735721962781</v>
      </c>
      <c r="I3242" s="133">
        <v>0.17874816539786917</v>
      </c>
    </row>
    <row r="3243" spans="8:9" ht="12" customHeight="1">
      <c r="H3243" s="133">
        <v>0.41062178650733644</v>
      </c>
      <c r="I3243" s="133">
        <v>0.17884706643935527</v>
      </c>
    </row>
    <row r="3244" spans="8:9" ht="12" customHeight="1">
      <c r="H3244" s="133">
        <v>0.41077674989014079</v>
      </c>
      <c r="I3244" s="133">
        <v>0.17889742639001344</v>
      </c>
    </row>
    <row r="3245" spans="8:9" ht="12" customHeight="1">
      <c r="H3245" s="133">
        <v>0.41081450619480647</v>
      </c>
      <c r="I3245" s="133">
        <v>0.17890969810203891</v>
      </c>
    </row>
    <row r="3246" spans="8:9" ht="12" customHeight="1">
      <c r="H3246" s="133">
        <v>0.41141147345427986</v>
      </c>
      <c r="I3246" s="133">
        <v>0.17910381440046438</v>
      </c>
    </row>
    <row r="3247" spans="8:9" ht="12" customHeight="1">
      <c r="H3247" s="133">
        <v>0.41146103887124547</v>
      </c>
      <c r="I3247" s="133">
        <v>0.17911993902600692</v>
      </c>
    </row>
    <row r="3248" spans="8:9" ht="12" customHeight="1">
      <c r="H3248" s="133">
        <v>0.4145788755014993</v>
      </c>
      <c r="I3248" s="133">
        <v>0.1801365158507299</v>
      </c>
    </row>
    <row r="3249" spans="8:9" ht="12" customHeight="1">
      <c r="H3249" s="133">
        <v>0.41497950128313688</v>
      </c>
      <c r="I3249" s="133">
        <v>0.18026746655562353</v>
      </c>
    </row>
    <row r="3250" spans="8:9" ht="12" customHeight="1">
      <c r="H3250" s="133">
        <v>0.41582677201885476</v>
      </c>
      <c r="I3250" s="133">
        <v>0.18054465461285779</v>
      </c>
    </row>
    <row r="3251" spans="8:9" ht="12" customHeight="1">
      <c r="H3251" s="133">
        <v>0.41629853193467004</v>
      </c>
      <c r="I3251" s="133">
        <v>0.18069913675509819</v>
      </c>
    </row>
    <row r="3252" spans="8:9" ht="12" customHeight="1">
      <c r="H3252" s="133">
        <v>0.41716669869238981</v>
      </c>
      <c r="I3252" s="133">
        <v>0.18098369520170746</v>
      </c>
    </row>
    <row r="3253" spans="8:9" ht="12" customHeight="1">
      <c r="H3253" s="133">
        <v>0.41748016408256217</v>
      </c>
      <c r="I3253" s="133">
        <v>0.18108652528773955</v>
      </c>
    </row>
    <row r="3254" spans="8:9" ht="12" customHeight="1">
      <c r="H3254" s="133">
        <v>0.41763519058010729</v>
      </c>
      <c r="I3254" s="133">
        <v>0.18113739743998952</v>
      </c>
    </row>
    <row r="3255" spans="8:9" ht="12" customHeight="1">
      <c r="H3255" s="133">
        <v>0.41845053866965876</v>
      </c>
      <c r="I3255" s="133">
        <v>0.18140513821364126</v>
      </c>
    </row>
    <row r="3256" spans="8:9" ht="12" customHeight="1">
      <c r="H3256" s="133">
        <v>0.41889718364681527</v>
      </c>
      <c r="I3256" s="133">
        <v>0.18155193626615643</v>
      </c>
    </row>
    <row r="3257" spans="8:9" ht="12" customHeight="1">
      <c r="H3257" s="133">
        <v>0.41900930560405131</v>
      </c>
      <c r="I3257" s="133">
        <v>0.18158880171341751</v>
      </c>
    </row>
    <row r="3258" spans="8:9" ht="12" customHeight="1">
      <c r="H3258" s="133">
        <v>0.41920933054454024</v>
      </c>
      <c r="I3258" s="133">
        <v>0.18165458392823844</v>
      </c>
    </row>
    <row r="3259" spans="8:9" ht="12" customHeight="1">
      <c r="H3259" s="133">
        <v>0.41925015049465231</v>
      </c>
      <c r="I3259" s="133">
        <v>0.18166801066546659</v>
      </c>
    </row>
    <row r="3260" spans="8:9" ht="12" customHeight="1">
      <c r="H3260" s="133">
        <v>0.4198706077464413</v>
      </c>
      <c r="I3260" s="133">
        <v>0.18187219016599027</v>
      </c>
    </row>
    <row r="3261" spans="8:9" ht="12" customHeight="1">
      <c r="H3261" s="133">
        <v>0.42033436291519377</v>
      </c>
      <c r="I3261" s="133">
        <v>0.18202491880632257</v>
      </c>
    </row>
    <row r="3262" spans="8:9" ht="12" customHeight="1">
      <c r="H3262" s="133">
        <v>0.42046572086415968</v>
      </c>
      <c r="I3262" s="133">
        <v>0.18206819708018068</v>
      </c>
    </row>
    <row r="3263" spans="8:9" ht="12" customHeight="1">
      <c r="H3263" s="133">
        <v>0.42186936464835145</v>
      </c>
      <c r="I3263" s="133">
        <v>0.18253115263120298</v>
      </c>
    </row>
    <row r="3264" spans="8:9" ht="12" customHeight="1">
      <c r="H3264" s="133">
        <v>0.42198682379019503</v>
      </c>
      <c r="I3264" s="133">
        <v>0.18256993491498641</v>
      </c>
    </row>
    <row r="3265" spans="8:9" ht="12" customHeight="1">
      <c r="H3265" s="133">
        <v>0.4223466050205259</v>
      </c>
      <c r="I3265" s="133">
        <v>0.18268876615277405</v>
      </c>
    </row>
    <row r="3266" spans="8:9" ht="12" customHeight="1">
      <c r="H3266" s="133">
        <v>0.42237229228368384</v>
      </c>
      <c r="I3266" s="133">
        <v>0.18269725263089018</v>
      </c>
    </row>
    <row r="3267" spans="8:9" ht="12" customHeight="1">
      <c r="H3267" s="133">
        <v>0.42287883001708654</v>
      </c>
      <c r="I3267" s="133">
        <v>0.18286466352737682</v>
      </c>
    </row>
    <row r="3268" spans="8:9" ht="12" customHeight="1">
      <c r="H3268" s="133">
        <v>0.42419386781275448</v>
      </c>
      <c r="I3268" s="133">
        <v>0.18329983975216751</v>
      </c>
    </row>
    <row r="3269" spans="8:9" ht="12" customHeight="1">
      <c r="H3269" s="133">
        <v>0.42430139813214957</v>
      </c>
      <c r="I3269" s="133">
        <v>0.18333545950508018</v>
      </c>
    </row>
    <row r="3270" spans="8:9" ht="12" customHeight="1">
      <c r="H3270" s="133">
        <v>0.42564896303713573</v>
      </c>
      <c r="I3270" s="133">
        <v>0.18378229977007343</v>
      </c>
    </row>
    <row r="3271" spans="8:9" ht="12" customHeight="1">
      <c r="H3271" s="133">
        <v>0.42606028227238568</v>
      </c>
      <c r="I3271" s="133">
        <v>0.18391885747173806</v>
      </c>
    </row>
    <row r="3272" spans="8:9" ht="12" customHeight="1">
      <c r="H3272" s="133">
        <v>0.42805296412147237</v>
      </c>
      <c r="I3272" s="133">
        <v>0.1845815392623423</v>
      </c>
    </row>
    <row r="3273" spans="8:9" ht="12" customHeight="1">
      <c r="H3273" s="133">
        <v>0.42815292127495719</v>
      </c>
      <c r="I3273" s="133">
        <v>0.18461482939270496</v>
      </c>
    </row>
    <row r="3274" spans="8:9" ht="12" customHeight="1">
      <c r="H3274" s="133">
        <v>0.42858886035620458</v>
      </c>
      <c r="I3274" s="133">
        <v>0.18476007058853794</v>
      </c>
    </row>
    <row r="3275" spans="8:9" ht="12" customHeight="1">
      <c r="H3275" s="133">
        <v>0.4290646925269751</v>
      </c>
      <c r="I3275" s="133">
        <v>0.18491870375883585</v>
      </c>
    </row>
    <row r="3276" spans="8:9" ht="12" customHeight="1">
      <c r="H3276" s="133">
        <v>0.42958531390570048</v>
      </c>
      <c r="I3276" s="133">
        <v>0.1850923893900154</v>
      </c>
    </row>
    <row r="3277" spans="8:9" ht="12" customHeight="1">
      <c r="H3277" s="133">
        <v>0.430152203358802</v>
      </c>
      <c r="I3277" s="133">
        <v>0.18528165397130719</v>
      </c>
    </row>
    <row r="3278" spans="8:9" ht="12" customHeight="1">
      <c r="H3278" s="133">
        <v>0.43057093087053216</v>
      </c>
      <c r="I3278" s="133">
        <v>0.18542154844129996</v>
      </c>
    </row>
    <row r="3279" spans="8:9" ht="12" customHeight="1">
      <c r="H3279" s="133">
        <v>0.43061380118790427</v>
      </c>
      <c r="I3279" s="133">
        <v>0.18543587577234816</v>
      </c>
    </row>
    <row r="3280" spans="8:9" ht="12" customHeight="1">
      <c r="H3280" s="133">
        <v>0.43061534770137305</v>
      </c>
      <c r="I3280" s="133">
        <v>0.18543639263568848</v>
      </c>
    </row>
    <row r="3281" spans="8:9" ht="12" customHeight="1">
      <c r="H3281" s="133">
        <v>0.43122373535963338</v>
      </c>
      <c r="I3281" s="133">
        <v>0.18563980940704067</v>
      </c>
    </row>
    <row r="3282" spans="8:9" ht="12" customHeight="1">
      <c r="H3282" s="133">
        <v>0.4314040923740784</v>
      </c>
      <c r="I3282" s="133">
        <v>0.18570014556933012</v>
      </c>
    </row>
    <row r="3283" spans="8:9" ht="12" customHeight="1">
      <c r="H3283" s="133">
        <v>0.43169555265221249</v>
      </c>
      <c r="I3283" s="133">
        <v>0.1857976819225117</v>
      </c>
    </row>
    <row r="3284" spans="8:9" ht="12" customHeight="1">
      <c r="H3284" s="133">
        <v>0.4319144002236498</v>
      </c>
      <c r="I3284" s="133">
        <v>0.18587094462699033</v>
      </c>
    </row>
    <row r="3285" spans="8:9" ht="12" customHeight="1">
      <c r="H3285" s="133">
        <v>0.43218311875254722</v>
      </c>
      <c r="I3285" s="133">
        <v>0.18596093291706076</v>
      </c>
    </row>
    <row r="3286" spans="8:9" ht="12" customHeight="1">
      <c r="H3286" s="133">
        <v>0.43245280447172096</v>
      </c>
      <c r="I3286" s="133">
        <v>0.18605127889183723</v>
      </c>
    </row>
    <row r="3287" spans="8:9" ht="12" customHeight="1">
      <c r="H3287" s="133">
        <v>0.43304706709454577</v>
      </c>
      <c r="I3287" s="133">
        <v>0.18625047914629497</v>
      </c>
    </row>
    <row r="3288" spans="8:9" ht="12" customHeight="1">
      <c r="H3288" s="133">
        <v>0.43378671255754109</v>
      </c>
      <c r="I3288" s="133">
        <v>0.18649864225114784</v>
      </c>
    </row>
    <row r="3289" spans="8:9" ht="12" customHeight="1">
      <c r="H3289" s="133">
        <v>0.43527367899560143</v>
      </c>
      <c r="I3289" s="133">
        <v>0.18699831472684825</v>
      </c>
    </row>
    <row r="3290" spans="8:9" ht="12" customHeight="1">
      <c r="H3290" s="133">
        <v>0.43542593647501493</v>
      </c>
      <c r="I3290" s="133">
        <v>0.18704953667408969</v>
      </c>
    </row>
    <row r="3291" spans="8:9" ht="12" customHeight="1">
      <c r="H3291" s="133">
        <v>0.4354455447758307</v>
      </c>
      <c r="I3291" s="133">
        <v>0.18705613401755714</v>
      </c>
    </row>
    <row r="3292" spans="8:9" ht="12" customHeight="1">
      <c r="H3292" s="133">
        <v>0.43571965435653637</v>
      </c>
      <c r="I3292" s="133">
        <v>0.18714837876977283</v>
      </c>
    </row>
    <row r="3293" spans="8:9" ht="12" customHeight="1">
      <c r="H3293" s="133">
        <v>0.43620759931129488</v>
      </c>
      <c r="I3293" s="133">
        <v>0.18731267112894501</v>
      </c>
    </row>
    <row r="3294" spans="8:9" ht="12" customHeight="1">
      <c r="H3294" s="133">
        <v>0.43784031348412339</v>
      </c>
      <c r="I3294" s="133">
        <v>0.18786321725013572</v>
      </c>
    </row>
    <row r="3295" spans="8:9" ht="12" customHeight="1">
      <c r="H3295" s="133">
        <v>0.43840801209564223</v>
      </c>
      <c r="I3295" s="133">
        <v>0.18805493465275841</v>
      </c>
    </row>
    <row r="3296" spans="8:9" ht="12" customHeight="1">
      <c r="H3296" s="133">
        <v>0.43863680692774121</v>
      </c>
      <c r="I3296" s="133">
        <v>0.18813224340914142</v>
      </c>
    </row>
    <row r="3297" spans="8:9" ht="12" customHeight="1">
      <c r="H3297" s="133">
        <v>0.43870906400843335</v>
      </c>
      <c r="I3297" s="133">
        <v>0.18815666382810056</v>
      </c>
    </row>
    <row r="3298" spans="8:9" ht="12" customHeight="1">
      <c r="H3298" s="133">
        <v>0.43886367558935169</v>
      </c>
      <c r="I3298" s="133">
        <v>0.18820892542805504</v>
      </c>
    </row>
    <row r="3299" spans="8:9" ht="12" customHeight="1">
      <c r="H3299" s="133">
        <v>0.43915341641563022</v>
      </c>
      <c r="I3299" s="133">
        <v>0.18830689326084715</v>
      </c>
    </row>
    <row r="3300" spans="8:9" ht="12" customHeight="1">
      <c r="H3300" s="133">
        <v>0.43918980471221342</v>
      </c>
      <c r="I3300" s="133">
        <v>0.18831919972293099</v>
      </c>
    </row>
    <row r="3301" spans="8:9" ht="12" customHeight="1">
      <c r="H3301" s="133">
        <v>0.44025946050984832</v>
      </c>
      <c r="I3301" s="133">
        <v>0.18868123152103841</v>
      </c>
    </row>
    <row r="3302" spans="8:9" ht="12" customHeight="1">
      <c r="H3302" s="133">
        <v>0.44072364707038647</v>
      </c>
      <c r="I3302" s="133">
        <v>0.18883850451383555</v>
      </c>
    </row>
    <row r="3303" spans="8:9" ht="12" customHeight="1">
      <c r="H3303" s="133">
        <v>0.44105413933321558</v>
      </c>
      <c r="I3303" s="133">
        <v>0.18895054126410255</v>
      </c>
    </row>
    <row r="3304" spans="8:9" ht="12" customHeight="1">
      <c r="H3304" s="133">
        <v>0.44109508368099359</v>
      </c>
      <c r="I3304" s="133">
        <v>0.18896442493120938</v>
      </c>
    </row>
    <row r="3305" spans="8:9" ht="12" customHeight="1">
      <c r="H3305" s="133">
        <v>0.44123023645673232</v>
      </c>
      <c r="I3305" s="133">
        <v>0.1890102589390539</v>
      </c>
    </row>
    <row r="3306" spans="8:9" ht="12" customHeight="1">
      <c r="H3306" s="133">
        <v>0.44298019517840237</v>
      </c>
      <c r="I3306" s="133">
        <v>0.18960448785613263</v>
      </c>
    </row>
    <row r="3307" spans="8:9" ht="12" customHeight="1">
      <c r="H3307" s="133">
        <v>0.44345626617826517</v>
      </c>
      <c r="I3307" s="133">
        <v>0.18976639345329885</v>
      </c>
    </row>
    <row r="3308" spans="8:9" ht="12" customHeight="1">
      <c r="H3308" s="133">
        <v>0.44353627764086739</v>
      </c>
      <c r="I3308" s="133">
        <v>0.18979361470774497</v>
      </c>
    </row>
    <row r="3309" spans="8:9" ht="12" customHeight="1">
      <c r="H3309" s="133">
        <v>0.44381206925935895</v>
      </c>
      <c r="I3309" s="133">
        <v>0.18988746660207462</v>
      </c>
    </row>
    <row r="3310" spans="8:9" ht="12" customHeight="1">
      <c r="H3310" s="133">
        <v>0.44411476026834268</v>
      </c>
      <c r="I3310" s="133">
        <v>0.18999051325337524</v>
      </c>
    </row>
    <row r="3311" spans="8:9" ht="12" customHeight="1">
      <c r="H3311" s="133">
        <v>0.4441971123395011</v>
      </c>
      <c r="I3311" s="133">
        <v>0.19001855619685357</v>
      </c>
    </row>
    <row r="3312" spans="8:9" ht="12" customHeight="1">
      <c r="H3312" s="133">
        <v>0.44683506290974051</v>
      </c>
      <c r="I3312" s="133">
        <v>0.19091852092696002</v>
      </c>
    </row>
    <row r="3313" spans="8:9" ht="12" customHeight="1">
      <c r="H3313" s="133">
        <v>0.4487184296314895</v>
      </c>
      <c r="I3313" s="133">
        <v>0.19156304156188364</v>
      </c>
    </row>
    <row r="3314" spans="8:9" ht="12" customHeight="1">
      <c r="H3314" s="133">
        <v>0.44914858189718354</v>
      </c>
      <c r="I3314" s="133">
        <v>0.19171047978607775</v>
      </c>
    </row>
    <row r="3315" spans="8:9" ht="12" customHeight="1">
      <c r="H3315" s="133">
        <v>0.45006025228173946</v>
      </c>
      <c r="I3315" s="133">
        <v>0.19202324840883098</v>
      </c>
    </row>
    <row r="3316" spans="8:9" ht="12" customHeight="1">
      <c r="H3316" s="133">
        <v>0.45094972592152083</v>
      </c>
      <c r="I3316" s="133">
        <v>0.19232877671157678</v>
      </c>
    </row>
    <row r="3317" spans="8:9" ht="12" customHeight="1">
      <c r="H3317" s="133">
        <v>0.45151468057037986</v>
      </c>
      <c r="I3317" s="133">
        <v>0.19252302714024519</v>
      </c>
    </row>
    <row r="3318" spans="8:9" ht="12" customHeight="1">
      <c r="H3318" s="133">
        <v>0.45303890911035755</v>
      </c>
      <c r="I3318" s="133">
        <v>0.19304785345877995</v>
      </c>
    </row>
    <row r="3319" spans="8:9" ht="12" customHeight="1">
      <c r="H3319" s="133">
        <v>0.45379155317805886</v>
      </c>
      <c r="I3319" s="133">
        <v>0.1933074069482115</v>
      </c>
    </row>
    <row r="3320" spans="8:9" ht="12" customHeight="1">
      <c r="H3320" s="133">
        <v>0.45383975051961017</v>
      </c>
      <c r="I3320" s="133">
        <v>0.19332403710601159</v>
      </c>
    </row>
    <row r="3321" spans="8:9" ht="12" customHeight="1">
      <c r="H3321" s="133">
        <v>0.45403943874341646</v>
      </c>
      <c r="I3321" s="133">
        <v>0.1933929497299591</v>
      </c>
    </row>
    <row r="3322" spans="8:9" ht="12" customHeight="1">
      <c r="H3322" s="133">
        <v>0.45440726631595713</v>
      </c>
      <c r="I3322" s="133">
        <v>0.19351993630511599</v>
      </c>
    </row>
    <row r="3323" spans="8:9" ht="12" customHeight="1">
      <c r="H3323" s="133">
        <v>0.45533542351153911</v>
      </c>
      <c r="I3323" s="133">
        <v>0.19384064939045254</v>
      </c>
    </row>
    <row r="3324" spans="8:9" ht="12" customHeight="1">
      <c r="H3324" s="133">
        <v>0.45535784578701965</v>
      </c>
      <c r="I3324" s="133">
        <v>0.19384840211849722</v>
      </c>
    </row>
    <row r="3325" spans="8:9" ht="12" customHeight="1">
      <c r="H3325" s="133">
        <v>0.45627217327168712</v>
      </c>
      <c r="I3325" s="133">
        <v>0.19416474069447476</v>
      </c>
    </row>
    <row r="3326" spans="8:9" ht="12" customHeight="1">
      <c r="H3326" s="133">
        <v>0.45680250899432867</v>
      </c>
      <c r="I3326" s="133">
        <v>0.19434840546770021</v>
      </c>
    </row>
    <row r="3327" spans="8:9" ht="12" customHeight="1">
      <c r="H3327" s="133">
        <v>0.45804363021853967</v>
      </c>
      <c r="I3327" s="133">
        <v>0.19477874315146043</v>
      </c>
    </row>
    <row r="3328" spans="8:9" ht="12" customHeight="1">
      <c r="H3328" s="133">
        <v>0.45897875261398691</v>
      </c>
      <c r="I3328" s="133">
        <v>0.19510345786085453</v>
      </c>
    </row>
    <row r="3329" spans="8:9" ht="12" customHeight="1">
      <c r="H3329" s="133">
        <v>0.46072145062515946</v>
      </c>
      <c r="I3329" s="133">
        <v>0.19570969148465736</v>
      </c>
    </row>
    <row r="3330" spans="8:9" ht="12" customHeight="1">
      <c r="H3330" s="133">
        <v>0.46208381411716953</v>
      </c>
      <c r="I3330" s="133">
        <v>0.1961846097676791</v>
      </c>
    </row>
    <row r="3331" spans="8:9" ht="12" customHeight="1">
      <c r="H3331" s="133">
        <v>0.46292167830948439</v>
      </c>
      <c r="I3331" s="133">
        <v>0.19647712059910202</v>
      </c>
    </row>
    <row r="3332" spans="8:9" ht="12" customHeight="1">
      <c r="H3332" s="133">
        <v>0.46322917564564775</v>
      </c>
      <c r="I3332" s="133">
        <v>0.19658455510355988</v>
      </c>
    </row>
    <row r="3333" spans="8:9" ht="12" customHeight="1">
      <c r="H3333" s="133">
        <v>0.46427642228638138</v>
      </c>
      <c r="I3333" s="133">
        <v>0.19695077868845148</v>
      </c>
    </row>
    <row r="3334" spans="8:9" ht="12" customHeight="1">
      <c r="H3334" s="133">
        <v>0.46436615505840856</v>
      </c>
      <c r="I3334" s="133">
        <v>0.19698218230019082</v>
      </c>
    </row>
    <row r="3335" spans="8:9" ht="12" customHeight="1">
      <c r="H3335" s="133">
        <v>0.46439249128467053</v>
      </c>
      <c r="I3335" s="133">
        <v>0.1969913998577201</v>
      </c>
    </row>
    <row r="3336" spans="8:9" ht="12" customHeight="1">
      <c r="H3336" s="133">
        <v>0.46508546683710733</v>
      </c>
      <c r="I3336" s="133">
        <v>0.19723405507140504</v>
      </c>
    </row>
    <row r="3337" spans="8:9" ht="12" customHeight="1">
      <c r="H3337" s="133">
        <v>0.46652935512559834</v>
      </c>
      <c r="I3337" s="133">
        <v>0.1977403771489967</v>
      </c>
    </row>
    <row r="3338" spans="8:9" ht="12" customHeight="1">
      <c r="H3338" s="133">
        <v>0.46698200551904889</v>
      </c>
      <c r="I3338" s="133">
        <v>0.19789930761888955</v>
      </c>
    </row>
    <row r="3339" spans="8:9" ht="12" customHeight="1">
      <c r="H3339" s="133">
        <v>0.46700618592791476</v>
      </c>
      <c r="I3339" s="133">
        <v>0.1979078003298364</v>
      </c>
    </row>
    <row r="3340" spans="8:9" ht="12" customHeight="1">
      <c r="H3340" s="133">
        <v>0.46832953108359299</v>
      </c>
      <c r="I3340" s="133">
        <v>0.1983730079953997</v>
      </c>
    </row>
    <row r="3341" spans="8:9" ht="12" customHeight="1">
      <c r="H3341" s="133">
        <v>0.46858226113016593</v>
      </c>
      <c r="I3341" s="133">
        <v>0.19846194603485559</v>
      </c>
    </row>
    <row r="3342" spans="8:9" ht="12" customHeight="1">
      <c r="H3342" s="133">
        <v>0.46891712697322924</v>
      </c>
      <c r="I3342" s="133">
        <v>0.19857983462649098</v>
      </c>
    </row>
    <row r="3343" spans="8:9" ht="12" customHeight="1">
      <c r="H3343" s="133">
        <v>0.46906877188888724</v>
      </c>
      <c r="I3343" s="133">
        <v>0.19863323812422751</v>
      </c>
    </row>
    <row r="3344" spans="8:9" ht="12" customHeight="1">
      <c r="H3344" s="133">
        <v>0.4700114171336241</v>
      </c>
      <c r="I3344" s="133">
        <v>0.19896544372832464</v>
      </c>
    </row>
    <row r="3345" spans="8:9" ht="12" customHeight="1">
      <c r="H3345" s="133">
        <v>0.47005024638698034</v>
      </c>
      <c r="I3345" s="133">
        <v>0.19897913682567231</v>
      </c>
    </row>
    <row r="3346" spans="8:9" ht="12" customHeight="1">
      <c r="H3346" s="133">
        <v>0.47236725171230148</v>
      </c>
      <c r="I3346" s="133">
        <v>0.19979750869791515</v>
      </c>
    </row>
    <row r="3347" spans="8:9" ht="12" customHeight="1">
      <c r="H3347" s="133">
        <v>0.47237943161934093</v>
      </c>
      <c r="I3347" s="133">
        <v>0.19980181733556873</v>
      </c>
    </row>
    <row r="3348" spans="8:9" ht="12" customHeight="1">
      <c r="H3348" s="133">
        <v>0.47324832879154838</v>
      </c>
      <c r="I3348" s="133">
        <v>0.20010936928354359</v>
      </c>
    </row>
    <row r="3349" spans="8:9" ht="12" customHeight="1">
      <c r="H3349" s="133">
        <v>0.47365398659219482</v>
      </c>
      <c r="I3349" s="133">
        <v>0.20025307606653578</v>
      </c>
    </row>
    <row r="3350" spans="8:9" ht="12" customHeight="1">
      <c r="H3350" s="133">
        <v>0.47372130427293369</v>
      </c>
      <c r="I3350" s="133">
        <v>0.20027693125358026</v>
      </c>
    </row>
    <row r="3351" spans="8:9" ht="12" customHeight="1">
      <c r="H3351" s="133">
        <v>0.47395425627844295</v>
      </c>
      <c r="I3351" s="133">
        <v>0.20035949827375368</v>
      </c>
    </row>
    <row r="3352" spans="8:9" ht="12" customHeight="1">
      <c r="H3352" s="133">
        <v>0.47398778204855258</v>
      </c>
      <c r="I3352" s="133">
        <v>0.20037138317703007</v>
      </c>
    </row>
    <row r="3353" spans="8:9" ht="12" customHeight="1">
      <c r="H3353" s="133">
        <v>0.47448928930768897</v>
      </c>
      <c r="I3353" s="133">
        <v>0.20054923083000109</v>
      </c>
    </row>
    <row r="3354" spans="8:9" ht="12" customHeight="1">
      <c r="H3354" s="133">
        <v>0.47492572448734316</v>
      </c>
      <c r="I3354" s="133">
        <v>0.2007040984274773</v>
      </c>
    </row>
    <row r="3355" spans="8:9" ht="12" customHeight="1">
      <c r="H3355" s="133">
        <v>0.47498487352097835</v>
      </c>
      <c r="I3355" s="133">
        <v>0.20072509415892301</v>
      </c>
    </row>
    <row r="3356" spans="8:9" ht="12" customHeight="1">
      <c r="H3356" s="133">
        <v>0.47525276562833108</v>
      </c>
      <c r="I3356" s="133">
        <v>0.20082020659794189</v>
      </c>
    </row>
    <row r="3357" spans="8:9" ht="12" customHeight="1">
      <c r="H3357" s="133">
        <v>0.4753354094439729</v>
      </c>
      <c r="I3357" s="133">
        <v>0.20084955527573556</v>
      </c>
    </row>
    <row r="3358" spans="8:9" ht="12" customHeight="1">
      <c r="H3358" s="133">
        <v>0.4753928382736054</v>
      </c>
      <c r="I3358" s="133">
        <v>0.20086995143578784</v>
      </c>
    </row>
    <row r="3359" spans="8:9" ht="12" customHeight="1">
      <c r="H3359" s="133">
        <v>0.47597187094594273</v>
      </c>
      <c r="I3359" s="133">
        <v>0.20107568466008297</v>
      </c>
    </row>
    <row r="3360" spans="8:9" ht="12" customHeight="1">
      <c r="H3360" s="133">
        <v>0.47686212361662578</v>
      </c>
      <c r="I3360" s="133">
        <v>0.20139230342528039</v>
      </c>
    </row>
    <row r="3361" spans="8:9" ht="12" customHeight="1">
      <c r="H3361" s="133">
        <v>0.47693874276211201</v>
      </c>
      <c r="I3361" s="133">
        <v>0.20141957047603931</v>
      </c>
    </row>
    <row r="3362" spans="8:9" ht="12" customHeight="1">
      <c r="H3362" s="133">
        <v>0.47873884584930881</v>
      </c>
      <c r="I3362" s="133">
        <v>0.20206098150858037</v>
      </c>
    </row>
    <row r="3363" spans="8:9" ht="12" customHeight="1">
      <c r="H3363" s="133">
        <v>0.47979552746291254</v>
      </c>
      <c r="I3363" s="133">
        <v>0.20243820719637287</v>
      </c>
    </row>
    <row r="3364" spans="8:9" ht="12" customHeight="1">
      <c r="H3364" s="133">
        <v>0.48111586097405495</v>
      </c>
      <c r="I3364" s="133">
        <v>0.20291029237836414</v>
      </c>
    </row>
    <row r="3365" spans="8:9" ht="12" customHeight="1">
      <c r="H3365" s="133">
        <v>0.48198827411655654</v>
      </c>
      <c r="I3365" s="133">
        <v>0.20322267364907468</v>
      </c>
    </row>
    <row r="3366" spans="8:9" ht="12" customHeight="1">
      <c r="H3366" s="133">
        <v>0.48223040833354636</v>
      </c>
      <c r="I3366" s="133">
        <v>0.20330943710806837</v>
      </c>
    </row>
    <row r="3367" spans="8:9" ht="12" customHeight="1">
      <c r="H3367" s="133">
        <v>0.4829495572778314</v>
      </c>
      <c r="I3367" s="133">
        <v>0.20356729092139933</v>
      </c>
    </row>
    <row r="3368" spans="8:9" ht="12" customHeight="1">
      <c r="H3368" s="133">
        <v>0.48299002869213697</v>
      </c>
      <c r="I3368" s="133">
        <v>0.20358180934661982</v>
      </c>
    </row>
    <row r="3369" spans="8:9" ht="12" customHeight="1">
      <c r="H3369" s="133">
        <v>0.48332806972945741</v>
      </c>
      <c r="I3369" s="133">
        <v>0.2037031058719074</v>
      </c>
    </row>
    <row r="3370" spans="8:9" ht="12" customHeight="1">
      <c r="H3370" s="133">
        <v>0.48340188571183706</v>
      </c>
      <c r="I3370" s="133">
        <v>0.20372959981567659</v>
      </c>
    </row>
    <row r="3371" spans="8:9" ht="12" customHeight="1">
      <c r="H3371" s="133">
        <v>0.48355733260813072</v>
      </c>
      <c r="I3371" s="133">
        <v>0.20378540101448134</v>
      </c>
    </row>
    <row r="3372" spans="8:9" ht="12" customHeight="1">
      <c r="H3372" s="133">
        <v>0.48471880373205428</v>
      </c>
      <c r="I3372" s="133">
        <v>0.20420269740190347</v>
      </c>
    </row>
    <row r="3373" spans="8:9" ht="12" customHeight="1">
      <c r="H3373" s="133">
        <v>0.48477694302213631</v>
      </c>
      <c r="I3373" s="133">
        <v>0.20422360252380448</v>
      </c>
    </row>
    <row r="3374" spans="8:9" ht="12" customHeight="1">
      <c r="H3374" s="133">
        <v>0.48521041216849203</v>
      </c>
      <c r="I3374" s="133">
        <v>0.20437951500337051</v>
      </c>
    </row>
    <row r="3375" spans="8:9" ht="12" customHeight="1">
      <c r="H3375" s="133">
        <v>0.48534721217564442</v>
      </c>
      <c r="I3375" s="133">
        <v>0.20442873831369021</v>
      </c>
    </row>
    <row r="3376" spans="8:9" ht="12" customHeight="1">
      <c r="H3376" s="133">
        <v>0.48565980630873773</v>
      </c>
      <c r="I3376" s="133">
        <v>0.20454124883838809</v>
      </c>
    </row>
    <row r="3377" spans="8:9" ht="12" customHeight="1">
      <c r="H3377" s="133">
        <v>0.48607687409720451</v>
      </c>
      <c r="I3377" s="133">
        <v>0.20469143368998974</v>
      </c>
    </row>
    <row r="3378" spans="8:9" ht="12" customHeight="1">
      <c r="H3378" s="133">
        <v>0.48679825401951893</v>
      </c>
      <c r="I3378" s="133">
        <v>0.20495139370697465</v>
      </c>
    </row>
    <row r="3379" spans="8:9" ht="12" customHeight="1">
      <c r="H3379" s="133">
        <v>0.4878543992926333</v>
      </c>
      <c r="I3379" s="133">
        <v>0.20533243327418613</v>
      </c>
    </row>
    <row r="3380" spans="8:9" ht="12" customHeight="1">
      <c r="H3380" s="133">
        <v>0.48883947604145905</v>
      </c>
      <c r="I3380" s="133">
        <v>0.20568830580885752</v>
      </c>
    </row>
    <row r="3381" spans="8:9" ht="12" customHeight="1">
      <c r="H3381" s="133">
        <v>0.48998370152033532</v>
      </c>
      <c r="I3381" s="133">
        <v>0.20610224655265291</v>
      </c>
    </row>
    <row r="3382" spans="8:9" ht="12" customHeight="1">
      <c r="H3382" s="133">
        <v>0.49018523156350369</v>
      </c>
      <c r="I3382" s="133">
        <v>0.20617521691874735</v>
      </c>
    </row>
    <row r="3383" spans="8:9" ht="12" customHeight="1">
      <c r="H3383" s="133">
        <v>0.49064483004411763</v>
      </c>
      <c r="I3383" s="133">
        <v>0.2063417007114845</v>
      </c>
    </row>
    <row r="3384" spans="8:9" ht="12" customHeight="1">
      <c r="H3384" s="133">
        <v>0.49076888001773378</v>
      </c>
      <c r="I3384" s="133">
        <v>0.20638665330620998</v>
      </c>
    </row>
    <row r="3385" spans="8:9" ht="12" customHeight="1">
      <c r="H3385" s="133">
        <v>0.49139825185077812</v>
      </c>
      <c r="I3385" s="133">
        <v>0.20661483349127949</v>
      </c>
    </row>
    <row r="3386" spans="8:9" ht="12" customHeight="1">
      <c r="H3386" s="133">
        <v>0.49161144965545434</v>
      </c>
      <c r="I3386" s="133">
        <v>0.2066921711322447</v>
      </c>
    </row>
    <row r="3387" spans="8:9" ht="12" customHeight="1">
      <c r="H3387" s="133">
        <v>0.49205973726149693</v>
      </c>
      <c r="I3387" s="133">
        <v>0.20685485756905655</v>
      </c>
    </row>
    <row r="3388" spans="8:9" ht="12" customHeight="1">
      <c r="H3388" s="133">
        <v>0.49301092375890315</v>
      </c>
      <c r="I3388" s="133">
        <v>0.20720036265729472</v>
      </c>
    </row>
    <row r="3389" spans="8:9" ht="12" customHeight="1">
      <c r="H3389" s="133">
        <v>0.49320893101358843</v>
      </c>
      <c r="I3389" s="133">
        <v>0.20727233958105024</v>
      </c>
    </row>
    <row r="3390" spans="8:9" ht="12" customHeight="1">
      <c r="H3390" s="133">
        <v>0.49355506993788778</v>
      </c>
      <c r="I3390" s="133">
        <v>0.2073982076800748</v>
      </c>
    </row>
    <row r="3391" spans="8:9" ht="12" customHeight="1">
      <c r="H3391" s="133">
        <v>0.49430836144773177</v>
      </c>
      <c r="I3391" s="133">
        <v>0.20767232557666968</v>
      </c>
    </row>
    <row r="3392" spans="8:9" ht="12" customHeight="1">
      <c r="H3392" s="133">
        <v>0.49499414472168085</v>
      </c>
      <c r="I3392" s="133">
        <v>0.20792211005961184</v>
      </c>
    </row>
    <row r="3393" spans="8:9" ht="12" customHeight="1">
      <c r="H3393" s="133">
        <v>0.49533138263403692</v>
      </c>
      <c r="I3393" s="133">
        <v>0.2080450242753755</v>
      </c>
    </row>
    <row r="3394" spans="8:9" ht="12" customHeight="1">
      <c r="H3394" s="133">
        <v>0.49538670262402823</v>
      </c>
      <c r="I3394" s="133">
        <v>0.20806519204886548</v>
      </c>
    </row>
    <row r="3395" spans="8:9" ht="12" customHeight="1">
      <c r="H3395" s="133">
        <v>0.49553259340858891</v>
      </c>
      <c r="I3395" s="133">
        <v>0.20811838574464508</v>
      </c>
    </row>
    <row r="3396" spans="8:9" ht="12" customHeight="1">
      <c r="H3396" s="133">
        <v>0.49556692933544172</v>
      </c>
      <c r="I3396" s="133">
        <v>0.20813090653175192</v>
      </c>
    </row>
    <row r="3397" spans="8:9" ht="12" customHeight="1">
      <c r="H3397" s="133">
        <v>0.49586958470653208</v>
      </c>
      <c r="I3397" s="133">
        <v>0.20824129551857387</v>
      </c>
    </row>
    <row r="3398" spans="8:9" ht="12" customHeight="1">
      <c r="H3398" s="133">
        <v>0.49650827752641213</v>
      </c>
      <c r="I3398" s="133">
        <v>0.20847439069220264</v>
      </c>
    </row>
    <row r="3399" spans="8:9" ht="12" customHeight="1">
      <c r="H3399" s="133">
        <v>0.49695721763748996</v>
      </c>
      <c r="I3399" s="133">
        <v>0.20863834935072287</v>
      </c>
    </row>
    <row r="3400" spans="8:9" ht="12" customHeight="1">
      <c r="H3400" s="133">
        <v>0.4970126687303339</v>
      </c>
      <c r="I3400" s="133">
        <v>0.20865860738448402</v>
      </c>
    </row>
    <row r="3401" spans="8:9" ht="12" customHeight="1">
      <c r="H3401" s="133">
        <v>0.49708724895573708</v>
      </c>
      <c r="I3401" s="133">
        <v>0.20868585617782603</v>
      </c>
    </row>
    <row r="3402" spans="8:9" ht="12" customHeight="1">
      <c r="H3402" s="133">
        <v>0.49839028954155046</v>
      </c>
      <c r="I3402" s="133">
        <v>0.20916236068796773</v>
      </c>
    </row>
    <row r="3403" spans="8:9" ht="12" customHeight="1">
      <c r="H3403" s="133">
        <v>0.49923112915560647</v>
      </c>
      <c r="I3403" s="133">
        <v>0.2094702690450625</v>
      </c>
    </row>
    <row r="3404" spans="8:9" ht="12" customHeight="1">
      <c r="H3404" s="133">
        <v>0.49978837716301411</v>
      </c>
      <c r="I3404" s="133">
        <v>0.20967451204603893</v>
      </c>
    </row>
    <row r="3405" spans="8:9" ht="12" customHeight="1">
      <c r="H3405" s="133">
        <v>0.50152104659034047</v>
      </c>
      <c r="I3405" s="133">
        <v>0.21031050598181961</v>
      </c>
    </row>
    <row r="3406" spans="8:9" ht="12" customHeight="1">
      <c r="H3406" s="133">
        <v>0.50163025912254355</v>
      </c>
      <c r="I3406" s="133">
        <v>0.21035064093151579</v>
      </c>
    </row>
    <row r="3407" spans="8:9" ht="12" customHeight="1">
      <c r="H3407" s="133">
        <v>0.50292450238389874</v>
      </c>
      <c r="I3407" s="133">
        <v>0.21082669538841189</v>
      </c>
    </row>
    <row r="3408" spans="8:9" ht="12" customHeight="1">
      <c r="H3408" s="133">
        <v>0.50348986976684273</v>
      </c>
      <c r="I3408" s="133">
        <v>0.21103489903233466</v>
      </c>
    </row>
    <row r="3409" spans="8:9" ht="12" customHeight="1">
      <c r="H3409" s="133">
        <v>0.50416261363215154</v>
      </c>
      <c r="I3409" s="133">
        <v>0.21128284160308378</v>
      </c>
    </row>
    <row r="3410" spans="8:9" ht="12" customHeight="1">
      <c r="H3410" s="133">
        <v>0.5062598098249026</v>
      </c>
      <c r="I3410" s="133">
        <v>0.212057140319279</v>
      </c>
    </row>
    <row r="3411" spans="8:9" ht="12" customHeight="1">
      <c r="H3411" s="133">
        <v>0.50677106291647833</v>
      </c>
      <c r="I3411" s="133">
        <v>0.2122462124527322</v>
      </c>
    </row>
    <row r="3412" spans="8:9" ht="12" customHeight="1">
      <c r="H3412" s="133">
        <v>0.50732045174681084</v>
      </c>
      <c r="I3412" s="133">
        <v>0.21244952523120239</v>
      </c>
    </row>
    <row r="3413" spans="8:9" ht="12" customHeight="1">
      <c r="H3413" s="133">
        <v>0.5073711111020871</v>
      </c>
      <c r="I3413" s="133">
        <v>0.21246827994046258</v>
      </c>
    </row>
    <row r="3414" spans="8:9" ht="12" customHeight="1">
      <c r="H3414" s="133">
        <v>0.50847069078547313</v>
      </c>
      <c r="I3414" s="133">
        <v>0.21287565560478416</v>
      </c>
    </row>
    <row r="3415" spans="8:9" ht="12" customHeight="1">
      <c r="H3415" s="133">
        <v>0.5095286431580216</v>
      </c>
      <c r="I3415" s="133">
        <v>0.21326814666533447</v>
      </c>
    </row>
    <row r="3416" spans="8:9" ht="12" customHeight="1">
      <c r="H3416" s="133">
        <v>0.5095555453476085</v>
      </c>
      <c r="I3416" s="133">
        <v>0.2132781340157513</v>
      </c>
    </row>
    <row r="3417" spans="8:9" ht="12" customHeight="1">
      <c r="H3417" s="133">
        <v>0.51046925195885751</v>
      </c>
      <c r="I3417" s="133">
        <v>0.21361754704084662</v>
      </c>
    </row>
    <row r="3418" spans="8:9" ht="12" customHeight="1">
      <c r="H3418" s="133">
        <v>0.51087925830646597</v>
      </c>
      <c r="I3418" s="133">
        <v>0.2137699792172931</v>
      </c>
    </row>
    <row r="3419" spans="8:9" ht="12" customHeight="1">
      <c r="H3419" s="133">
        <v>0.51233576754374766</v>
      </c>
      <c r="I3419" s="133">
        <v>0.21431212053997167</v>
      </c>
    </row>
    <row r="3420" spans="8:9" ht="12" customHeight="1">
      <c r="H3420" s="133">
        <v>0.51287480319806467</v>
      </c>
      <c r="I3420" s="133">
        <v>0.21451301351404942</v>
      </c>
    </row>
    <row r="3421" spans="8:9" ht="12" customHeight="1">
      <c r="H3421" s="133">
        <v>0.5135368756802795</v>
      </c>
      <c r="I3421" s="133">
        <v>0.21475994830352504</v>
      </c>
    </row>
    <row r="3422" spans="8:9" ht="12" customHeight="1">
      <c r="H3422" s="133">
        <v>0.51364395896712189</v>
      </c>
      <c r="I3422" s="133">
        <v>0.21479990681429717</v>
      </c>
    </row>
    <row r="3423" spans="8:9" ht="12" customHeight="1">
      <c r="H3423" s="133">
        <v>0.51431499562442629</v>
      </c>
      <c r="I3423" s="133">
        <v>0.21505042949692854</v>
      </c>
    </row>
    <row r="3424" spans="8:9" ht="12" customHeight="1">
      <c r="H3424" s="133">
        <v>0.51484792086723308</v>
      </c>
      <c r="I3424" s="133">
        <v>0.21524954119491574</v>
      </c>
    </row>
    <row r="3425" spans="8:9" ht="12" customHeight="1">
      <c r="H3425" s="133">
        <v>0.51527156773936544</v>
      </c>
      <c r="I3425" s="133">
        <v>0.21540791969923981</v>
      </c>
    </row>
    <row r="3426" spans="8:9" ht="12" customHeight="1">
      <c r="H3426" s="133">
        <v>0.51607396710233389</v>
      </c>
      <c r="I3426" s="133">
        <v>0.21570812479012486</v>
      </c>
    </row>
    <row r="3427" spans="8:9" ht="12" customHeight="1">
      <c r="H3427" s="133">
        <v>0.51676008182175603</v>
      </c>
      <c r="I3427" s="133">
        <v>0.21596506428395745</v>
      </c>
    </row>
    <row r="3428" spans="8:9" ht="12" customHeight="1">
      <c r="H3428" s="133">
        <v>0.5180500886599958</v>
      </c>
      <c r="I3428" s="133">
        <v>0.21644875236186159</v>
      </c>
    </row>
    <row r="3429" spans="8:9" ht="12" customHeight="1">
      <c r="H3429" s="133">
        <v>0.51864826952749932</v>
      </c>
      <c r="I3429" s="133">
        <v>0.21667330619993752</v>
      </c>
    </row>
    <row r="3430" spans="8:9" ht="12" customHeight="1">
      <c r="H3430" s="133">
        <v>0.52204097421015472</v>
      </c>
      <c r="I3430" s="133">
        <v>0.21795009636836879</v>
      </c>
    </row>
    <row r="3431" spans="8:9" ht="12" customHeight="1">
      <c r="H3431" s="133">
        <v>0.52270661668304064</v>
      </c>
      <c r="I3431" s="133">
        <v>0.21820123610888245</v>
      </c>
    </row>
    <row r="3432" spans="8:9" ht="12" customHeight="1">
      <c r="H3432" s="133">
        <v>0.52273918749264336</v>
      </c>
      <c r="I3432" s="133">
        <v>0.21821353007684102</v>
      </c>
    </row>
    <row r="3433" spans="8:9" ht="12" customHeight="1">
      <c r="H3433" s="133">
        <v>0.52294725208231274</v>
      </c>
      <c r="I3433" s="133">
        <v>0.21829207657927252</v>
      </c>
    </row>
    <row r="3434" spans="8:9" ht="12" customHeight="1">
      <c r="H3434" s="133">
        <v>0.52388350376697745</v>
      </c>
      <c r="I3434" s="133">
        <v>0.21864577325370183</v>
      </c>
    </row>
    <row r="3435" spans="8:9" ht="12" customHeight="1">
      <c r="H3435" s="133">
        <v>0.52397210457636778</v>
      </c>
      <c r="I3435" s="133">
        <v>0.21867926618912262</v>
      </c>
    </row>
    <row r="3436" spans="8:9" ht="12" customHeight="1">
      <c r="H3436" s="133">
        <v>0.52487555552310161</v>
      </c>
      <c r="I3436" s="133">
        <v>0.21902100019907997</v>
      </c>
    </row>
    <row r="3437" spans="8:9" ht="12" customHeight="1">
      <c r="H3437" s="133">
        <v>0.52513816762607923</v>
      </c>
      <c r="I3437" s="133">
        <v>0.21912040635214253</v>
      </c>
    </row>
    <row r="3438" spans="8:9" ht="12" customHeight="1">
      <c r="H3438" s="133">
        <v>0.52542117278248779</v>
      </c>
      <c r="I3438" s="133">
        <v>0.21922756818691097</v>
      </c>
    </row>
    <row r="3439" spans="8:9" ht="12" customHeight="1">
      <c r="H3439" s="133">
        <v>0.52581782773980945</v>
      </c>
      <c r="I3439" s="133">
        <v>0.21937782772291814</v>
      </c>
    </row>
    <row r="3440" spans="8:9" ht="12" customHeight="1">
      <c r="H3440" s="133">
        <v>0.52599826910560454</v>
      </c>
      <c r="I3440" s="133">
        <v>0.21944620643104046</v>
      </c>
    </row>
    <row r="3441" spans="8:9" ht="12" customHeight="1">
      <c r="H3441" s="133">
        <v>0.52631763713318491</v>
      </c>
      <c r="I3441" s="133">
        <v>0.21956726929917483</v>
      </c>
    </row>
    <row r="3442" spans="8:9" ht="12" customHeight="1">
      <c r="H3442" s="133">
        <v>0.52667932285743013</v>
      </c>
      <c r="I3442" s="133">
        <v>0.21970443148993823</v>
      </c>
    </row>
    <row r="3443" spans="8:9" ht="12" customHeight="1">
      <c r="H3443" s="133">
        <v>0.52678971082308756</v>
      </c>
      <c r="I3443" s="133">
        <v>0.21974630621180691</v>
      </c>
    </row>
    <row r="3444" spans="8:9" ht="12" customHeight="1">
      <c r="H3444" s="133">
        <v>0.52695782529433599</v>
      </c>
      <c r="I3444" s="133">
        <v>0.21981008999930582</v>
      </c>
    </row>
    <row r="3445" spans="8:9" ht="12" customHeight="1">
      <c r="H3445" s="133">
        <v>0.52724228471162904</v>
      </c>
      <c r="I3445" s="133">
        <v>0.21991804614412722</v>
      </c>
    </row>
    <row r="3446" spans="8:9" ht="12" customHeight="1">
      <c r="H3446" s="133">
        <v>0.52794281305693069</v>
      </c>
      <c r="I3446" s="133">
        <v>0.22018406830765785</v>
      </c>
    </row>
    <row r="3447" spans="8:9" ht="12" customHeight="1">
      <c r="H3447" s="133">
        <v>0.53010304780901296</v>
      </c>
      <c r="I3447" s="133">
        <v>0.22100586022809199</v>
      </c>
    </row>
    <row r="3448" spans="8:9" ht="12" customHeight="1">
      <c r="H3448" s="133">
        <v>0.5301327759041996</v>
      </c>
      <c r="I3448" s="133">
        <v>0.2210171846371991</v>
      </c>
    </row>
    <row r="3449" spans="8:9" ht="12" customHeight="1">
      <c r="H3449" s="133">
        <v>0.53020788322859314</v>
      </c>
      <c r="I3449" s="133">
        <v>0.2210457973385804</v>
      </c>
    </row>
    <row r="3450" spans="8:9" ht="12" customHeight="1">
      <c r="H3450" s="133">
        <v>0.53024288088747051</v>
      </c>
      <c r="I3450" s="133">
        <v>0.22105913086664528</v>
      </c>
    </row>
    <row r="3451" spans="8:9" ht="12" customHeight="1">
      <c r="H3451" s="133">
        <v>0.53349281663931258</v>
      </c>
      <c r="I3451" s="133">
        <v>0.22229981250013436</v>
      </c>
    </row>
    <row r="3452" spans="8:9" ht="12" customHeight="1">
      <c r="H3452" s="133">
        <v>0.53395828733962436</v>
      </c>
      <c r="I3452" s="133">
        <v>0.22247791513950435</v>
      </c>
    </row>
    <row r="3453" spans="8:9" ht="12" customHeight="1">
      <c r="H3453" s="133">
        <v>0.53488696517943779</v>
      </c>
      <c r="I3453" s="133">
        <v>0.22283355858887063</v>
      </c>
    </row>
    <row r="3454" spans="8:9" ht="12" customHeight="1">
      <c r="H3454" s="133">
        <v>0.53649922883545453</v>
      </c>
      <c r="I3454" s="133">
        <v>0.22345194846304292</v>
      </c>
    </row>
    <row r="3455" spans="8:9" ht="12" customHeight="1">
      <c r="H3455" s="133">
        <v>0.53672116419019966</v>
      </c>
      <c r="I3455" s="133">
        <v>0.22353716825349648</v>
      </c>
    </row>
    <row r="3456" spans="8:9" ht="12" customHeight="1">
      <c r="H3456" s="133">
        <v>0.53733926776433327</v>
      </c>
      <c r="I3456" s="133">
        <v>0.22377463256927996</v>
      </c>
    </row>
    <row r="3457" spans="8:9" ht="12" customHeight="1">
      <c r="H3457" s="133">
        <v>0.53775908961114272</v>
      </c>
      <c r="I3457" s="133">
        <v>0.22393602295258089</v>
      </c>
    </row>
    <row r="3458" spans="8:9" ht="12" customHeight="1">
      <c r="H3458" s="133">
        <v>0.53820007071446485</v>
      </c>
      <c r="I3458" s="133">
        <v>0.22410563665952415</v>
      </c>
    </row>
    <row r="3459" spans="8:9" ht="12" customHeight="1">
      <c r="H3459" s="133">
        <v>0.54118454837628427</v>
      </c>
      <c r="I3459" s="133">
        <v>0.2252559511453941</v>
      </c>
    </row>
    <row r="3460" spans="8:9" ht="12" customHeight="1">
      <c r="H3460" s="133">
        <v>0.54241580402492862</v>
      </c>
      <c r="I3460" s="133">
        <v>0.225731735534936</v>
      </c>
    </row>
    <row r="3461" spans="8:9" ht="12" customHeight="1">
      <c r="H3461" s="133">
        <v>0.54252647482006522</v>
      </c>
      <c r="I3461" s="133">
        <v>0.22577453603008574</v>
      </c>
    </row>
    <row r="3462" spans="8:9" ht="12" customHeight="1">
      <c r="H3462" s="133">
        <v>0.54292979686888454</v>
      </c>
      <c r="I3462" s="133">
        <v>0.22593056425029551</v>
      </c>
    </row>
    <row r="3463" spans="8:9" ht="12" customHeight="1">
      <c r="H3463" s="133">
        <v>0.54342290505742163</v>
      </c>
      <c r="I3463" s="133">
        <v>0.22612143064893903</v>
      </c>
    </row>
    <row r="3464" spans="8:9" ht="12" customHeight="1">
      <c r="H3464" s="133">
        <v>0.5437901825969691</v>
      </c>
      <c r="I3464" s="133">
        <v>0.22626366617314198</v>
      </c>
    </row>
    <row r="3465" spans="8:9" ht="12" customHeight="1">
      <c r="H3465" s="133">
        <v>0.54461605499623167</v>
      </c>
      <c r="I3465" s="133">
        <v>0.2265837328424096</v>
      </c>
    </row>
    <row r="3466" spans="8:9" ht="12" customHeight="1">
      <c r="H3466" s="133">
        <v>0.54462926870225725</v>
      </c>
      <c r="I3466" s="133">
        <v>0.22658885641223447</v>
      </c>
    </row>
    <row r="3467" spans="8:9" ht="12" customHeight="1">
      <c r="H3467" s="133">
        <v>0.54469420935081792</v>
      </c>
      <c r="I3467" s="133">
        <v>0.22661403811962064</v>
      </c>
    </row>
    <row r="3468" spans="8:9" ht="12" customHeight="1">
      <c r="H3468" s="133">
        <v>0.54470920258280875</v>
      </c>
      <c r="I3468" s="133">
        <v>0.22661985225060424</v>
      </c>
    </row>
    <row r="3469" spans="8:9" ht="12" customHeight="1">
      <c r="H3469" s="133">
        <v>0.54477090235515024</v>
      </c>
      <c r="I3469" s="133">
        <v>0.22664377952658529</v>
      </c>
    </row>
    <row r="3470" spans="8:9" ht="12" customHeight="1">
      <c r="H3470" s="133">
        <v>0.54564891948196415</v>
      </c>
      <c r="I3470" s="133">
        <v>0.22698446957511995</v>
      </c>
    </row>
    <row r="3471" spans="8:9" ht="12" customHeight="1">
      <c r="H3471" s="133">
        <v>0.54590445541251087</v>
      </c>
      <c r="I3471" s="133">
        <v>0.22708369109766699</v>
      </c>
    </row>
    <row r="3472" spans="8:9" ht="12" customHeight="1">
      <c r="H3472" s="133">
        <v>0.54602499245939817</v>
      </c>
      <c r="I3472" s="133">
        <v>0.22713050481087088</v>
      </c>
    </row>
    <row r="3473" spans="8:9" ht="12" customHeight="1">
      <c r="H3473" s="133">
        <v>0.54606057571706679</v>
      </c>
      <c r="I3473" s="133">
        <v>0.22714432580190891</v>
      </c>
    </row>
    <row r="3474" spans="8:9" ht="12" customHeight="1">
      <c r="H3474" s="133">
        <v>0.54625792740723533</v>
      </c>
      <c r="I3474" s="133">
        <v>0.22722099049476063</v>
      </c>
    </row>
    <row r="3475" spans="8:9" ht="12" customHeight="1">
      <c r="H3475" s="133">
        <v>0.54672277635000543</v>
      </c>
      <c r="I3475" s="133">
        <v>0.22740164132221991</v>
      </c>
    </row>
    <row r="3476" spans="8:9" ht="12" customHeight="1">
      <c r="H3476" s="133">
        <v>0.54724285357865943</v>
      </c>
      <c r="I3476" s="133">
        <v>0.22760387521308173</v>
      </c>
    </row>
    <row r="3477" spans="8:9" ht="12" customHeight="1">
      <c r="H3477" s="133">
        <v>0.54730479389867481</v>
      </c>
      <c r="I3477" s="133">
        <v>0.22762796937991622</v>
      </c>
    </row>
    <row r="3478" spans="8:9" ht="12" customHeight="1">
      <c r="H3478" s="133">
        <v>0.548107905567918</v>
      </c>
      <c r="I3478" s="133">
        <v>0.2279405346706167</v>
      </c>
    </row>
    <row r="3479" spans="8:9" ht="12" customHeight="1">
      <c r="H3479" s="133">
        <v>0.54967997921723943</v>
      </c>
      <c r="I3479" s="133">
        <v>0.22855324959525752</v>
      </c>
    </row>
    <row r="3480" spans="8:9" ht="12" customHeight="1">
      <c r="H3480" s="133">
        <v>0.55026139264141039</v>
      </c>
      <c r="I3480" s="133">
        <v>0.22878014857778647</v>
      </c>
    </row>
    <row r="3481" spans="8:9" ht="12" customHeight="1">
      <c r="H3481" s="133">
        <v>0.55154879572325821</v>
      </c>
      <c r="I3481" s="133">
        <v>0.22928312654199259</v>
      </c>
    </row>
    <row r="3482" spans="8:9" ht="12" customHeight="1">
      <c r="H3482" s="133">
        <v>0.55174097476137118</v>
      </c>
      <c r="I3482" s="133">
        <v>0.22935827593627323</v>
      </c>
    </row>
    <row r="3483" spans="8:9" ht="12" customHeight="1">
      <c r="H3483" s="133">
        <v>0.55257050959251219</v>
      </c>
      <c r="I3483" s="133">
        <v>0.22968285443144981</v>
      </c>
    </row>
    <row r="3484" spans="8:9" ht="12" customHeight="1">
      <c r="H3484" s="133">
        <v>0.55288939732395315</v>
      </c>
      <c r="I3484" s="133">
        <v>0.22980771384522972</v>
      </c>
    </row>
    <row r="3485" spans="8:9" ht="12" customHeight="1">
      <c r="H3485" s="133">
        <v>0.55323335184919442</v>
      </c>
      <c r="I3485" s="133">
        <v>0.2299424414541627</v>
      </c>
    </row>
    <row r="3486" spans="8:9" ht="12" customHeight="1">
      <c r="H3486" s="133">
        <v>0.55463808256457348</v>
      </c>
      <c r="I3486" s="133">
        <v>0.23049325201450765</v>
      </c>
    </row>
    <row r="3487" spans="8:9" ht="12" customHeight="1">
      <c r="H3487" s="133">
        <v>0.55492840956968403</v>
      </c>
      <c r="I3487" s="133">
        <v>0.23060720764239245</v>
      </c>
    </row>
    <row r="3488" spans="8:9" ht="12" customHeight="1">
      <c r="H3488" s="133">
        <v>0.55616531422018067</v>
      </c>
      <c r="I3488" s="133">
        <v>0.23109314441866283</v>
      </c>
    </row>
    <row r="3489" spans="8:9" ht="12" customHeight="1">
      <c r="H3489" s="133">
        <v>0.55617077502824153</v>
      </c>
      <c r="I3489" s="133">
        <v>0.23109529136720569</v>
      </c>
    </row>
    <row r="3490" spans="8:9" ht="12" customHeight="1">
      <c r="H3490" s="133">
        <v>0.5572330527439624</v>
      </c>
      <c r="I3490" s="133">
        <v>0.23151319734205145</v>
      </c>
    </row>
    <row r="3491" spans="8:9" ht="12" customHeight="1">
      <c r="H3491" s="133">
        <v>0.55731430194136466</v>
      </c>
      <c r="I3491" s="133">
        <v>0.23154518295847679</v>
      </c>
    </row>
    <row r="3492" spans="8:9" ht="12" customHeight="1">
      <c r="H3492" s="133">
        <v>0.55811469825921256</v>
      </c>
      <c r="I3492" s="133">
        <v>0.23186044239551956</v>
      </c>
    </row>
    <row r="3493" spans="8:9" ht="12" customHeight="1">
      <c r="H3493" s="133">
        <v>0.5596570647252278</v>
      </c>
      <c r="I3493" s="133">
        <v>0.23246879314825603</v>
      </c>
    </row>
    <row r="3494" spans="8:9" ht="12" customHeight="1">
      <c r="H3494" s="133">
        <v>0.56009898566544247</v>
      </c>
      <c r="I3494" s="133">
        <v>0.2326433035784839</v>
      </c>
    </row>
    <row r="3495" spans="8:9" ht="12" customHeight="1">
      <c r="H3495" s="133">
        <v>0.56048825305782402</v>
      </c>
      <c r="I3495" s="133">
        <v>0.23279709721907865</v>
      </c>
    </row>
    <row r="3496" spans="8:9" ht="12" customHeight="1">
      <c r="H3496" s="133">
        <v>0.56071883273659973</v>
      </c>
      <c r="I3496" s="133">
        <v>0.23288822914401058</v>
      </c>
    </row>
    <row r="3497" spans="8:9" ht="12" customHeight="1">
      <c r="H3497" s="133">
        <v>0.560891011213832</v>
      </c>
      <c r="I3497" s="133">
        <v>0.23295629538325893</v>
      </c>
    </row>
    <row r="3498" spans="8:9" ht="12" customHeight="1">
      <c r="H3498" s="133">
        <v>0.5611895240678384</v>
      </c>
      <c r="I3498" s="133">
        <v>0.23307433742339609</v>
      </c>
    </row>
    <row r="3499" spans="8:9" ht="12" customHeight="1">
      <c r="H3499" s="133">
        <v>0.56198569687749889</v>
      </c>
      <c r="I3499" s="133">
        <v>0.23338937454947242</v>
      </c>
    </row>
    <row r="3500" spans="8:9" ht="12" customHeight="1">
      <c r="H3500" s="133">
        <v>0.5622236693263345</v>
      </c>
      <c r="I3500" s="133">
        <v>0.23348359519437029</v>
      </c>
    </row>
    <row r="3501" spans="8:9" ht="12" customHeight="1">
      <c r="H3501" s="133">
        <v>0.56286048687217438</v>
      </c>
      <c r="I3501" s="133">
        <v>0.23373586101510915</v>
      </c>
    </row>
    <row r="3502" spans="8:9" ht="12" customHeight="1">
      <c r="H3502" s="133">
        <v>0.56360528500853169</v>
      </c>
      <c r="I3502" s="133">
        <v>0.23403114198282002</v>
      </c>
    </row>
    <row r="3503" spans="8:9" ht="12" customHeight="1">
      <c r="H3503" s="133">
        <v>0.56362867908658609</v>
      </c>
      <c r="I3503" s="133">
        <v>0.23404042094053629</v>
      </c>
    </row>
    <row r="3504" spans="8:9" ht="12" customHeight="1">
      <c r="H3504" s="133">
        <v>0.56382530485266835</v>
      </c>
      <c r="I3504" s="133">
        <v>0.23411842009851738</v>
      </c>
    </row>
    <row r="3505" spans="8:9" ht="12" customHeight="1">
      <c r="H3505" s="133">
        <v>0.5639326590305721</v>
      </c>
      <c r="I3505" s="133">
        <v>0.23416101387073557</v>
      </c>
    </row>
    <row r="3506" spans="8:9" ht="12" customHeight="1">
      <c r="H3506" s="133">
        <v>0.56536804332765056</v>
      </c>
      <c r="I3506" s="133">
        <v>0.23473103273327112</v>
      </c>
    </row>
    <row r="3507" spans="8:9" ht="12" customHeight="1">
      <c r="H3507" s="133">
        <v>0.56765511249022549</v>
      </c>
      <c r="I3507" s="133">
        <v>0.23564125796431842</v>
      </c>
    </row>
    <row r="3508" spans="8:9" ht="12" customHeight="1">
      <c r="H3508" s="133">
        <v>0.56952081742198335</v>
      </c>
      <c r="I3508" s="133">
        <v>0.23638559157139513</v>
      </c>
    </row>
    <row r="3509" spans="8:9" ht="12" customHeight="1">
      <c r="H3509" s="133">
        <v>0.5695997655230155</v>
      </c>
      <c r="I3509" s="133">
        <v>0.23641712413782939</v>
      </c>
    </row>
    <row r="3510" spans="8:9" ht="12" customHeight="1">
      <c r="H3510" s="133">
        <v>0.57066793562106699</v>
      </c>
      <c r="I3510" s="133">
        <v>0.23684404607792059</v>
      </c>
    </row>
    <row r="3511" spans="8:9" ht="12" customHeight="1">
      <c r="H3511" s="133">
        <v>0.57069101688003543</v>
      </c>
      <c r="I3511" s="133">
        <v>0.23685327696878183</v>
      </c>
    </row>
    <row r="3512" spans="8:9" ht="12" customHeight="1">
      <c r="H3512" s="133">
        <v>0.57208856454654933</v>
      </c>
      <c r="I3512" s="133">
        <v>0.23741266062542973</v>
      </c>
    </row>
    <row r="3513" spans="8:9" ht="12" customHeight="1">
      <c r="H3513" s="133">
        <v>0.57230315474911075</v>
      </c>
      <c r="I3513" s="133">
        <v>0.23749863321628686</v>
      </c>
    </row>
    <row r="3514" spans="8:9" ht="12" customHeight="1">
      <c r="H3514" s="133">
        <v>0.57294926967492821</v>
      </c>
      <c r="I3514" s="133">
        <v>0.23775761962095174</v>
      </c>
    </row>
    <row r="3515" spans="8:9" ht="12" customHeight="1">
      <c r="H3515" s="133">
        <v>0.57432980100475806</v>
      </c>
      <c r="I3515" s="133">
        <v>0.23831163778902356</v>
      </c>
    </row>
    <row r="3516" spans="8:9" ht="12" customHeight="1">
      <c r="H3516" s="133">
        <v>0.57520006838023241</v>
      </c>
      <c r="I3516" s="133">
        <v>0.23866133852913068</v>
      </c>
    </row>
    <row r="3517" spans="8:9" ht="12" customHeight="1">
      <c r="H3517" s="133">
        <v>0.57530073592232844</v>
      </c>
      <c r="I3517" s="133">
        <v>0.23870181263075868</v>
      </c>
    </row>
    <row r="3518" spans="8:9" ht="12" customHeight="1">
      <c r="H3518" s="133">
        <v>0.57536317895934685</v>
      </c>
      <c r="I3518" s="133">
        <v>0.23872692066578774</v>
      </c>
    </row>
    <row r="3519" spans="8:9" ht="12" customHeight="1">
      <c r="H3519" s="133">
        <v>0.57544478437866242</v>
      </c>
      <c r="I3519" s="133">
        <v>0.23875973653210836</v>
      </c>
    </row>
    <row r="3520" spans="8:9" ht="12" customHeight="1">
      <c r="H3520" s="133">
        <v>0.57602593643332745</v>
      </c>
      <c r="I3520" s="133">
        <v>0.23899352387157508</v>
      </c>
    </row>
    <row r="3521" spans="8:9" ht="12" customHeight="1">
      <c r="H3521" s="133">
        <v>0.57739496838496207</v>
      </c>
      <c r="I3521" s="133">
        <v>0.23954488196265186</v>
      </c>
    </row>
    <row r="3522" spans="8:9" ht="12" customHeight="1">
      <c r="H3522" s="133">
        <v>0.57752827139027174</v>
      </c>
      <c r="I3522" s="133">
        <v>0.23959861437047278</v>
      </c>
    </row>
    <row r="3523" spans="8:9" ht="12" customHeight="1">
      <c r="H3523" s="133">
        <v>0.57772237228749024</v>
      </c>
      <c r="I3523" s="133">
        <v>0.23967686824091358</v>
      </c>
    </row>
    <row r="3524" spans="8:9" ht="12" customHeight="1">
      <c r="H3524" s="133">
        <v>0.5787758900631208</v>
      </c>
      <c r="I3524" s="133">
        <v>0.24010191051855215</v>
      </c>
    </row>
    <row r="3525" spans="8:9" ht="12" customHeight="1">
      <c r="H3525" s="133">
        <v>0.57897980425443152</v>
      </c>
      <c r="I3525" s="133">
        <v>0.24018423933244906</v>
      </c>
    </row>
    <row r="3526" spans="8:9" ht="12" customHeight="1">
      <c r="H3526" s="133">
        <v>0.5801833656459604</v>
      </c>
      <c r="I3526" s="133">
        <v>0.24067056131368311</v>
      </c>
    </row>
    <row r="3527" spans="8:9" ht="12" customHeight="1">
      <c r="H3527" s="133">
        <v>0.58115338563964059</v>
      </c>
      <c r="I3527" s="133">
        <v>0.24106300562304936</v>
      </c>
    </row>
    <row r="3528" spans="8:9" ht="12" customHeight="1">
      <c r="H3528" s="133">
        <v>0.58165397274205766</v>
      </c>
      <c r="I3528" s="133">
        <v>0.24126570060249958</v>
      </c>
    </row>
    <row r="3529" spans="8:9" ht="12" customHeight="1">
      <c r="H3529" s="133">
        <v>0.58166550796010885</v>
      </c>
      <c r="I3529" s="133">
        <v>0.24127037274947394</v>
      </c>
    </row>
    <row r="3530" spans="8:9" ht="12" customHeight="1">
      <c r="H3530" s="133">
        <v>0.58385497411244736</v>
      </c>
      <c r="I3530" s="133">
        <v>0.24215829639921671</v>
      </c>
    </row>
    <row r="3531" spans="8:9" ht="12" customHeight="1">
      <c r="H3531" s="133">
        <v>0.58389059464777937</v>
      </c>
      <c r="I3531" s="133">
        <v>0.24217276044001715</v>
      </c>
    </row>
    <row r="3532" spans="8:9" ht="12" customHeight="1">
      <c r="H3532" s="133">
        <v>0.58401254017365034</v>
      </c>
      <c r="I3532" s="133">
        <v>0.24222228197556739</v>
      </c>
    </row>
    <row r="3533" spans="8:9" ht="12" customHeight="1">
      <c r="H3533" s="133">
        <v>0.58465700258207742</v>
      </c>
      <c r="I3533" s="133">
        <v>0.24248410969387141</v>
      </c>
    </row>
    <row r="3534" spans="8:9" ht="12" customHeight="1">
      <c r="H3534" s="133">
        <v>0.58501560572480427</v>
      </c>
      <c r="I3534" s="133">
        <v>0.24262988379209657</v>
      </c>
    </row>
    <row r="3535" spans="8:9" ht="12" customHeight="1">
      <c r="H3535" s="133">
        <v>0.58535252099166757</v>
      </c>
      <c r="I3535" s="133">
        <v>0.24276689590843578</v>
      </c>
    </row>
    <row r="3536" spans="8:9" ht="12" customHeight="1">
      <c r="H3536" s="133">
        <v>0.58597827855441198</v>
      </c>
      <c r="I3536" s="133">
        <v>0.24302150992897439</v>
      </c>
    </row>
    <row r="3537" spans="8:9" ht="12" customHeight="1">
      <c r="H3537" s="133">
        <v>0.58599202522003635</v>
      </c>
      <c r="I3537" s="133">
        <v>0.24302710533408051</v>
      </c>
    </row>
    <row r="3538" spans="8:9" ht="12" customHeight="1">
      <c r="H3538" s="133">
        <v>0.58668330920991452</v>
      </c>
      <c r="I3538" s="133">
        <v>0.24330859645913355</v>
      </c>
    </row>
    <row r="3539" spans="8:9" ht="12" customHeight="1">
      <c r="H3539" s="133">
        <v>0.5868485477979003</v>
      </c>
      <c r="I3539" s="133">
        <v>0.24337591442756171</v>
      </c>
    </row>
    <row r="3540" spans="8:9" ht="12" customHeight="1">
      <c r="H3540" s="133">
        <v>0.5892021562407187</v>
      </c>
      <c r="I3540" s="133">
        <v>0.24433614224360378</v>
      </c>
    </row>
    <row r="3541" spans="8:9" ht="12" customHeight="1">
      <c r="H3541" s="133">
        <v>0.58998298406885763</v>
      </c>
      <c r="I3541" s="133">
        <v>0.24465527098994408</v>
      </c>
    </row>
    <row r="3542" spans="8:9" ht="12" customHeight="1">
      <c r="H3542" s="133">
        <v>0.5905756310660456</v>
      </c>
      <c r="I3542" s="133">
        <v>0.24489767721189959</v>
      </c>
    </row>
    <row r="3543" spans="8:9" ht="12" customHeight="1">
      <c r="H3543" s="133">
        <v>0.59159136813369073</v>
      </c>
      <c r="I3543" s="133">
        <v>0.2453135142512928</v>
      </c>
    </row>
    <row r="3544" spans="8:9" ht="12" customHeight="1">
      <c r="H3544" s="133">
        <v>0.59168845467510567</v>
      </c>
      <c r="I3544" s="133">
        <v>0.24535328587795863</v>
      </c>
    </row>
    <row r="3545" spans="8:9" ht="12" customHeight="1">
      <c r="H3545" s="133">
        <v>0.59241362474864212</v>
      </c>
      <c r="I3545" s="133">
        <v>0.24565049035220476</v>
      </c>
    </row>
    <row r="3546" spans="8:9" ht="12" customHeight="1">
      <c r="H3546" s="133">
        <v>0.59246050891278734</v>
      </c>
      <c r="I3546" s="133">
        <v>0.24566971376100799</v>
      </c>
    </row>
    <row r="3547" spans="8:9" ht="12" customHeight="1">
      <c r="H3547" s="133">
        <v>0.59289076620355974</v>
      </c>
      <c r="I3547" s="133">
        <v>0.24584617488912155</v>
      </c>
    </row>
    <row r="3548" spans="8:9" ht="12" customHeight="1">
      <c r="H3548" s="133">
        <v>0.59293950156738029</v>
      </c>
      <c r="I3548" s="133">
        <v>0.24586616807601033</v>
      </c>
    </row>
    <row r="3549" spans="8:9" ht="12" customHeight="1">
      <c r="H3549" s="133">
        <v>0.59370617117824687</v>
      </c>
      <c r="I3549" s="133">
        <v>0.24618083067266197</v>
      </c>
    </row>
    <row r="3550" spans="8:9" ht="12" customHeight="1">
      <c r="H3550" s="133">
        <v>0.59386018460589562</v>
      </c>
      <c r="I3550" s="133">
        <v>0.24624407478116983</v>
      </c>
    </row>
    <row r="3551" spans="8:9" ht="12" customHeight="1">
      <c r="H3551" s="133">
        <v>0.59440260091607156</v>
      </c>
      <c r="I3551" s="133">
        <v>0.24646689983289791</v>
      </c>
    </row>
    <row r="3552" spans="8:9" ht="12" customHeight="1">
      <c r="H3552" s="133">
        <v>0.59441983282137956</v>
      </c>
      <c r="I3552" s="133">
        <v>0.24647398093654985</v>
      </c>
    </row>
    <row r="3553" spans="8:9" ht="12" customHeight="1">
      <c r="H3553" s="133">
        <v>0.59468049042471682</v>
      </c>
      <c r="I3553" s="133">
        <v>0.2465811096135033</v>
      </c>
    </row>
    <row r="3554" spans="8:9" ht="12" customHeight="1">
      <c r="H3554" s="133">
        <v>0.59474003602202441</v>
      </c>
      <c r="I3554" s="133">
        <v>0.24660558688364945</v>
      </c>
    </row>
    <row r="3555" spans="8:9" ht="12" customHeight="1">
      <c r="H3555" s="133">
        <v>0.59499638540081601</v>
      </c>
      <c r="I3555" s="133">
        <v>0.24671098248965007</v>
      </c>
    </row>
    <row r="3556" spans="8:9" ht="12" customHeight="1">
      <c r="H3556" s="133">
        <v>0.59601910935209756</v>
      </c>
      <c r="I3556" s="133">
        <v>0.24713176712149496</v>
      </c>
    </row>
    <row r="3557" spans="8:9" ht="12" customHeight="1">
      <c r="H3557" s="133">
        <v>0.59616888014734448</v>
      </c>
      <c r="I3557" s="133">
        <v>0.24719342855119802</v>
      </c>
    </row>
    <row r="3558" spans="8:9" ht="12" customHeight="1">
      <c r="H3558" s="133">
        <v>0.59621734108980984</v>
      </c>
      <c r="I3558" s="133">
        <v>0.24721338239041207</v>
      </c>
    </row>
    <row r="3559" spans="8:9" ht="12" customHeight="1">
      <c r="H3559" s="133">
        <v>0.59667790931037434</v>
      </c>
      <c r="I3559" s="133">
        <v>0.24740307578334977</v>
      </c>
    </row>
    <row r="3560" spans="8:9" ht="12" customHeight="1">
      <c r="H3560" s="133">
        <v>0.59687043160618991</v>
      </c>
      <c r="I3560" s="133">
        <v>0.24748239854192719</v>
      </c>
    </row>
    <row r="3561" spans="8:9" ht="12" customHeight="1">
      <c r="H3561" s="133">
        <v>0.59878705927143472</v>
      </c>
      <c r="I3561" s="133">
        <v>0.24827301511618258</v>
      </c>
    </row>
    <row r="3562" spans="8:9" ht="12" customHeight="1">
      <c r="H3562" s="133">
        <v>0.59881692434211409</v>
      </c>
      <c r="I3562" s="133">
        <v>0.24828534795192536</v>
      </c>
    </row>
    <row r="3563" spans="8:9" ht="12" customHeight="1">
      <c r="H3563" s="133">
        <v>0.59907287989959002</v>
      </c>
      <c r="I3563" s="133">
        <v>0.24839106209422454</v>
      </c>
    </row>
    <row r="3564" spans="8:9" ht="12" customHeight="1">
      <c r="H3564" s="133">
        <v>0.59939879756761161</v>
      </c>
      <c r="I3564" s="133">
        <v>0.24852571542777591</v>
      </c>
    </row>
    <row r="3565" spans="8:9" ht="12" customHeight="1">
      <c r="H3565" s="133">
        <v>0.60127638224163571</v>
      </c>
      <c r="I3565" s="133">
        <v>0.24930239311550284</v>
      </c>
    </row>
    <row r="3566" spans="8:9" ht="12" customHeight="1">
      <c r="H3566" s="133">
        <v>0.601853822823878</v>
      </c>
      <c r="I3566" s="133">
        <v>0.24954158165535414</v>
      </c>
    </row>
    <row r="3567" spans="8:9" ht="12" customHeight="1">
      <c r="H3567" s="133">
        <v>0.60426198235247175</v>
      </c>
      <c r="I3567" s="133">
        <v>0.25054074446057117</v>
      </c>
    </row>
    <row r="3568" spans="8:9" ht="12" customHeight="1">
      <c r="H3568" s="133">
        <v>0.6049219845426812</v>
      </c>
      <c r="I3568" s="133">
        <v>0.25081504865340165</v>
      </c>
    </row>
    <row r="3569" spans="8:9" ht="12" customHeight="1">
      <c r="H3569" s="133">
        <v>0.60510839948431949</v>
      </c>
      <c r="I3569" s="133">
        <v>0.25089256093215101</v>
      </c>
    </row>
    <row r="3570" spans="8:9" ht="12" customHeight="1">
      <c r="H3570" s="133">
        <v>0.60612554494365478</v>
      </c>
      <c r="I3570" s="133">
        <v>0.25131577572330371</v>
      </c>
    </row>
    <row r="3571" spans="8:9" ht="12" customHeight="1">
      <c r="H3571" s="133">
        <v>0.60636758545710567</v>
      </c>
      <c r="I3571" s="133">
        <v>0.25141655398177298</v>
      </c>
    </row>
    <row r="3572" spans="8:9" ht="12" customHeight="1">
      <c r="H3572" s="133">
        <v>0.60636928566881787</v>
      </c>
      <c r="I3572" s="133">
        <v>0.25141726199279019</v>
      </c>
    </row>
    <row r="3573" spans="8:9" ht="12" customHeight="1">
      <c r="H3573" s="133">
        <v>0.60665945712027136</v>
      </c>
      <c r="I3573" s="133">
        <v>0.25153811609698185</v>
      </c>
    </row>
    <row r="3574" spans="8:9" ht="12" customHeight="1">
      <c r="H3574" s="133">
        <v>0.60873487968177875</v>
      </c>
      <c r="I3574" s="133">
        <v>0.25240363702421181</v>
      </c>
    </row>
    <row r="3575" spans="8:9" ht="12" customHeight="1">
      <c r="H3575" s="133">
        <v>0.61045223254233727</v>
      </c>
      <c r="I3575" s="133">
        <v>0.25312132076246846</v>
      </c>
    </row>
    <row r="3576" spans="8:9" ht="12" customHeight="1">
      <c r="H3576" s="133">
        <v>0.61105563478911906</v>
      </c>
      <c r="I3576" s="133">
        <v>0.25337380329331238</v>
      </c>
    </row>
    <row r="3577" spans="8:9" ht="12" customHeight="1">
      <c r="H3577" s="133">
        <v>0.61210634435536615</v>
      </c>
      <c r="I3577" s="133">
        <v>0.25381385024740138</v>
      </c>
    </row>
    <row r="3578" spans="8:9" ht="12" customHeight="1">
      <c r="H3578" s="133">
        <v>0.61223613368843355</v>
      </c>
      <c r="I3578" s="133">
        <v>0.25386824220891535</v>
      </c>
    </row>
    <row r="3579" spans="8:9" ht="12" customHeight="1">
      <c r="H3579" s="133">
        <v>0.61328311897284404</v>
      </c>
      <c r="I3579" s="133">
        <v>0.25430729273114355</v>
      </c>
    </row>
    <row r="3580" spans="8:9" ht="12" customHeight="1">
      <c r="H3580" s="133">
        <v>0.61339244570502949</v>
      </c>
      <c r="I3580" s="133">
        <v>0.25435316744882924</v>
      </c>
    </row>
    <row r="3581" spans="8:9" ht="12" customHeight="1">
      <c r="H3581" s="133">
        <v>0.61428138930115861</v>
      </c>
      <c r="I3581" s="133">
        <v>0.25472638047517071</v>
      </c>
    </row>
    <row r="3582" spans="8:9" ht="12" customHeight="1">
      <c r="H3582" s="133">
        <v>0.61487027386332549</v>
      </c>
      <c r="I3582" s="133">
        <v>0.25497381546533715</v>
      </c>
    </row>
    <row r="3583" spans="8:9" ht="12" customHeight="1">
      <c r="H3583" s="133">
        <v>0.61572016147635622</v>
      </c>
      <c r="I3583" s="133">
        <v>0.25533119621945349</v>
      </c>
    </row>
    <row r="3584" spans="8:9" ht="12" customHeight="1">
      <c r="H3584" s="133">
        <v>0.61577829640787773</v>
      </c>
      <c r="I3584" s="133">
        <v>0.25535565418847611</v>
      </c>
    </row>
    <row r="3585" spans="8:9" ht="12" customHeight="1">
      <c r="H3585" s="133">
        <v>0.6160952322685832</v>
      </c>
      <c r="I3585" s="133">
        <v>0.25548901946471558</v>
      </c>
    </row>
    <row r="3586" spans="8:9" ht="12" customHeight="1">
      <c r="H3586" s="133">
        <v>0.61805946401649992</v>
      </c>
      <c r="I3586" s="133">
        <v>0.25631657978379357</v>
      </c>
    </row>
    <row r="3587" spans="8:9" ht="12" customHeight="1">
      <c r="H3587" s="133">
        <v>0.61894193010840659</v>
      </c>
      <c r="I3587" s="133">
        <v>0.25668894738974568</v>
      </c>
    </row>
    <row r="3588" spans="8:9" ht="12" customHeight="1">
      <c r="H3588" s="133">
        <v>0.61937507779026901</v>
      </c>
      <c r="I3588" s="133">
        <v>0.25687184899664761</v>
      </c>
    </row>
    <row r="3589" spans="8:9" ht="12" customHeight="1">
      <c r="H3589" s="133">
        <v>0.62015419713386044</v>
      </c>
      <c r="I3589" s="133">
        <v>0.25720105571015467</v>
      </c>
    </row>
    <row r="3590" spans="8:9" ht="12" customHeight="1">
      <c r="H3590" s="133">
        <v>0.62040889910642794</v>
      </c>
      <c r="I3590" s="133">
        <v>0.25730873650874098</v>
      </c>
    </row>
    <row r="3591" spans="8:9" ht="12" customHeight="1">
      <c r="H3591" s="133">
        <v>0.62135240969517458</v>
      </c>
      <c r="I3591" s="133">
        <v>0.25770788277798179</v>
      </c>
    </row>
    <row r="3592" spans="8:9" ht="12" customHeight="1">
      <c r="H3592" s="133">
        <v>0.6217339118137909</v>
      </c>
      <c r="I3592" s="133">
        <v>0.25786938958414546</v>
      </c>
    </row>
    <row r="3593" spans="8:9" ht="12" customHeight="1">
      <c r="H3593" s="133">
        <v>0.62559173316681271</v>
      </c>
      <c r="I3593" s="133">
        <v>0.25950628391752895</v>
      </c>
    </row>
    <row r="3594" spans="8:9" ht="12" customHeight="1">
      <c r="H3594" s="133">
        <v>0.62662122905297946</v>
      </c>
      <c r="I3594" s="133">
        <v>0.25994424364594887</v>
      </c>
    </row>
    <row r="3595" spans="8:9" ht="12" customHeight="1">
      <c r="H3595" s="133">
        <v>0.62721782461946407</v>
      </c>
      <c r="I3595" s="133">
        <v>0.26019826180409561</v>
      </c>
    </row>
    <row r="3596" spans="8:9" ht="12" customHeight="1">
      <c r="H3596" s="133">
        <v>0.62831286154458932</v>
      </c>
      <c r="I3596" s="133">
        <v>0.26066492463375834</v>
      </c>
    </row>
    <row r="3597" spans="8:9" ht="12" customHeight="1">
      <c r="H3597" s="133">
        <v>0.62838637274887288</v>
      </c>
      <c r="I3597" s="133">
        <v>0.26069627169749843</v>
      </c>
    </row>
    <row r="3598" spans="8:9" ht="12" customHeight="1">
      <c r="H3598" s="133">
        <v>0.63121551656008457</v>
      </c>
      <c r="I3598" s="133">
        <v>0.26190454419871462</v>
      </c>
    </row>
    <row r="3599" spans="8:9" ht="12" customHeight="1">
      <c r="H3599" s="133">
        <v>0.63158230665432813</v>
      </c>
      <c r="I3599" s="133">
        <v>0.26206145743636683</v>
      </c>
    </row>
    <row r="3600" spans="8:9" ht="12" customHeight="1">
      <c r="H3600" s="133">
        <v>0.63176332708984972</v>
      </c>
      <c r="I3600" s="133">
        <v>0.26213892053291543</v>
      </c>
    </row>
    <row r="3601" spans="8:9" ht="12" customHeight="1">
      <c r="H3601" s="133">
        <v>0.63227233410102224</v>
      </c>
      <c r="I3601" s="133">
        <v>0.26235681625430796</v>
      </c>
    </row>
    <row r="3602" spans="8:9" ht="12" customHeight="1">
      <c r="H3602" s="133">
        <v>0.63251301629631163</v>
      </c>
      <c r="I3602" s="133">
        <v>0.26245988811629978</v>
      </c>
    </row>
    <row r="3603" spans="8:9" ht="12" customHeight="1">
      <c r="H3603" s="133">
        <v>0.6330121203700233</v>
      </c>
      <c r="I3603" s="133">
        <v>0.26267371194959138</v>
      </c>
    </row>
    <row r="3604" spans="8:9" ht="12" customHeight="1">
      <c r="H3604" s="133">
        <v>0.634914697917769</v>
      </c>
      <c r="I3604" s="133">
        <v>0.26348983317809216</v>
      </c>
    </row>
    <row r="3605" spans="8:9" ht="12" customHeight="1">
      <c r="H3605" s="133">
        <v>0.63573474971939048</v>
      </c>
      <c r="I3605" s="133">
        <v>0.26384210078165593</v>
      </c>
    </row>
    <row r="3606" spans="8:9" ht="12" customHeight="1">
      <c r="H3606" s="133">
        <v>0.63684409338813786</v>
      </c>
      <c r="I3606" s="133">
        <v>0.26431911936260866</v>
      </c>
    </row>
    <row r="3607" spans="8:9" ht="12" customHeight="1">
      <c r="H3607" s="133">
        <v>0.63732448072721881</v>
      </c>
      <c r="I3607" s="133">
        <v>0.26452585763586622</v>
      </c>
    </row>
    <row r="3608" spans="8:9" ht="12" customHeight="1">
      <c r="H3608" s="133">
        <v>0.6375536585136431</v>
      </c>
      <c r="I3608" s="133">
        <v>0.26462452247853241</v>
      </c>
    </row>
    <row r="3609" spans="8:9" ht="12" customHeight="1">
      <c r="H3609" s="133">
        <v>0.63827175503396083</v>
      </c>
      <c r="I3609" s="133">
        <v>0.26493382746834943</v>
      </c>
    </row>
    <row r="3610" spans="8:9" ht="12" customHeight="1">
      <c r="H3610" s="133">
        <v>0.63896417213757672</v>
      </c>
      <c r="I3610" s="133">
        <v>0.26523229046933977</v>
      </c>
    </row>
    <row r="3611" spans="8:9" ht="12" customHeight="1">
      <c r="H3611" s="133">
        <v>0.63898095704301461</v>
      </c>
      <c r="I3611" s="133">
        <v>0.26523952818739133</v>
      </c>
    </row>
    <row r="3612" spans="8:9" ht="12" customHeight="1">
      <c r="H3612" s="133">
        <v>0.63961085521318461</v>
      </c>
      <c r="I3612" s="133">
        <v>0.26551123400934656</v>
      </c>
    </row>
    <row r="3613" spans="8:9" ht="12" customHeight="1">
      <c r="H3613" s="133">
        <v>0.64041706144392407</v>
      </c>
      <c r="I3613" s="133">
        <v>0.26585924928535976</v>
      </c>
    </row>
    <row r="3614" spans="8:9" ht="12" customHeight="1">
      <c r="H3614" s="133">
        <v>0.64083293822715059</v>
      </c>
      <c r="I3614" s="133">
        <v>0.26603888465290965</v>
      </c>
    </row>
    <row r="3615" spans="8:9" ht="12" customHeight="1">
      <c r="H3615" s="133">
        <v>0.64086595779147937</v>
      </c>
      <c r="I3615" s="133">
        <v>0.26605315056192497</v>
      </c>
    </row>
    <row r="3616" spans="8:9" ht="12" customHeight="1">
      <c r="H3616" s="133">
        <v>0.64155094075073438</v>
      </c>
      <c r="I3616" s="133">
        <v>0.26634920340266155</v>
      </c>
    </row>
    <row r="3617" spans="8:9" ht="12" customHeight="1">
      <c r="H3617" s="133">
        <v>0.64184814162619896</v>
      </c>
      <c r="I3617" s="133">
        <v>0.2664777202651335</v>
      </c>
    </row>
    <row r="3618" spans="8:9" ht="12" customHeight="1">
      <c r="H3618" s="133">
        <v>0.6422519423157248</v>
      </c>
      <c r="I3618" s="133">
        <v>0.26665239672407715</v>
      </c>
    </row>
    <row r="3619" spans="8:9" ht="12" customHeight="1">
      <c r="H3619" s="133">
        <v>0.64338709985137188</v>
      </c>
      <c r="I3619" s="133">
        <v>0.2671438343485491</v>
      </c>
    </row>
    <row r="3620" spans="8:9" ht="12" customHeight="1">
      <c r="H3620" s="133">
        <v>0.64346024235230959</v>
      </c>
      <c r="I3620" s="133">
        <v>0.26717551926673255</v>
      </c>
    </row>
    <row r="3621" spans="8:9" ht="12" customHeight="1">
      <c r="H3621" s="133">
        <v>0.64460489984271463</v>
      </c>
      <c r="I3621" s="133">
        <v>0.26767168941926911</v>
      </c>
    </row>
    <row r="3622" spans="8:9" ht="12" customHeight="1">
      <c r="H3622" s="133">
        <v>0.64560802056475208</v>
      </c>
      <c r="I3622" s="133">
        <v>0.26810698855793386</v>
      </c>
    </row>
    <row r="3623" spans="8:9" ht="12" customHeight="1">
      <c r="H3623" s="133">
        <v>0.64587139825796525</v>
      </c>
      <c r="I3623" s="133">
        <v>0.26822135429207772</v>
      </c>
    </row>
    <row r="3624" spans="8:9" ht="12" customHeight="1">
      <c r="H3624" s="133">
        <v>0.64593684569911269</v>
      </c>
      <c r="I3624" s="133">
        <v>0.26824977813848794</v>
      </c>
    </row>
    <row r="3625" spans="8:9" ht="12" customHeight="1">
      <c r="H3625" s="133">
        <v>0.64658876876492422</v>
      </c>
      <c r="I3625" s="133">
        <v>0.26853301268690583</v>
      </c>
    </row>
    <row r="3626" spans="8:9" ht="12" customHeight="1">
      <c r="H3626" s="133">
        <v>0.64666479934392618</v>
      </c>
      <c r="I3626" s="133">
        <v>0.26856605725957144</v>
      </c>
    </row>
    <row r="3627" spans="8:9" ht="12" customHeight="1">
      <c r="H3627" s="133">
        <v>0.6480787769322115</v>
      </c>
      <c r="I3627" s="133">
        <v>0.26918107195053176</v>
      </c>
    </row>
    <row r="3628" spans="8:9" ht="12" customHeight="1">
      <c r="H3628" s="133">
        <v>0.64838219641321693</v>
      </c>
      <c r="I3628" s="133">
        <v>0.26931316122986415</v>
      </c>
    </row>
    <row r="3629" spans="8:9" ht="12" customHeight="1">
      <c r="H3629" s="133">
        <v>0.64845561212666503</v>
      </c>
      <c r="I3629" s="133">
        <v>0.26934512784682613</v>
      </c>
    </row>
    <row r="3630" spans="8:9" ht="12" customHeight="1">
      <c r="H3630" s="133">
        <v>0.64943318316947163</v>
      </c>
      <c r="I3630" s="133">
        <v>0.26977100938005211</v>
      </c>
    </row>
    <row r="3631" spans="8:9" ht="12" customHeight="1">
      <c r="H3631" s="133">
        <v>0.650786471342363</v>
      </c>
      <c r="I3631" s="133">
        <v>0.27036127341175781</v>
      </c>
    </row>
    <row r="3632" spans="8:9" ht="12" customHeight="1">
      <c r="H3632" s="133">
        <v>0.65148675418452295</v>
      </c>
      <c r="I3632" s="133">
        <v>0.27066703493352301</v>
      </c>
    </row>
    <row r="3633" spans="8:9" ht="12" customHeight="1">
      <c r="H3633" s="133">
        <v>0.65151843753184135</v>
      </c>
      <c r="I3633" s="133">
        <v>0.27068087383975481</v>
      </c>
    </row>
    <row r="3634" spans="8:9" ht="12" customHeight="1">
      <c r="H3634" s="133">
        <v>0.6515916704173742</v>
      </c>
      <c r="I3634" s="133">
        <v>0.27071286278890955</v>
      </c>
    </row>
    <row r="3635" spans="8:9" ht="12" customHeight="1">
      <c r="H3635" s="133">
        <v>0.6521750317908882</v>
      </c>
      <c r="I3635" s="133">
        <v>0.27096776647806203</v>
      </c>
    </row>
    <row r="3636" spans="8:9" ht="12" customHeight="1">
      <c r="H3636" s="133">
        <v>0.65230962609544629</v>
      </c>
      <c r="I3636" s="133">
        <v>0.27102659977442439</v>
      </c>
    </row>
    <row r="3637" spans="8:9" ht="12" customHeight="1">
      <c r="H3637" s="133">
        <v>0.6527659079820568</v>
      </c>
      <c r="I3637" s="133">
        <v>0.27122610749752485</v>
      </c>
    </row>
    <row r="3638" spans="8:9" ht="12" customHeight="1">
      <c r="H3638" s="133">
        <v>0.6527815856391771</v>
      </c>
      <c r="I3638" s="133">
        <v>0.27123296413871373</v>
      </c>
    </row>
    <row r="3639" spans="8:9" ht="12" customHeight="1">
      <c r="H3639" s="133">
        <v>0.65292589277301849</v>
      </c>
      <c r="I3639" s="133">
        <v>0.27129608213866568</v>
      </c>
    </row>
    <row r="3640" spans="8:9" ht="12" customHeight="1">
      <c r="H3640" s="133">
        <v>0.6535092956491968</v>
      </c>
      <c r="I3640" s="133">
        <v>0.27155134867209257</v>
      </c>
    </row>
    <row r="3641" spans="8:9" ht="12" customHeight="1">
      <c r="H3641" s="133">
        <v>0.65361109855372546</v>
      </c>
      <c r="I3641" s="133">
        <v>0.27159590772390008</v>
      </c>
    </row>
    <row r="3642" spans="8:9" ht="12" customHeight="1">
      <c r="H3642" s="133">
        <v>0.65437300285639699</v>
      </c>
      <c r="I3642" s="133">
        <v>0.2719295381829725</v>
      </c>
    </row>
    <row r="3643" spans="8:9" ht="12" customHeight="1">
      <c r="H3643" s="133">
        <v>0.65513807427483661</v>
      </c>
      <c r="I3643" s="133">
        <v>0.27226481373940492</v>
      </c>
    </row>
    <row r="3644" spans="8:9" ht="12" customHeight="1">
      <c r="H3644" s="133">
        <v>0.65565048840034867</v>
      </c>
      <c r="I3644" s="133">
        <v>0.27248951246296632</v>
      </c>
    </row>
    <row r="3645" spans="8:9" ht="12" customHeight="1">
      <c r="H3645" s="133">
        <v>0.65645512383353444</v>
      </c>
      <c r="I3645" s="133">
        <v>0.27284258712388443</v>
      </c>
    </row>
    <row r="3646" spans="8:9" ht="12" customHeight="1">
      <c r="H3646" s="133">
        <v>0.6590650804782956</v>
      </c>
      <c r="I3646" s="133">
        <v>0.2739898033260178</v>
      </c>
    </row>
    <row r="3647" spans="8:9" ht="12" customHeight="1">
      <c r="H3647" s="133">
        <v>0.65974614164178125</v>
      </c>
      <c r="I3647" s="133">
        <v>0.27428965992343018</v>
      </c>
    </row>
    <row r="3648" spans="8:9" ht="12" customHeight="1">
      <c r="H3648" s="133">
        <v>0.66035321210163256</v>
      </c>
      <c r="I3648" s="133">
        <v>0.27455711200780464</v>
      </c>
    </row>
    <row r="3649" spans="8:9" ht="12" customHeight="1">
      <c r="H3649" s="133">
        <v>0.66159436357097701</v>
      </c>
      <c r="I3649" s="133">
        <v>0.27510442015409264</v>
      </c>
    </row>
    <row r="3650" spans="8:9" ht="12" customHeight="1">
      <c r="H3650" s="133">
        <v>0.66178581330706254</v>
      </c>
      <c r="I3650" s="133">
        <v>0.27518890361145537</v>
      </c>
    </row>
    <row r="3651" spans="8:9" ht="12" customHeight="1">
      <c r="H3651" s="133">
        <v>0.66428271616614876</v>
      </c>
      <c r="I3651" s="133">
        <v>0.27629221611247184</v>
      </c>
    </row>
    <row r="3652" spans="8:9" ht="12" customHeight="1">
      <c r="H3652" s="133">
        <v>0.66434717168631696</v>
      </c>
      <c r="I3652" s="133">
        <v>0.27632073341112234</v>
      </c>
    </row>
    <row r="3653" spans="8:9" ht="12" customHeight="1">
      <c r="H3653" s="133">
        <v>0.66489321226188103</v>
      </c>
      <c r="I3653" s="133">
        <v>0.27656239318465958</v>
      </c>
    </row>
    <row r="3654" spans="8:9" ht="12" customHeight="1">
      <c r="H3654" s="133">
        <v>0.66500900566028653</v>
      </c>
      <c r="I3654" s="133">
        <v>0.27661365634578239</v>
      </c>
    </row>
    <row r="3655" spans="8:9" ht="12" customHeight="1">
      <c r="H3655" s="133">
        <v>0.66510564002401884</v>
      </c>
      <c r="I3655" s="133">
        <v>0.27665644205881856</v>
      </c>
    </row>
    <row r="3656" spans="8:9" ht="12" customHeight="1">
      <c r="H3656" s="133">
        <v>0.66532328563229193</v>
      </c>
      <c r="I3656" s="133">
        <v>0.27675282152916136</v>
      </c>
    </row>
    <row r="3657" spans="8:9" ht="12" customHeight="1">
      <c r="H3657" s="133">
        <v>0.66579124746673612</v>
      </c>
      <c r="I3657" s="133">
        <v>0.27696011810037224</v>
      </c>
    </row>
    <row r="3658" spans="8:9" ht="12" customHeight="1">
      <c r="H3658" s="133">
        <v>0.6661644647909376</v>
      </c>
      <c r="I3658" s="133">
        <v>0.2771255136322332</v>
      </c>
    </row>
    <row r="3659" spans="8:9" ht="12" customHeight="1">
      <c r="H3659" s="133">
        <v>0.66624191655975606</v>
      </c>
      <c r="I3659" s="133">
        <v>0.27715984490089374</v>
      </c>
    </row>
    <row r="3660" spans="8:9" ht="12" customHeight="1">
      <c r="H3660" s="133">
        <v>0.66646822680708062</v>
      </c>
      <c r="I3660" s="133">
        <v>0.27726017419820492</v>
      </c>
    </row>
    <row r="3661" spans="8:9" ht="12" customHeight="1">
      <c r="H3661" s="133">
        <v>0.6665823747948364</v>
      </c>
      <c r="I3661" s="133">
        <v>0.27731078750189275</v>
      </c>
    </row>
    <row r="3662" spans="8:9" ht="12" customHeight="1">
      <c r="H3662" s="133">
        <v>0.66710754652287285</v>
      </c>
      <c r="I3662" s="133">
        <v>0.27754372238834363</v>
      </c>
    </row>
    <row r="3663" spans="8:9" ht="12" customHeight="1">
      <c r="H3663" s="133">
        <v>0.66815526204118469</v>
      </c>
      <c r="I3663" s="133">
        <v>0.27800878636122389</v>
      </c>
    </row>
    <row r="3664" spans="8:9" ht="12" customHeight="1">
      <c r="H3664" s="133">
        <v>0.66821521712188747</v>
      </c>
      <c r="I3664" s="133">
        <v>0.27803541394333237</v>
      </c>
    </row>
    <row r="3665" spans="8:9" ht="12" customHeight="1">
      <c r="H3665" s="133">
        <v>0.66847379418483055</v>
      </c>
      <c r="I3665" s="133">
        <v>0.2781502725836017</v>
      </c>
    </row>
    <row r="3666" spans="8:9" ht="12" customHeight="1">
      <c r="H3666" s="133">
        <v>0.66858892176442486</v>
      </c>
      <c r="I3666" s="133">
        <v>0.27820142106213414</v>
      </c>
    </row>
    <row r="3667" spans="8:9" ht="12" customHeight="1">
      <c r="H3667" s="133">
        <v>0.66873901367020117</v>
      </c>
      <c r="I3667" s="133">
        <v>0.27826811204879359</v>
      </c>
    </row>
    <row r="3668" spans="8:9" ht="12" customHeight="1">
      <c r="H3668" s="133">
        <v>0.66944113130036909</v>
      </c>
      <c r="I3668" s="133">
        <v>0.27858021743765332</v>
      </c>
    </row>
    <row r="3669" spans="8:9" ht="12" customHeight="1">
      <c r="H3669" s="133">
        <v>0.66953187976281903</v>
      </c>
      <c r="I3669" s="133">
        <v>0.2786205726298922</v>
      </c>
    </row>
    <row r="3670" spans="8:9" ht="12" customHeight="1">
      <c r="H3670" s="133">
        <v>0.67136250800594433</v>
      </c>
      <c r="I3670" s="133">
        <v>0.27943540564057356</v>
      </c>
    </row>
    <row r="3671" spans="8:9" ht="12" customHeight="1">
      <c r="H3671" s="133">
        <v>0.67197254315436694</v>
      </c>
      <c r="I3671" s="133">
        <v>0.279707262924762</v>
      </c>
    </row>
    <row r="3672" spans="8:9" ht="12" customHeight="1">
      <c r="H3672" s="133">
        <v>0.67285166671620311</v>
      </c>
      <c r="I3672" s="133">
        <v>0.28009932173301638</v>
      </c>
    </row>
    <row r="3673" spans="8:9" ht="12" customHeight="1">
      <c r="H3673" s="133">
        <v>0.67309474440384476</v>
      </c>
      <c r="I3673" s="133">
        <v>0.28020778523194612</v>
      </c>
    </row>
    <row r="3674" spans="8:9" ht="12" customHeight="1">
      <c r="H3674" s="133">
        <v>0.67318865788524629</v>
      </c>
      <c r="I3674" s="133">
        <v>0.28024969715942016</v>
      </c>
    </row>
    <row r="3675" spans="8:9" ht="12" customHeight="1">
      <c r="H3675" s="133">
        <v>0.67364347819498682</v>
      </c>
      <c r="I3675" s="133">
        <v>0.28045272957898909</v>
      </c>
    </row>
    <row r="3676" spans="8:9" ht="12" customHeight="1">
      <c r="H3676" s="133">
        <v>0.67494636840363154</v>
      </c>
      <c r="I3676" s="133">
        <v>0.28103483814774249</v>
      </c>
    </row>
    <row r="3677" spans="8:9" ht="12" customHeight="1">
      <c r="H3677" s="133">
        <v>0.67506828444274991</v>
      </c>
      <c r="I3677" s="133">
        <v>0.28108934574257916</v>
      </c>
    </row>
    <row r="3678" spans="8:9" ht="12" customHeight="1">
      <c r="H3678" s="133">
        <v>0.67514633669674173</v>
      </c>
      <c r="I3678" s="133">
        <v>0.28112424560292715</v>
      </c>
    </row>
    <row r="3679" spans="8:9" ht="12" customHeight="1">
      <c r="H3679" s="133">
        <v>0.67710393720895745</v>
      </c>
      <c r="I3679" s="133">
        <v>0.28200041881044025</v>
      </c>
    </row>
    <row r="3680" spans="8:9" ht="12" customHeight="1">
      <c r="H3680" s="133">
        <v>0.67967692126644674</v>
      </c>
      <c r="I3680" s="133">
        <v>0.28315454077390512</v>
      </c>
    </row>
    <row r="3681" spans="8:9" ht="12" customHeight="1">
      <c r="H3681" s="133">
        <v>0.68008670547665717</v>
      </c>
      <c r="I3681" s="133">
        <v>0.28333861465638982</v>
      </c>
    </row>
    <row r="3682" spans="8:9" ht="12" customHeight="1">
      <c r="H3682" s="133">
        <v>0.68026972794595342</v>
      </c>
      <c r="I3682" s="133">
        <v>0.28342085119054489</v>
      </c>
    </row>
    <row r="3683" spans="8:9" ht="12" customHeight="1">
      <c r="H3683" s="133">
        <v>0.68040184015706651</v>
      </c>
      <c r="I3683" s="133">
        <v>0.28348022144849949</v>
      </c>
    </row>
    <row r="3684" spans="8:9" ht="12" customHeight="1">
      <c r="H3684" s="133">
        <v>0.68138115178284753</v>
      </c>
      <c r="I3684" s="133">
        <v>0.28392055117496734</v>
      </c>
    </row>
    <row r="3685" spans="8:9" ht="12" customHeight="1">
      <c r="H3685" s="133">
        <v>0.68150495132954936</v>
      </c>
      <c r="I3685" s="133">
        <v>0.28397624477792793</v>
      </c>
    </row>
    <row r="3686" spans="8:9" ht="12" customHeight="1">
      <c r="H3686" s="133">
        <v>0.68221675630475553</v>
      </c>
      <c r="I3686" s="133">
        <v>0.28429659178610772</v>
      </c>
    </row>
    <row r="3687" spans="8:9" ht="12" customHeight="1">
      <c r="H3687" s="133">
        <v>0.68233301815848768</v>
      </c>
      <c r="I3687" s="133">
        <v>0.28434893598960415</v>
      </c>
    </row>
    <row r="3688" spans="8:9" ht="12" customHeight="1">
      <c r="H3688" s="133">
        <v>0.68288403280382692</v>
      </c>
      <c r="I3688" s="133">
        <v>0.28459709653365817</v>
      </c>
    </row>
    <row r="3689" spans="8:9" ht="12" customHeight="1">
      <c r="H3689" s="133">
        <v>0.68381485533131958</v>
      </c>
      <c r="I3689" s="133">
        <v>0.28501660731022371</v>
      </c>
    </row>
    <row r="3690" spans="8:9" ht="12" customHeight="1">
      <c r="H3690" s="133">
        <v>0.68400206583727774</v>
      </c>
      <c r="I3690" s="133">
        <v>0.28510102578955593</v>
      </c>
    </row>
    <row r="3691" spans="8:9" ht="12" customHeight="1">
      <c r="H3691" s="133">
        <v>0.6851742709281029</v>
      </c>
      <c r="I3691" s="133">
        <v>0.28562994757993226</v>
      </c>
    </row>
    <row r="3692" spans="8:9" ht="12" customHeight="1">
      <c r="H3692" s="133">
        <v>0.68594795060603431</v>
      </c>
      <c r="I3692" s="133">
        <v>0.28597936936840568</v>
      </c>
    </row>
    <row r="3693" spans="8:9" ht="12" customHeight="1">
      <c r="H3693" s="133">
        <v>0.68713062523233048</v>
      </c>
      <c r="I3693" s="133">
        <v>0.28651400303842589</v>
      </c>
    </row>
    <row r="3694" spans="8:9" ht="12" customHeight="1">
      <c r="H3694" s="133">
        <v>0.68801507826778829</v>
      </c>
      <c r="I3694" s="133">
        <v>0.28691421488423463</v>
      </c>
    </row>
    <row r="3695" spans="8:9" ht="12" customHeight="1">
      <c r="H3695" s="133">
        <v>0.6880906484095769</v>
      </c>
      <c r="I3695" s="133">
        <v>0.28694842559301803</v>
      </c>
    </row>
    <row r="3696" spans="8:9" ht="12" customHeight="1">
      <c r="H3696" s="133">
        <v>0.68844142078562531</v>
      </c>
      <c r="I3696" s="133">
        <v>0.28710725264960973</v>
      </c>
    </row>
    <row r="3697" spans="8:9" ht="12" customHeight="1">
      <c r="H3697" s="133">
        <v>0.68925051437576645</v>
      </c>
      <c r="I3697" s="133">
        <v>0.28747380420938268</v>
      </c>
    </row>
    <row r="3698" spans="8:9" ht="12" customHeight="1">
      <c r="H3698" s="133">
        <v>0.6894987444433146</v>
      </c>
      <c r="I3698" s="133">
        <v>0.28758631824457503</v>
      </c>
    </row>
    <row r="3699" spans="8:9" ht="12" customHeight="1">
      <c r="H3699" s="133">
        <v>0.68971216268806856</v>
      </c>
      <c r="I3699" s="133">
        <v>0.28768307428537016</v>
      </c>
    </row>
    <row r="3700" spans="8:9" ht="12" customHeight="1">
      <c r="H3700" s="133">
        <v>0.68986141381294586</v>
      </c>
      <c r="I3700" s="133">
        <v>0.28775075082626567</v>
      </c>
    </row>
    <row r="3701" spans="8:9" ht="12" customHeight="1">
      <c r="H3701" s="133">
        <v>0.69128878435717367</v>
      </c>
      <c r="I3701" s="133">
        <v>0.2883984577927402</v>
      </c>
    </row>
    <row r="3702" spans="8:9" ht="12" customHeight="1">
      <c r="H3702" s="133">
        <v>0.69150681931214664</v>
      </c>
      <c r="I3702" s="133">
        <v>0.28849747320125396</v>
      </c>
    </row>
    <row r="3703" spans="8:9" ht="12" customHeight="1">
      <c r="H3703" s="133">
        <v>0.69153633743753373</v>
      </c>
      <c r="I3703" s="133">
        <v>0.28851087971167999</v>
      </c>
    </row>
    <row r="3704" spans="8:9" ht="12" customHeight="1">
      <c r="H3704" s="133">
        <v>0.69284435784939269</v>
      </c>
      <c r="I3704" s="133">
        <v>0.2891053266524311</v>
      </c>
    </row>
    <row r="3705" spans="8:9" ht="12" customHeight="1">
      <c r="H3705" s="133">
        <v>0.69466972082323197</v>
      </c>
      <c r="I3705" s="133">
        <v>0.28993610006556025</v>
      </c>
    </row>
    <row r="3706" spans="8:9" ht="12" customHeight="1">
      <c r="H3706" s="133">
        <v>0.69516213874628996</v>
      </c>
      <c r="I3706" s="133">
        <v>0.29016045491485637</v>
      </c>
    </row>
    <row r="3707" spans="8:9" ht="12" customHeight="1">
      <c r="H3707" s="133">
        <v>0.69607936650721691</v>
      </c>
      <c r="I3707" s="133">
        <v>0.29057863462841588</v>
      </c>
    </row>
    <row r="3708" spans="8:9" ht="12" customHeight="1">
      <c r="H3708" s="133">
        <v>0.69717334749139226</v>
      </c>
      <c r="I3708" s="133">
        <v>0.29107786411219327</v>
      </c>
    </row>
    <row r="3709" spans="8:9" ht="12" customHeight="1">
      <c r="H3709" s="133">
        <v>0.69777378859633477</v>
      </c>
      <c r="I3709" s="133">
        <v>0.29135208538700869</v>
      </c>
    </row>
    <row r="3710" spans="8:9" ht="12" customHeight="1">
      <c r="H3710" s="133">
        <v>0.69819765127788058</v>
      </c>
      <c r="I3710" s="133">
        <v>0.2915457549183107</v>
      </c>
    </row>
    <row r="3711" spans="8:9" ht="12" customHeight="1">
      <c r="H3711" s="133">
        <v>0.69866330610299121</v>
      </c>
      <c r="I3711" s="133">
        <v>0.29175860724408459</v>
      </c>
    </row>
    <row r="3712" spans="8:9" ht="12" customHeight="1">
      <c r="H3712" s="133">
        <v>0.69953036282678405</v>
      </c>
      <c r="I3712" s="133">
        <v>0.29215518505620508</v>
      </c>
    </row>
    <row r="3713" spans="8:9" ht="12" customHeight="1">
      <c r="H3713" s="133">
        <v>0.70005358336534551</v>
      </c>
      <c r="I3713" s="133">
        <v>0.29239465081216026</v>
      </c>
    </row>
    <row r="3714" spans="8:9" ht="12" customHeight="1">
      <c r="H3714" s="133">
        <v>0.70143836630167966</v>
      </c>
      <c r="I3714" s="133">
        <v>0.29302898884694462</v>
      </c>
    </row>
    <row r="3715" spans="8:9" ht="12" customHeight="1">
      <c r="H3715" s="133">
        <v>0.70144236037069307</v>
      </c>
      <c r="I3715" s="133">
        <v>0.29303081960548727</v>
      </c>
    </row>
    <row r="3716" spans="8:9" ht="12" customHeight="1">
      <c r="H3716" s="133">
        <v>0.7018016857462257</v>
      </c>
      <c r="I3716" s="133">
        <v>0.29319555071854159</v>
      </c>
    </row>
    <row r="3717" spans="8:9" ht="12" customHeight="1">
      <c r="H3717" s="133">
        <v>0.70282370205008438</v>
      </c>
      <c r="I3717" s="133">
        <v>0.29366438563854308</v>
      </c>
    </row>
    <row r="3718" spans="8:9" ht="12" customHeight="1">
      <c r="H3718" s="133">
        <v>0.70376976041963624</v>
      </c>
      <c r="I3718" s="133">
        <v>0.29409876611075036</v>
      </c>
    </row>
    <row r="3719" spans="8:9" ht="12" customHeight="1">
      <c r="H3719" s="133">
        <v>0.70412652348688909</v>
      </c>
      <c r="I3719" s="133">
        <v>0.29426267032508796</v>
      </c>
    </row>
    <row r="3720" spans="8:9" ht="12" customHeight="1">
      <c r="H3720" s="133">
        <v>0.70464210227802393</v>
      </c>
      <c r="I3720" s="133">
        <v>0.2944996317846218</v>
      </c>
    </row>
    <row r="3721" spans="8:9" ht="12" customHeight="1">
      <c r="H3721" s="133">
        <v>0.70492485992785758</v>
      </c>
      <c r="I3721" s="133">
        <v>0.29462963518355156</v>
      </c>
    </row>
    <row r="3722" spans="8:9" ht="12" customHeight="1">
      <c r="H3722" s="133">
        <v>0.70554012818488532</v>
      </c>
      <c r="I3722" s="133">
        <v>0.29491263231539577</v>
      </c>
    </row>
    <row r="3723" spans="8:9" ht="12" customHeight="1">
      <c r="H3723" s="133">
        <v>0.70570987915619487</v>
      </c>
      <c r="I3723" s="133">
        <v>0.29499073834188638</v>
      </c>
    </row>
    <row r="3724" spans="8:9" ht="12" customHeight="1">
      <c r="H3724" s="133">
        <v>0.70573547095589462</v>
      </c>
      <c r="I3724" s="133">
        <v>0.29500251471589634</v>
      </c>
    </row>
    <row r="3725" spans="8:9" ht="12" customHeight="1">
      <c r="H3725" s="133">
        <v>0.70643682785353568</v>
      </c>
      <c r="I3725" s="133">
        <v>0.29532535890078782</v>
      </c>
    </row>
    <row r="3726" spans="8:9" ht="12" customHeight="1">
      <c r="H3726" s="133">
        <v>0.70699933401436221</v>
      </c>
      <c r="I3726" s="133">
        <v>0.29558443644612903</v>
      </c>
    </row>
    <row r="3727" spans="8:9" ht="12" customHeight="1">
      <c r="H3727" s="133">
        <v>0.70819269480655944</v>
      </c>
      <c r="I3727" s="133">
        <v>0.29613450777301903</v>
      </c>
    </row>
    <row r="3728" spans="8:9" ht="12" customHeight="1">
      <c r="H3728" s="133">
        <v>0.70939582493150632</v>
      </c>
      <c r="I3728" s="133">
        <v>0.29668968201540702</v>
      </c>
    </row>
    <row r="3729" spans="8:9" ht="12" customHeight="1">
      <c r="H3729" s="133">
        <v>0.70945903949056699</v>
      </c>
      <c r="I3729" s="133">
        <v>0.29671886847465145</v>
      </c>
    </row>
    <row r="3730" spans="8:9" ht="12" customHeight="1">
      <c r="H3730" s="133">
        <v>0.709799113713244</v>
      </c>
      <c r="I3730" s="133">
        <v>0.29687591082088644</v>
      </c>
    </row>
    <row r="3731" spans="8:9" ht="12" customHeight="1">
      <c r="H3731" s="133">
        <v>0.7116570227974347</v>
      </c>
      <c r="I3731" s="133">
        <v>0.29773471883642411</v>
      </c>
    </row>
    <row r="3732" spans="8:9" ht="12" customHeight="1">
      <c r="H3732" s="133">
        <v>0.71385803788264013</v>
      </c>
      <c r="I3732" s="133">
        <v>0.29875397502640927</v>
      </c>
    </row>
    <row r="3733" spans="8:9" ht="12" customHeight="1">
      <c r="H3733" s="133">
        <v>0.71411881525602017</v>
      </c>
      <c r="I3733" s="133">
        <v>0.29887486963941484</v>
      </c>
    </row>
    <row r="3734" spans="8:9" ht="12" customHeight="1">
      <c r="H3734" s="133">
        <v>0.71434214646347471</v>
      </c>
      <c r="I3734" s="133">
        <v>0.29897842677287678</v>
      </c>
    </row>
    <row r="3735" spans="8:9" ht="12" customHeight="1">
      <c r="H3735" s="133">
        <v>0.71469363571088507</v>
      </c>
      <c r="I3735" s="133">
        <v>0.2991414515727579</v>
      </c>
    </row>
    <row r="3736" spans="8:9" ht="12" customHeight="1">
      <c r="H3736" s="133">
        <v>0.7151461187944147</v>
      </c>
      <c r="I3736" s="133">
        <v>0.29935139348186529</v>
      </c>
    </row>
    <row r="3737" spans="8:9" ht="12" customHeight="1">
      <c r="H3737" s="133">
        <v>0.71539657974284776</v>
      </c>
      <c r="I3737" s="133">
        <v>0.29946763796940207</v>
      </c>
    </row>
    <row r="3738" spans="8:9" ht="12" customHeight="1">
      <c r="H3738" s="133">
        <v>0.71551636742225833</v>
      </c>
      <c r="I3738" s="133">
        <v>0.29952324322607066</v>
      </c>
    </row>
    <row r="3739" spans="8:9" ht="12" customHeight="1">
      <c r="H3739" s="133">
        <v>0.71573837142473729</v>
      </c>
      <c r="I3739" s="133">
        <v>0.29962631276688145</v>
      </c>
    </row>
    <row r="3740" spans="8:9" ht="12" customHeight="1">
      <c r="H3740" s="133">
        <v>0.71811072130933484</v>
      </c>
      <c r="I3740" s="133">
        <v>0.30072898655542429</v>
      </c>
    </row>
    <row r="3741" spans="8:9" ht="12" customHeight="1">
      <c r="H3741" s="133">
        <v>0.72010927976115824</v>
      </c>
      <c r="I3741" s="133">
        <v>0.30165971361337235</v>
      </c>
    </row>
    <row r="3742" spans="8:9" ht="12" customHeight="1">
      <c r="H3742" s="133">
        <v>0.72031804889035611</v>
      </c>
      <c r="I3742" s="133">
        <v>0.3017570315722311</v>
      </c>
    </row>
    <row r="3743" spans="8:9" ht="12" customHeight="1">
      <c r="H3743" s="133">
        <v>0.72069560731839366</v>
      </c>
      <c r="I3743" s="133">
        <v>0.3019330761123572</v>
      </c>
    </row>
    <row r="3744" spans="8:9" ht="12" customHeight="1">
      <c r="H3744" s="133">
        <v>0.72175576980539213</v>
      </c>
      <c r="I3744" s="133">
        <v>0.3024277105243115</v>
      </c>
    </row>
    <row r="3745" spans="8:9" ht="12" customHeight="1">
      <c r="H3745" s="133">
        <v>0.72192695384589989</v>
      </c>
      <c r="I3745" s="133">
        <v>0.30250762198845149</v>
      </c>
    </row>
    <row r="3746" spans="8:9" ht="12" customHeight="1">
      <c r="H3746" s="133">
        <v>0.72194996257070476</v>
      </c>
      <c r="I3746" s="133">
        <v>0.30251836374292501</v>
      </c>
    </row>
    <row r="3747" spans="8:9" ht="12" customHeight="1">
      <c r="H3747" s="133">
        <v>0.72234310646757616</v>
      </c>
      <c r="I3747" s="133">
        <v>0.30270193858343597</v>
      </c>
    </row>
    <row r="3748" spans="8:9" ht="12" customHeight="1">
      <c r="H3748" s="133">
        <v>0.72252203852004626</v>
      </c>
      <c r="I3748" s="133">
        <v>0.30278551009168747</v>
      </c>
    </row>
    <row r="3749" spans="8:9" ht="12" customHeight="1">
      <c r="H3749" s="133">
        <v>0.72310656087803971</v>
      </c>
      <c r="I3749" s="133">
        <v>0.30305860642056331</v>
      </c>
    </row>
    <row r="3750" spans="8:9" ht="12" customHeight="1">
      <c r="H3750" s="133">
        <v>0.72318558873414973</v>
      </c>
      <c r="I3750" s="133">
        <v>0.30309553992808774</v>
      </c>
    </row>
    <row r="3751" spans="8:9" ht="12" customHeight="1">
      <c r="H3751" s="133">
        <v>0.72367276806285208</v>
      </c>
      <c r="I3751" s="133">
        <v>0.30332327834971606</v>
      </c>
    </row>
    <row r="3752" spans="8:9" ht="12" customHeight="1">
      <c r="H3752" s="133">
        <v>0.72529593008377857</v>
      </c>
      <c r="I3752" s="133">
        <v>0.30408274347185643</v>
      </c>
    </row>
    <row r="3753" spans="8:9" ht="12" customHeight="1">
      <c r="H3753" s="133">
        <v>0.72604066451198668</v>
      </c>
      <c r="I3753" s="133">
        <v>0.30443155711075276</v>
      </c>
    </row>
    <row r="3754" spans="8:9" ht="12" customHeight="1">
      <c r="H3754" s="133">
        <v>0.72618413474497101</v>
      </c>
      <c r="I3754" s="133">
        <v>0.3044987805641638</v>
      </c>
    </row>
    <row r="3755" spans="8:9" ht="12" customHeight="1">
      <c r="H3755" s="133">
        <v>0.72619554913036433</v>
      </c>
      <c r="I3755" s="133">
        <v>0.30450412917065689</v>
      </c>
    </row>
    <row r="3756" spans="8:9" ht="12" customHeight="1">
      <c r="H3756" s="133">
        <v>0.72687786111174313</v>
      </c>
      <c r="I3756" s="133">
        <v>0.30482394604151525</v>
      </c>
    </row>
    <row r="3757" spans="8:9" ht="12" customHeight="1">
      <c r="H3757" s="133">
        <v>0.72765593238271931</v>
      </c>
      <c r="I3757" s="133">
        <v>0.30518887777120424</v>
      </c>
    </row>
    <row r="3758" spans="8:9" ht="12" customHeight="1">
      <c r="H3758" s="133">
        <v>0.72858176648795236</v>
      </c>
      <c r="I3758" s="133">
        <v>0.30562343237292261</v>
      </c>
    </row>
    <row r="3759" spans="8:9" ht="12" customHeight="1">
      <c r="H3759" s="133">
        <v>0.72872279362586623</v>
      </c>
      <c r="I3759" s="133">
        <v>0.30568965604424858</v>
      </c>
    </row>
    <row r="3760" spans="8:9" ht="12" customHeight="1">
      <c r="H3760" s="133">
        <v>0.72923801868400062</v>
      </c>
      <c r="I3760" s="133">
        <v>0.30593166421991508</v>
      </c>
    </row>
    <row r="3761" spans="8:9" ht="12" customHeight="1">
      <c r="H3761" s="133">
        <v>0.73085483988583377</v>
      </c>
      <c r="I3761" s="133">
        <v>0.30669180201461493</v>
      </c>
    </row>
    <row r="3762" spans="8:9" ht="12" customHeight="1">
      <c r="H3762" s="133">
        <v>0.73283632883709227</v>
      </c>
      <c r="I3762" s="133">
        <v>0.30762482040438655</v>
      </c>
    </row>
    <row r="3763" spans="8:9" ht="12" customHeight="1">
      <c r="H3763" s="133">
        <v>0.73297764066328852</v>
      </c>
      <c r="I3763" s="133">
        <v>0.30769141975738262</v>
      </c>
    </row>
    <row r="3764" spans="8:9" ht="12" customHeight="1">
      <c r="H3764" s="133">
        <v>0.73303772899738051</v>
      </c>
      <c r="I3764" s="133">
        <v>0.3077197414290978</v>
      </c>
    </row>
    <row r="3765" spans="8:9" ht="12" customHeight="1">
      <c r="H3765" s="133">
        <v>0.73359684436265804</v>
      </c>
      <c r="I3765" s="133">
        <v>0.30798334088728913</v>
      </c>
    </row>
    <row r="3766" spans="8:9" ht="12" customHeight="1">
      <c r="H3766" s="133">
        <v>0.73412787299820792</v>
      </c>
      <c r="I3766" s="133">
        <v>0.3082338146131684</v>
      </c>
    </row>
    <row r="3767" spans="8:9" ht="12" customHeight="1">
      <c r="H3767" s="133">
        <v>0.73456880774793143</v>
      </c>
      <c r="I3767" s="133">
        <v>0.3084418789656822</v>
      </c>
    </row>
    <row r="3768" spans="8:9" ht="12" customHeight="1">
      <c r="H3768" s="133">
        <v>0.73523545130556045</v>
      </c>
      <c r="I3768" s="133">
        <v>0.30875659645547326</v>
      </c>
    </row>
    <row r="3769" spans="8:9" ht="12" customHeight="1">
      <c r="H3769" s="133">
        <v>0.735911133020687</v>
      </c>
      <c r="I3769" s="133">
        <v>0.30907576202517373</v>
      </c>
    </row>
    <row r="3770" spans="8:9" ht="12" customHeight="1">
      <c r="H3770" s="133">
        <v>0.7361975019556396</v>
      </c>
      <c r="I3770" s="133">
        <v>0.30921108649222206</v>
      </c>
    </row>
    <row r="3771" spans="8:9" ht="12" customHeight="1">
      <c r="H3771" s="133">
        <v>0.73660687370145062</v>
      </c>
      <c r="I3771" s="133">
        <v>0.30940459311183954</v>
      </c>
    </row>
    <row r="3772" spans="8:9" ht="12" customHeight="1">
      <c r="H3772" s="133">
        <v>0.73669518360036557</v>
      </c>
      <c r="I3772" s="133">
        <v>0.30944634523066089</v>
      </c>
    </row>
    <row r="3773" spans="8:9" ht="12" customHeight="1">
      <c r="H3773" s="133">
        <v>0.73684758129341577</v>
      </c>
      <c r="I3773" s="133">
        <v>0.30951840478934073</v>
      </c>
    </row>
    <row r="3774" spans="8:9" ht="12" customHeight="1">
      <c r="H3774" s="133">
        <v>0.7378430433322124</v>
      </c>
      <c r="I3774" s="133">
        <v>0.30998932559183606</v>
      </c>
    </row>
    <row r="3775" spans="8:9" ht="12" customHeight="1">
      <c r="H3775" s="133">
        <v>0.73896243671491335</v>
      </c>
      <c r="I3775" s="133">
        <v>0.31051934529141334</v>
      </c>
    </row>
    <row r="3776" spans="8:9" ht="12" customHeight="1">
      <c r="H3776" s="133">
        <v>0.74125999109754781</v>
      </c>
      <c r="I3776" s="133">
        <v>0.31160876858884418</v>
      </c>
    </row>
    <row r="3777" spans="8:9" ht="12" customHeight="1">
      <c r="H3777" s="133">
        <v>0.7417825800932748</v>
      </c>
      <c r="I3777" s="133">
        <v>0.31185685463824336</v>
      </c>
    </row>
    <row r="3778" spans="8:9" ht="12" customHeight="1">
      <c r="H3778" s="133">
        <v>0.74208290554216161</v>
      </c>
      <c r="I3778" s="133">
        <v>0.31199947548751472</v>
      </c>
    </row>
    <row r="3779" spans="8:9" ht="12" customHeight="1">
      <c r="H3779" s="133">
        <v>0.74244940834729645</v>
      </c>
      <c r="I3779" s="133">
        <v>0.31217357142816582</v>
      </c>
    </row>
    <row r="3780" spans="8:9" ht="12" customHeight="1">
      <c r="H3780" s="133">
        <v>0.74298881742504663</v>
      </c>
      <c r="I3780" s="133">
        <v>0.31242989767312562</v>
      </c>
    </row>
    <row r="3781" spans="8:9" ht="12" customHeight="1">
      <c r="H3781" s="133">
        <v>0.74377960430544909</v>
      </c>
      <c r="I3781" s="133">
        <v>0.31280588567576195</v>
      </c>
    </row>
    <row r="3782" spans="8:9" ht="12" customHeight="1">
      <c r="H3782" s="133">
        <v>0.74449742090608462</v>
      </c>
      <c r="I3782" s="133">
        <v>0.31314739251861279</v>
      </c>
    </row>
    <row r="3783" spans="8:9" ht="12" customHeight="1">
      <c r="H3783" s="133">
        <v>0.74468555864721397</v>
      </c>
      <c r="I3783" s="133">
        <v>0.31323693406062691</v>
      </c>
    </row>
    <row r="3784" spans="8:9" ht="12" customHeight="1">
      <c r="H3784" s="133">
        <v>0.74476283210343086</v>
      </c>
      <c r="I3784" s="133">
        <v>0.31327371532185955</v>
      </c>
    </row>
    <row r="3785" spans="8:9" ht="12" customHeight="1">
      <c r="H3785" s="133">
        <v>0.7449955656721795</v>
      </c>
      <c r="I3785" s="133">
        <v>0.31338450796575307</v>
      </c>
    </row>
    <row r="3786" spans="8:9" ht="12" customHeight="1">
      <c r="H3786" s="133">
        <v>0.74540772263570487</v>
      </c>
      <c r="I3786" s="133">
        <v>0.31358076722985634</v>
      </c>
    </row>
    <row r="3787" spans="8:9" ht="12" customHeight="1">
      <c r="H3787" s="133">
        <v>0.74543619392516092</v>
      </c>
      <c r="I3787" s="133">
        <v>0.3135943270402255</v>
      </c>
    </row>
    <row r="3788" spans="8:9" ht="12" customHeight="1">
      <c r="H3788" s="133">
        <v>0.74594581769206536</v>
      </c>
      <c r="I3788" s="133">
        <v>0.31383709563289741</v>
      </c>
    </row>
    <row r="3789" spans="8:9" ht="12" customHeight="1">
      <c r="H3789" s="133">
        <v>0.74885548933521717</v>
      </c>
      <c r="I3789" s="133">
        <v>0.31522512074879205</v>
      </c>
    </row>
    <row r="3790" spans="8:9" ht="12" customHeight="1">
      <c r="H3790" s="133">
        <v>0.74900629918934247</v>
      </c>
      <c r="I3790" s="133">
        <v>0.31529715310994344</v>
      </c>
    </row>
    <row r="3791" spans="8:9" ht="12" customHeight="1">
      <c r="H3791" s="133">
        <v>0.74940015684803007</v>
      </c>
      <c r="I3791" s="133">
        <v>0.31548531595764467</v>
      </c>
    </row>
    <row r="3792" spans="8:9" ht="12" customHeight="1">
      <c r="H3792" s="133">
        <v>0.74943724239708742</v>
      </c>
      <c r="I3792" s="133">
        <v>0.31550303644757555</v>
      </c>
    </row>
    <row r="3793" spans="8:9" ht="12" customHeight="1">
      <c r="H3793" s="133">
        <v>0.75013556642787127</v>
      </c>
      <c r="I3793" s="133">
        <v>0.31583681490927051</v>
      </c>
    </row>
    <row r="3794" spans="8:9" ht="12" customHeight="1">
      <c r="H3794" s="133">
        <v>0.75027754332874619</v>
      </c>
      <c r="I3794" s="133">
        <v>0.31590469896543033</v>
      </c>
    </row>
    <row r="3795" spans="8:9" ht="12" customHeight="1">
      <c r="H3795" s="133">
        <v>0.75086149175379735</v>
      </c>
      <c r="I3795" s="133">
        <v>0.3161839874020167</v>
      </c>
    </row>
    <row r="3796" spans="8:9" ht="12" customHeight="1">
      <c r="H3796" s="133">
        <v>0.7534941247571495</v>
      </c>
      <c r="I3796" s="133">
        <v>0.31744475780519643</v>
      </c>
    </row>
    <row r="3797" spans="8:9" ht="12" customHeight="1">
      <c r="H3797" s="133">
        <v>0.75512457911011654</v>
      </c>
      <c r="I3797" s="133">
        <v>0.31822693070866021</v>
      </c>
    </row>
    <row r="3798" spans="8:9" ht="12" customHeight="1">
      <c r="H3798" s="133">
        <v>0.75558172353511865</v>
      </c>
      <c r="I3798" s="133">
        <v>0.31844641959598308</v>
      </c>
    </row>
    <row r="3799" spans="8:9" ht="12" customHeight="1">
      <c r="H3799" s="133">
        <v>0.75585134497845841</v>
      </c>
      <c r="I3799" s="133">
        <v>0.3185759108235704</v>
      </c>
    </row>
    <row r="3800" spans="8:9" ht="12" customHeight="1">
      <c r="H3800" s="133">
        <v>0.75598016713987826</v>
      </c>
      <c r="I3800" s="133">
        <v>0.31863779020598798</v>
      </c>
    </row>
    <row r="3801" spans="8:9" ht="12" customHeight="1">
      <c r="H3801" s="133">
        <v>0.75625089741839935</v>
      </c>
      <c r="I3801" s="133">
        <v>0.31876785562451171</v>
      </c>
    </row>
    <row r="3802" spans="8:9" ht="12" customHeight="1">
      <c r="H3802" s="133">
        <v>0.75842871493697961</v>
      </c>
      <c r="I3802" s="133">
        <v>0.31981515838427849</v>
      </c>
    </row>
    <row r="3803" spans="8:9" ht="12" customHeight="1">
      <c r="H3803" s="133">
        <v>0.75846240010338739</v>
      </c>
      <c r="I3803" s="133">
        <v>0.31983137174481752</v>
      </c>
    </row>
    <row r="3804" spans="8:9" ht="12" customHeight="1">
      <c r="H3804" s="133">
        <v>0.75849125086851676</v>
      </c>
      <c r="I3804" s="133">
        <v>0.31984525855518842</v>
      </c>
    </row>
    <row r="3805" spans="8:9" ht="12" customHeight="1">
      <c r="H3805" s="133">
        <v>0.75925403207507258</v>
      </c>
      <c r="I3805" s="133">
        <v>0.32021252572979741</v>
      </c>
    </row>
    <row r="3806" spans="8:9" ht="12" customHeight="1">
      <c r="H3806" s="133">
        <v>0.76173575814751071</v>
      </c>
      <c r="I3806" s="133">
        <v>0.32140897888828024</v>
      </c>
    </row>
    <row r="3807" spans="8:9" ht="12" customHeight="1">
      <c r="H3807" s="133">
        <v>0.76363548721153207</v>
      </c>
      <c r="I3807" s="133">
        <v>0.32232643605273958</v>
      </c>
    </row>
    <row r="3808" spans="8:9" ht="12" customHeight="1">
      <c r="H3808" s="133">
        <v>0.76418447751248664</v>
      </c>
      <c r="I3808" s="133">
        <v>0.32259182164748385</v>
      </c>
    </row>
    <row r="3809" spans="8:9" ht="12" customHeight="1">
      <c r="H3809" s="133">
        <v>0.76456393495247243</v>
      </c>
      <c r="I3809" s="133">
        <v>0.32277532079277294</v>
      </c>
    </row>
    <row r="3810" spans="8:9" ht="12" customHeight="1">
      <c r="H3810" s="133">
        <v>0.76474556486928225</v>
      </c>
      <c r="I3810" s="133">
        <v>0.32286317325252378</v>
      </c>
    </row>
    <row r="3811" spans="8:9" ht="12" customHeight="1">
      <c r="H3811" s="133">
        <v>0.7658011691668426</v>
      </c>
      <c r="I3811" s="133">
        <v>0.32337400529435861</v>
      </c>
    </row>
    <row r="3812" spans="8:9" ht="12" customHeight="1">
      <c r="H3812" s="133">
        <v>0.76760162893924344</v>
      </c>
      <c r="I3812" s="133">
        <v>0.32424626304474718</v>
      </c>
    </row>
    <row r="3813" spans="8:9" ht="12" customHeight="1">
      <c r="H3813" s="133">
        <v>0.76767241096960614</v>
      </c>
      <c r="I3813" s="133">
        <v>0.32428057938161653</v>
      </c>
    </row>
    <row r="3814" spans="8:9" ht="12" customHeight="1">
      <c r="H3814" s="133">
        <v>0.7686714466081056</v>
      </c>
      <c r="I3814" s="133">
        <v>0.32476513025980874</v>
      </c>
    </row>
    <row r="3815" spans="8:9" ht="12" customHeight="1">
      <c r="H3815" s="133">
        <v>0.7706894228827843</v>
      </c>
      <c r="I3815" s="133">
        <v>0.32574503089505846</v>
      </c>
    </row>
    <row r="3816" spans="8:9" ht="12" customHeight="1">
      <c r="H3816" s="133">
        <v>0.77080185968210313</v>
      </c>
      <c r="I3816" s="133">
        <v>0.32579967354745115</v>
      </c>
    </row>
    <row r="3817" spans="8:9" ht="12" customHeight="1">
      <c r="H3817" s="133">
        <v>0.77245822298820432</v>
      </c>
      <c r="I3817" s="133">
        <v>0.32660519031757346</v>
      </c>
    </row>
    <row r="3818" spans="8:9" ht="12" customHeight="1">
      <c r="H3818" s="133">
        <v>0.77296862446303172</v>
      </c>
      <c r="I3818" s="133">
        <v>0.32685361359629111</v>
      </c>
    </row>
    <row r="3819" spans="8:9" ht="12" customHeight="1">
      <c r="H3819" s="133">
        <v>0.77507178436894153</v>
      </c>
      <c r="I3819" s="133">
        <v>0.32787829038999255</v>
      </c>
    </row>
    <row r="3820" spans="8:9" ht="12" customHeight="1">
      <c r="H3820" s="133">
        <v>0.77597324280646995</v>
      </c>
      <c r="I3820" s="133">
        <v>0.32831799173001502</v>
      </c>
    </row>
    <row r="3821" spans="8:9" ht="12" customHeight="1">
      <c r="H3821" s="133">
        <v>0.77617023277344677</v>
      </c>
      <c r="I3821" s="133">
        <v>0.32841411698728407</v>
      </c>
    </row>
    <row r="3822" spans="8:9" ht="12" customHeight="1">
      <c r="H3822" s="133">
        <v>0.77619932628597288</v>
      </c>
      <c r="I3822" s="133">
        <v>0.32842831497668906</v>
      </c>
    </row>
    <row r="3823" spans="8:9" ht="12" customHeight="1">
      <c r="H3823" s="133">
        <v>0.7773040093469884</v>
      </c>
      <c r="I3823" s="133">
        <v>0.32896764565977671</v>
      </c>
    </row>
    <row r="3824" spans="8:9" ht="12" customHeight="1">
      <c r="H3824" s="133">
        <v>0.77775204729689584</v>
      </c>
      <c r="I3824" s="133">
        <v>0.32918651633160217</v>
      </c>
    </row>
    <row r="3825" spans="8:9" ht="12" customHeight="1">
      <c r="H3825" s="133">
        <v>0.77870923929190694</v>
      </c>
      <c r="I3825" s="133">
        <v>0.32965436174322205</v>
      </c>
    </row>
    <row r="3826" spans="8:9" ht="12" customHeight="1">
      <c r="H3826" s="133">
        <v>0.7798861051510394</v>
      </c>
      <c r="I3826" s="133">
        <v>0.33023003961009245</v>
      </c>
    </row>
    <row r="3827" spans="8:9" ht="12" customHeight="1">
      <c r="H3827" s="133">
        <v>0.78030039148034269</v>
      </c>
      <c r="I3827" s="133">
        <v>0.33043281391507395</v>
      </c>
    </row>
    <row r="3828" spans="8:9" ht="12" customHeight="1">
      <c r="H3828" s="133">
        <v>0.78342800733504248</v>
      </c>
      <c r="I3828" s="133">
        <v>0.33196567017894502</v>
      </c>
    </row>
    <row r="3829" spans="8:9" ht="12" customHeight="1">
      <c r="H3829" s="133">
        <v>0.78638408418083805</v>
      </c>
      <c r="I3829" s="133">
        <v>0.33341773570539707</v>
      </c>
    </row>
    <row r="3830" spans="8:9" ht="12" customHeight="1">
      <c r="H3830" s="133">
        <v>0.78647219144841374</v>
      </c>
      <c r="I3830" s="133">
        <v>0.33346106392110719</v>
      </c>
    </row>
    <row r="3831" spans="8:9" ht="12" customHeight="1">
      <c r="H3831" s="133">
        <v>0.78749350145878239</v>
      </c>
      <c r="I3831" s="133">
        <v>0.33396351530663587</v>
      </c>
    </row>
    <row r="3832" spans="8:9" ht="12" customHeight="1">
      <c r="H3832" s="133">
        <v>0.78857531961610838</v>
      </c>
      <c r="I3832" s="133">
        <v>0.33449614608165351</v>
      </c>
    </row>
    <row r="3833" spans="8:9" ht="12" customHeight="1">
      <c r="H3833" s="133">
        <v>0.79008602242017956</v>
      </c>
      <c r="I3833" s="133">
        <v>0.3352406434445287</v>
      </c>
    </row>
    <row r="3834" spans="8:9" ht="12" customHeight="1">
      <c r="H3834" s="133">
        <v>0.79285756657839301</v>
      </c>
      <c r="I3834" s="133">
        <v>0.33660863398969709</v>
      </c>
    </row>
    <row r="3835" spans="8:9" ht="12" customHeight="1">
      <c r="H3835" s="133">
        <v>0.7930381170777131</v>
      </c>
      <c r="I3835" s="133">
        <v>0.33669784626589477</v>
      </c>
    </row>
    <row r="3836" spans="8:9" ht="12" customHeight="1">
      <c r="H3836" s="133">
        <v>0.79337652420629168</v>
      </c>
      <c r="I3836" s="133">
        <v>0.33686508884336441</v>
      </c>
    </row>
    <row r="3837" spans="8:9" ht="12" customHeight="1">
      <c r="H3837" s="133">
        <v>0.79410579152232763</v>
      </c>
      <c r="I3837" s="133">
        <v>0.33722563544386308</v>
      </c>
    </row>
    <row r="3838" spans="8:9" ht="12" customHeight="1">
      <c r="H3838" s="133">
        <v>0.79461276429392258</v>
      </c>
      <c r="I3838" s="133">
        <v>0.33747639222997622</v>
      </c>
    </row>
    <row r="3839" spans="8:9" ht="12" customHeight="1">
      <c r="H3839" s="133">
        <v>0.79468967497344178</v>
      </c>
      <c r="I3839" s="133">
        <v>0.33751444146521081</v>
      </c>
    </row>
    <row r="3840" spans="8:9" ht="12" customHeight="1">
      <c r="H3840" s="133">
        <v>0.79509823830354642</v>
      </c>
      <c r="I3840" s="133">
        <v>0.33771660109989449</v>
      </c>
    </row>
    <row r="3841" spans="8:9" ht="12" customHeight="1">
      <c r="H3841" s="133">
        <v>0.79771518138489683</v>
      </c>
      <c r="I3841" s="133">
        <v>0.33901288503734239</v>
      </c>
    </row>
    <row r="3842" spans="8:9" ht="12" customHeight="1">
      <c r="H3842" s="133">
        <v>0.798368439404886</v>
      </c>
      <c r="I3842" s="133">
        <v>0.33933684956396282</v>
      </c>
    </row>
    <row r="3843" spans="8:9" ht="12" customHeight="1">
      <c r="H3843" s="133">
        <v>0.79857699896365164</v>
      </c>
      <c r="I3843" s="133">
        <v>0.33944031038395578</v>
      </c>
    </row>
    <row r="3844" spans="8:9" ht="12" customHeight="1">
      <c r="H3844" s="133">
        <v>0.79920870138297273</v>
      </c>
      <c r="I3844" s="133">
        <v>0.33975377458045875</v>
      </c>
    </row>
    <row r="3845" spans="8:9" ht="12" customHeight="1">
      <c r="H3845" s="133">
        <v>0.80074543167348</v>
      </c>
      <c r="I3845" s="133">
        <v>0.34051691887878272</v>
      </c>
    </row>
    <row r="3846" spans="8:9" ht="12" customHeight="1">
      <c r="H3846" s="133">
        <v>0.80083352787322604</v>
      </c>
      <c r="I3846" s="133">
        <v>0.3405606928093689</v>
      </c>
    </row>
    <row r="3847" spans="8:9" ht="12" customHeight="1">
      <c r="H3847" s="133">
        <v>0.80290185996761854</v>
      </c>
      <c r="I3847" s="133">
        <v>0.3415892024868723</v>
      </c>
    </row>
    <row r="3848" spans="8:9" ht="12" customHeight="1">
      <c r="H3848" s="133">
        <v>0.80425687656822531</v>
      </c>
      <c r="I3848" s="133">
        <v>0.34226381469514217</v>
      </c>
    </row>
    <row r="3849" spans="8:9" ht="12" customHeight="1">
      <c r="H3849" s="133">
        <v>0.80439590618723789</v>
      </c>
      <c r="I3849" s="133">
        <v>0.34233306850047457</v>
      </c>
    </row>
    <row r="3850" spans="8:9" ht="12" customHeight="1">
      <c r="H3850" s="133">
        <v>0.80571627443907967</v>
      </c>
      <c r="I3850" s="133">
        <v>0.34299110840197694</v>
      </c>
    </row>
    <row r="3851" spans="8:9" ht="12" customHeight="1">
      <c r="H3851" s="133">
        <v>0.80614069140518696</v>
      </c>
      <c r="I3851" s="133">
        <v>0.34320275601196137</v>
      </c>
    </row>
    <row r="3852" spans="8:9" ht="12" customHeight="1">
      <c r="H3852" s="133">
        <v>0.80711304272856166</v>
      </c>
      <c r="I3852" s="133">
        <v>0.34368788159350128</v>
      </c>
    </row>
    <row r="3853" spans="8:9" ht="12" customHeight="1">
      <c r="H3853" s="133">
        <v>0.80882110386843309</v>
      </c>
      <c r="I3853" s="133">
        <v>0.34454085734899703</v>
      </c>
    </row>
    <row r="3854" spans="8:9" ht="12" customHeight="1">
      <c r="H3854" s="133">
        <v>0.81029227044801866</v>
      </c>
      <c r="I3854" s="133">
        <v>0.34527633615754078</v>
      </c>
    </row>
    <row r="3855" spans="8:9" ht="12" customHeight="1">
      <c r="H3855" s="133">
        <v>0.81041361640551479</v>
      </c>
      <c r="I3855" s="133">
        <v>0.34533703364612212</v>
      </c>
    </row>
    <row r="3856" spans="8:9" ht="12" customHeight="1">
      <c r="H3856" s="133">
        <v>0.81054485375206553</v>
      </c>
      <c r="I3856" s="133">
        <v>0.34540268450140366</v>
      </c>
    </row>
    <row r="3857" spans="8:9" ht="12" customHeight="1">
      <c r="H3857" s="133">
        <v>0.81099552300448452</v>
      </c>
      <c r="I3857" s="133">
        <v>0.34562817450488587</v>
      </c>
    </row>
    <row r="3858" spans="8:9" ht="12" customHeight="1">
      <c r="H3858" s="133">
        <v>0.81136315616204768</v>
      </c>
      <c r="I3858" s="133">
        <v>0.3458121692565978</v>
      </c>
    </row>
    <row r="3859" spans="8:9" ht="12" customHeight="1">
      <c r="H3859" s="133">
        <v>0.81196906011847825</v>
      </c>
      <c r="I3859" s="133">
        <v>0.34611551559376053</v>
      </c>
    </row>
    <row r="3860" spans="8:9" ht="12" customHeight="1">
      <c r="H3860" s="133">
        <v>0.81252595875876754</v>
      </c>
      <c r="I3860" s="133">
        <v>0.34639443779075213</v>
      </c>
    </row>
    <row r="3861" spans="8:9" ht="12" customHeight="1">
      <c r="H3861" s="133">
        <v>0.8128063674749394</v>
      </c>
      <c r="I3861" s="133">
        <v>0.34653492023430266</v>
      </c>
    </row>
    <row r="3862" spans="8:9" ht="12" customHeight="1">
      <c r="H3862" s="133">
        <v>0.81334798129802299</v>
      </c>
      <c r="I3862" s="133">
        <v>0.34680634000081462</v>
      </c>
    </row>
    <row r="3863" spans="8:9" ht="12" customHeight="1">
      <c r="H3863" s="133">
        <v>0.81374878424615471</v>
      </c>
      <c r="I3863" s="133">
        <v>0.34700725917769271</v>
      </c>
    </row>
    <row r="3864" spans="8:9" ht="12" customHeight="1">
      <c r="H3864" s="133">
        <v>0.81386558407923626</v>
      </c>
      <c r="I3864" s="133">
        <v>0.34706582022325533</v>
      </c>
    </row>
    <row r="3865" spans="8:9" ht="12" customHeight="1">
      <c r="H3865" s="133">
        <v>0.81388464412802697</v>
      </c>
      <c r="I3865" s="133">
        <v>0.34707537698096658</v>
      </c>
    </row>
    <row r="3866" spans="8:9" ht="12" customHeight="1">
      <c r="H3866" s="133">
        <v>0.81446232195527923</v>
      </c>
      <c r="I3866" s="133">
        <v>0.34736508459201937</v>
      </c>
    </row>
    <row r="3867" spans="8:9" ht="12" customHeight="1">
      <c r="H3867" s="133">
        <v>0.81556455047918086</v>
      </c>
      <c r="I3867" s="133">
        <v>0.34791816988355351</v>
      </c>
    </row>
    <row r="3868" spans="8:9" ht="12" customHeight="1">
      <c r="H3868" s="133">
        <v>0.8167309910008258</v>
      </c>
      <c r="I3868" s="133">
        <v>0.3485039229611761</v>
      </c>
    </row>
    <row r="3869" spans="8:9" ht="12" customHeight="1">
      <c r="H3869" s="133">
        <v>0.81799700737066694</v>
      </c>
      <c r="I3869" s="133">
        <v>0.34914019871004531</v>
      </c>
    </row>
    <row r="3870" spans="8:9" ht="12" customHeight="1">
      <c r="H3870" s="133">
        <v>0.82005141913893953</v>
      </c>
      <c r="I3870" s="133">
        <v>0.35017385103403698</v>
      </c>
    </row>
    <row r="3871" spans="8:9" ht="12" customHeight="1">
      <c r="H3871" s="133">
        <v>0.82055988946725289</v>
      </c>
      <c r="I3871" s="133">
        <v>0.35042989950885478</v>
      </c>
    </row>
    <row r="3872" spans="8:9" ht="12" customHeight="1">
      <c r="H3872" s="133">
        <v>0.82076571273226429</v>
      </c>
      <c r="I3872" s="133">
        <v>0.3505335696611353</v>
      </c>
    </row>
    <row r="3873" spans="8:9" ht="12" customHeight="1">
      <c r="H3873" s="133">
        <v>0.82090225696849328</v>
      </c>
      <c r="I3873" s="133">
        <v>0.3506023527732951</v>
      </c>
    </row>
    <row r="3874" spans="8:9" ht="12" customHeight="1">
      <c r="H3874" s="133">
        <v>0.82151240552502869</v>
      </c>
      <c r="I3874" s="133">
        <v>0.35090978626517305</v>
      </c>
    </row>
    <row r="3875" spans="8:9" ht="12" customHeight="1">
      <c r="H3875" s="133">
        <v>0.8218618137468956</v>
      </c>
      <c r="I3875" s="133">
        <v>0.35108589715758071</v>
      </c>
    </row>
    <row r="3876" spans="8:9" ht="12" customHeight="1">
      <c r="H3876" s="133">
        <v>0.8222316812929692</v>
      </c>
      <c r="I3876" s="133">
        <v>0.35127236427009151</v>
      </c>
    </row>
    <row r="3877" spans="8:9" ht="12" customHeight="1">
      <c r="H3877" s="133">
        <v>0.82237610952293105</v>
      </c>
      <c r="I3877" s="133">
        <v>0.35134518946021104</v>
      </c>
    </row>
    <row r="3878" spans="8:9" ht="12" customHeight="1">
      <c r="H3878" s="133">
        <v>0.82265912267038088</v>
      </c>
      <c r="I3878" s="133">
        <v>0.3514879135225269</v>
      </c>
    </row>
    <row r="3879" spans="8:9" ht="12" customHeight="1">
      <c r="H3879" s="133">
        <v>0.8239159759380833</v>
      </c>
      <c r="I3879" s="133">
        <v>0.35212206745006225</v>
      </c>
    </row>
    <row r="3880" spans="8:9" ht="12" customHeight="1">
      <c r="H3880" s="133">
        <v>0.82393555954459829</v>
      </c>
      <c r="I3880" s="133">
        <v>0.3521319526260478</v>
      </c>
    </row>
    <row r="3881" spans="8:9" ht="12" customHeight="1">
      <c r="H3881" s="133">
        <v>0.82437330092912753</v>
      </c>
      <c r="I3881" s="133">
        <v>0.35235294347470902</v>
      </c>
    </row>
    <row r="3882" spans="8:9" ht="12" customHeight="1">
      <c r="H3882" s="133">
        <v>0.82526445785578739</v>
      </c>
      <c r="I3882" s="133">
        <v>0.35280303342567981</v>
      </c>
    </row>
    <row r="3883" spans="8:9" ht="12" customHeight="1">
      <c r="H3883" s="133">
        <v>0.8253907130781456</v>
      </c>
      <c r="I3883" s="133">
        <v>0.3528668213555175</v>
      </c>
    </row>
    <row r="3884" spans="8:9" ht="12" customHeight="1">
      <c r="H3884" s="133">
        <v>0.82554056820420629</v>
      </c>
      <c r="I3884" s="133">
        <v>0.35294253947099796</v>
      </c>
    </row>
    <row r="3885" spans="8:9" ht="12" customHeight="1">
      <c r="H3885" s="133">
        <v>0.82644679713903824</v>
      </c>
      <c r="I3885" s="133">
        <v>0.35340059194170631</v>
      </c>
    </row>
    <row r="3886" spans="8:9" ht="12" customHeight="1">
      <c r="H3886" s="133">
        <v>0.82717275803165391</v>
      </c>
      <c r="I3886" s="133">
        <v>0.35376772247372096</v>
      </c>
    </row>
    <row r="3887" spans="8:9" ht="12" customHeight="1">
      <c r="H3887" s="133">
        <v>0.82831025081011767</v>
      </c>
      <c r="I3887" s="133">
        <v>0.35434331832490418</v>
      </c>
    </row>
    <row r="3888" spans="8:9" ht="12" customHeight="1">
      <c r="H3888" s="133">
        <v>0.82860373578303814</v>
      </c>
      <c r="I3888" s="133">
        <v>0.35449189661245484</v>
      </c>
    </row>
    <row r="3889" spans="8:9" ht="12" customHeight="1">
      <c r="H3889" s="133">
        <v>0.82888616753814592</v>
      </c>
      <c r="I3889" s="133">
        <v>0.35463490566540623</v>
      </c>
    </row>
    <row r="3890" spans="8:9" ht="12" customHeight="1">
      <c r="H3890" s="133">
        <v>0.82935000993430885</v>
      </c>
      <c r="I3890" s="133">
        <v>0.35486982819521723</v>
      </c>
    </row>
    <row r="3891" spans="8:9" ht="12" customHeight="1">
      <c r="H3891" s="133">
        <v>0.83002189847528729</v>
      </c>
      <c r="I3891" s="133">
        <v>0.35521024407607432</v>
      </c>
    </row>
    <row r="3892" spans="8:9" ht="12" customHeight="1">
      <c r="H3892" s="133">
        <v>0.83023947969805489</v>
      </c>
      <c r="I3892" s="133">
        <v>0.35532051418579658</v>
      </c>
    </row>
    <row r="3893" spans="8:9" ht="12" customHeight="1">
      <c r="H3893" s="133">
        <v>0.83086711963810733</v>
      </c>
      <c r="I3893" s="133">
        <v>0.35563868798905518</v>
      </c>
    </row>
    <row r="3894" spans="8:9" ht="12" customHeight="1">
      <c r="H3894" s="133">
        <v>0.83167418990905573</v>
      </c>
      <c r="I3894" s="133">
        <v>0.35604800913324969</v>
      </c>
    </row>
    <row r="3895" spans="8:9" ht="12" customHeight="1">
      <c r="H3895" s="133">
        <v>0.83217318554432285</v>
      </c>
      <c r="I3895" s="133">
        <v>0.35630118966159385</v>
      </c>
    </row>
    <row r="3896" spans="8:9" ht="12" customHeight="1">
      <c r="H3896" s="133">
        <v>0.83228244823756625</v>
      </c>
      <c r="I3896" s="133">
        <v>0.35635663812088497</v>
      </c>
    </row>
    <row r="3897" spans="8:9" ht="12" customHeight="1">
      <c r="H3897" s="133">
        <v>0.83313684646432751</v>
      </c>
      <c r="I3897" s="133">
        <v>0.35679035949244614</v>
      </c>
    </row>
    <row r="3898" spans="8:9" ht="12" customHeight="1">
      <c r="H3898" s="133">
        <v>0.83455778657631952</v>
      </c>
      <c r="I3898" s="133">
        <v>0.35751219654950972</v>
      </c>
    </row>
    <row r="3899" spans="8:9" ht="12" customHeight="1">
      <c r="H3899" s="133">
        <v>0.83464017174401517</v>
      </c>
      <c r="I3899" s="133">
        <v>0.35755406805504536</v>
      </c>
    </row>
    <row r="3900" spans="8:9" ht="12" customHeight="1">
      <c r="H3900" s="133">
        <v>0.83475063892349877</v>
      </c>
      <c r="I3900" s="133">
        <v>0.35761021539795368</v>
      </c>
    </row>
    <row r="3901" spans="8:9" ht="12" customHeight="1">
      <c r="H3901" s="133">
        <v>0.83614539636125784</v>
      </c>
      <c r="I3901" s="133">
        <v>0.35831946692701422</v>
      </c>
    </row>
    <row r="3902" spans="8:9" ht="12" customHeight="1">
      <c r="H3902" s="133">
        <v>0.83777671139436383</v>
      </c>
      <c r="I3902" s="133">
        <v>0.35914979802065161</v>
      </c>
    </row>
    <row r="3903" spans="8:9" ht="12" customHeight="1">
      <c r="H3903" s="133">
        <v>0.83814748502238856</v>
      </c>
      <c r="I3903" s="133">
        <v>0.35933863787954606</v>
      </c>
    </row>
    <row r="3904" spans="8:9" ht="12" customHeight="1">
      <c r="H3904" s="133">
        <v>0.83943274447544891</v>
      </c>
      <c r="I3904" s="133">
        <v>0.35999357444389274</v>
      </c>
    </row>
    <row r="3905" spans="8:9" ht="12" customHeight="1">
      <c r="H3905" s="133">
        <v>0.8416926274040698</v>
      </c>
      <c r="I3905" s="133">
        <v>0.36114641906147876</v>
      </c>
    </row>
    <row r="3906" spans="8:9" ht="12" customHeight="1">
      <c r="H3906" s="133">
        <v>0.8430380172188191</v>
      </c>
      <c r="I3906" s="133">
        <v>0.36183351048433388</v>
      </c>
    </row>
    <row r="3907" spans="8:9" ht="12" customHeight="1">
      <c r="H3907" s="133">
        <v>0.84358936771573279</v>
      </c>
      <c r="I3907" s="133">
        <v>0.36211524900004866</v>
      </c>
    </row>
    <row r="3908" spans="8:9" ht="12" customHeight="1">
      <c r="H3908" s="133">
        <v>0.84404368954131848</v>
      </c>
      <c r="I3908" s="133">
        <v>0.36234747739240031</v>
      </c>
    </row>
    <row r="3909" spans="8:9" ht="12" customHeight="1">
      <c r="H3909" s="133">
        <v>0.84502297940158677</v>
      </c>
      <c r="I3909" s="133">
        <v>0.36284826374209017</v>
      </c>
    </row>
    <row r="3910" spans="8:9" ht="12" customHeight="1">
      <c r="H3910" s="133">
        <v>0.84522937431873613</v>
      </c>
      <c r="I3910" s="133">
        <v>0.36295384738201469</v>
      </c>
    </row>
    <row r="3911" spans="8:9" ht="12" customHeight="1">
      <c r="H3911" s="133">
        <v>0.84545587520529775</v>
      </c>
      <c r="I3911" s="133">
        <v>0.36306973166692036</v>
      </c>
    </row>
    <row r="3912" spans="8:9" ht="12" customHeight="1">
      <c r="H3912" s="133">
        <v>0.84612962414708648</v>
      </c>
      <c r="I3912" s="133">
        <v>0.36341453473819468</v>
      </c>
    </row>
    <row r="3913" spans="8:9" ht="12" customHeight="1">
      <c r="H3913" s="133">
        <v>0.84616409126984482</v>
      </c>
      <c r="I3913" s="133">
        <v>0.36343217768331881</v>
      </c>
    </row>
    <row r="3914" spans="8:9" ht="12" customHeight="1">
      <c r="H3914" s="133">
        <v>0.84671155805339082</v>
      </c>
      <c r="I3914" s="133">
        <v>0.36371246287114561</v>
      </c>
    </row>
    <row r="3915" spans="8:9" ht="12" customHeight="1">
      <c r="H3915" s="133">
        <v>0.84754277579073423</v>
      </c>
      <c r="I3915" s="133">
        <v>0.36413819621676186</v>
      </c>
    </row>
    <row r="3916" spans="8:9" ht="12" customHeight="1">
      <c r="H3916" s="133">
        <v>0.84769776302432864</v>
      </c>
      <c r="I3916" s="133">
        <v>0.36421760117988827</v>
      </c>
    </row>
    <row r="3917" spans="8:9" ht="12" customHeight="1">
      <c r="H3917" s="133">
        <v>0.84772817916127952</v>
      </c>
      <c r="I3917" s="133">
        <v>0.36423318521690751</v>
      </c>
    </row>
    <row r="3918" spans="8:9" ht="12" customHeight="1">
      <c r="H3918" s="133">
        <v>0.84826448368998719</v>
      </c>
      <c r="I3918" s="133">
        <v>0.36450801340221134</v>
      </c>
    </row>
    <row r="3919" spans="8:9" ht="12" customHeight="1">
      <c r="H3919" s="133">
        <v>0.84950410173967261</v>
      </c>
      <c r="I3919" s="133">
        <v>0.36514359120258338</v>
      </c>
    </row>
    <row r="3920" spans="8:9" ht="12" customHeight="1">
      <c r="H3920" s="133">
        <v>0.8498199388556984</v>
      </c>
      <c r="I3920" s="133">
        <v>0.36530560268127144</v>
      </c>
    </row>
    <row r="3921" spans="8:9" ht="12" customHeight="1">
      <c r="H3921" s="133">
        <v>0.84989054398644892</v>
      </c>
      <c r="I3921" s="133">
        <v>0.36534182438837459</v>
      </c>
    </row>
    <row r="3922" spans="8:9" ht="12" customHeight="1">
      <c r="H3922" s="133">
        <v>0.85015395159170304</v>
      </c>
      <c r="I3922" s="133">
        <v>0.36547697069218815</v>
      </c>
    </row>
    <row r="3923" spans="8:9" ht="12" customHeight="1">
      <c r="H3923" s="133">
        <v>0.85262821319090387</v>
      </c>
      <c r="I3923" s="133">
        <v>0.36674746992610041</v>
      </c>
    </row>
    <row r="3924" spans="8:9" ht="12" customHeight="1">
      <c r="H3924" s="133">
        <v>0.85273428756874481</v>
      </c>
      <c r="I3924" s="133">
        <v>0.36680197923191721</v>
      </c>
    </row>
    <row r="3925" spans="8:9" ht="12" customHeight="1">
      <c r="H3925" s="133">
        <v>0.8532936720922385</v>
      </c>
      <c r="I3925" s="133">
        <v>0.36708949106967692</v>
      </c>
    </row>
    <row r="3926" spans="8:9" ht="12" customHeight="1">
      <c r="H3926" s="133">
        <v>0.85369362346248334</v>
      </c>
      <c r="I3926" s="133">
        <v>0.36729511564583828</v>
      </c>
    </row>
    <row r="3927" spans="8:9" ht="12" customHeight="1">
      <c r="H3927" s="133">
        <v>0.85376226797865817</v>
      </c>
      <c r="I3927" s="133">
        <v>0.36733041229341862</v>
      </c>
    </row>
    <row r="3928" spans="8:9" ht="12" customHeight="1">
      <c r="H3928" s="133">
        <v>0.85396784934843784</v>
      </c>
      <c r="I3928" s="133">
        <v>0.36743612965590072</v>
      </c>
    </row>
    <row r="3929" spans="8:9" ht="12" customHeight="1">
      <c r="H3929" s="133">
        <v>0.85424739727754428</v>
      </c>
      <c r="I3929" s="133">
        <v>0.36757990374840371</v>
      </c>
    </row>
    <row r="3930" spans="8:9" ht="12" customHeight="1">
      <c r="H3930" s="133">
        <v>0.85574494664573453</v>
      </c>
      <c r="I3930" s="133">
        <v>0.36835050779872663</v>
      </c>
    </row>
    <row r="3931" spans="8:9" ht="12" customHeight="1">
      <c r="H3931" s="133">
        <v>0.85801315262661026</v>
      </c>
      <c r="I3931" s="133">
        <v>0.36951895355069342</v>
      </c>
    </row>
    <row r="3932" spans="8:9" ht="12" customHeight="1">
      <c r="H3932" s="133">
        <v>0.85861077314641288</v>
      </c>
      <c r="I3932" s="133">
        <v>0.36982706770311868</v>
      </c>
    </row>
    <row r="3933" spans="8:9" ht="12" customHeight="1">
      <c r="H3933" s="133">
        <v>0.85884688250477537</v>
      </c>
      <c r="I3933" s="133">
        <v>0.36994882743487173</v>
      </c>
    </row>
    <row r="3934" spans="8:9" ht="12" customHeight="1">
      <c r="H3934" s="133">
        <v>0.85995086726723546</v>
      </c>
      <c r="I3934" s="133">
        <v>0.37051836299503688</v>
      </c>
    </row>
    <row r="3935" spans="8:9" ht="12" customHeight="1">
      <c r="H3935" s="133">
        <v>0.8600984326737231</v>
      </c>
      <c r="I3935" s="133">
        <v>0.37059451796215886</v>
      </c>
    </row>
    <row r="3936" spans="8:9" ht="12" customHeight="1">
      <c r="H3936" s="133">
        <v>0.86055816250503447</v>
      </c>
      <c r="I3936" s="133">
        <v>0.37083181474365562</v>
      </c>
    </row>
    <row r="3937" spans="8:9" ht="12" customHeight="1">
      <c r="H3937" s="133">
        <v>0.86156182964374406</v>
      </c>
      <c r="I3937" s="133">
        <v>0.37135008988351265</v>
      </c>
    </row>
    <row r="3938" spans="8:9" ht="12" customHeight="1">
      <c r="H3938" s="133">
        <v>0.86236913145658101</v>
      </c>
      <c r="I3938" s="133">
        <v>0.37176718060884423</v>
      </c>
    </row>
    <row r="3939" spans="8:9" ht="12" customHeight="1">
      <c r="H3939" s="133">
        <v>0.86263513369194655</v>
      </c>
      <c r="I3939" s="133">
        <v>0.3719046519716544</v>
      </c>
    </row>
    <row r="3940" spans="8:9" ht="12" customHeight="1">
      <c r="H3940" s="133">
        <v>0.86369715527510116</v>
      </c>
      <c r="I3940" s="133">
        <v>0.3724537167574784</v>
      </c>
    </row>
    <row r="3941" spans="8:9" ht="12" customHeight="1">
      <c r="H3941" s="133">
        <v>0.8642780600628287</v>
      </c>
      <c r="I3941" s="133">
        <v>0.37275418369485641</v>
      </c>
    </row>
    <row r="3942" spans="8:9" ht="12" customHeight="1">
      <c r="H3942" s="133">
        <v>0.86440824394197646</v>
      </c>
      <c r="I3942" s="133">
        <v>0.37282153343754804</v>
      </c>
    </row>
    <row r="3943" spans="8:9" ht="12" customHeight="1">
      <c r="H3943" s="133">
        <v>0.86498422538879594</v>
      </c>
      <c r="I3943" s="133">
        <v>0.37311957269713741</v>
      </c>
    </row>
    <row r="3944" spans="8:9" ht="12" customHeight="1">
      <c r="H3944" s="133">
        <v>0.8654479641665952</v>
      </c>
      <c r="I3944" s="133">
        <v>0.37335960250514694</v>
      </c>
    </row>
    <row r="3945" spans="8:9" ht="12" customHeight="1">
      <c r="H3945" s="133">
        <v>0.8660005583846565</v>
      </c>
      <c r="I3945" s="133">
        <v>0.37364570507937817</v>
      </c>
    </row>
    <row r="3946" spans="8:9" ht="12" customHeight="1">
      <c r="H3946" s="133">
        <v>0.86600791855054704</v>
      </c>
      <c r="I3946" s="133">
        <v>0.37364951636124338</v>
      </c>
    </row>
    <row r="3947" spans="8:9" ht="12" customHeight="1">
      <c r="H3947" s="133">
        <v>0.86715961035562972</v>
      </c>
      <c r="I3947" s="133">
        <v>0.37424608477189608</v>
      </c>
    </row>
    <row r="3948" spans="8:9" ht="12" customHeight="1">
      <c r="H3948" s="133">
        <v>0.86779115432293996</v>
      </c>
      <c r="I3948" s="133">
        <v>0.37457338265852008</v>
      </c>
    </row>
    <row r="3949" spans="8:9" ht="12" customHeight="1">
      <c r="H3949" s="133">
        <v>0.86867211038805048</v>
      </c>
      <c r="I3949" s="133">
        <v>0.375030130068366</v>
      </c>
    </row>
    <row r="3950" spans="8:9" ht="12" customHeight="1">
      <c r="H3950" s="133">
        <v>0.86954632400646681</v>
      </c>
      <c r="I3950" s="133">
        <v>0.37548360176304768</v>
      </c>
    </row>
    <row r="3951" spans="8:9" ht="12" customHeight="1">
      <c r="H3951" s="133">
        <v>0.86963547560921872</v>
      </c>
      <c r="I3951" s="133">
        <v>0.37552985873075051</v>
      </c>
    </row>
    <row r="3952" spans="8:9" ht="12" customHeight="1">
      <c r="H3952" s="133">
        <v>0.87113540220750274</v>
      </c>
      <c r="I3952" s="133">
        <v>0.37630844674475417</v>
      </c>
    </row>
    <row r="3953" spans="8:9" ht="12" customHeight="1">
      <c r="H3953" s="133">
        <v>0.87302490129978783</v>
      </c>
      <c r="I3953" s="133">
        <v>0.37729016539300614</v>
      </c>
    </row>
    <row r="3954" spans="8:9" ht="12" customHeight="1">
      <c r="H3954" s="133">
        <v>0.87367553814680943</v>
      </c>
      <c r="I3954" s="133">
        <v>0.37762844750459745</v>
      </c>
    </row>
    <row r="3955" spans="8:9" ht="12" customHeight="1">
      <c r="H3955" s="133">
        <v>0.87649184193406093</v>
      </c>
      <c r="I3955" s="133">
        <v>0.37909408423449115</v>
      </c>
    </row>
    <row r="3956" spans="8:9" ht="12" customHeight="1">
      <c r="H3956" s="133">
        <v>0.87736620682028932</v>
      </c>
      <c r="I3956" s="133">
        <v>0.37954956442294352</v>
      </c>
    </row>
    <row r="3957" spans="8:9" ht="12" customHeight="1">
      <c r="H3957" s="133">
        <v>0.87767667097995805</v>
      </c>
      <c r="I3957" s="133">
        <v>0.37971134467178974</v>
      </c>
    </row>
    <row r="3958" spans="8:9" ht="12" customHeight="1">
      <c r="H3958" s="133">
        <v>0.87939215128348958</v>
      </c>
      <c r="I3958" s="133">
        <v>0.38060574814407977</v>
      </c>
    </row>
    <row r="3959" spans="8:9" ht="12" customHeight="1">
      <c r="H3959" s="133">
        <v>0.87974782464258194</v>
      </c>
      <c r="I3959" s="133">
        <v>0.38079128797349765</v>
      </c>
    </row>
    <row r="3960" spans="8:9" ht="12" customHeight="1">
      <c r="H3960" s="133">
        <v>0.88116129232226137</v>
      </c>
      <c r="I3960" s="133">
        <v>0.38152897823520376</v>
      </c>
    </row>
    <row r="3961" spans="8:9" ht="12" customHeight="1">
      <c r="H3961" s="133">
        <v>0.88182893216763236</v>
      </c>
      <c r="I3961" s="133">
        <v>0.38187761050472002</v>
      </c>
    </row>
    <row r="3962" spans="8:9" ht="12" customHeight="1">
      <c r="H3962" s="133">
        <v>0.88261060132590596</v>
      </c>
      <c r="I3962" s="133">
        <v>0.38228594191659171</v>
      </c>
    </row>
    <row r="3963" spans="8:9" ht="12" customHeight="1">
      <c r="H3963" s="133">
        <v>0.88299125955971214</v>
      </c>
      <c r="I3963" s="133">
        <v>0.38248485190529585</v>
      </c>
    </row>
    <row r="3964" spans="8:9" ht="12" customHeight="1">
      <c r="H3964" s="133">
        <v>0.88347941221113613</v>
      </c>
      <c r="I3964" s="133">
        <v>0.38273998988379554</v>
      </c>
    </row>
    <row r="3965" spans="8:9" ht="12" customHeight="1">
      <c r="H3965" s="133">
        <v>0.88540988250712849</v>
      </c>
      <c r="I3965" s="133">
        <v>0.38374960196304442</v>
      </c>
    </row>
    <row r="3966" spans="8:9" ht="12" customHeight="1">
      <c r="H3966" s="133">
        <v>0.88565604440683365</v>
      </c>
      <c r="I3966" s="133">
        <v>0.38387841386456806</v>
      </c>
    </row>
    <row r="3967" spans="8:9" ht="12" customHeight="1">
      <c r="H3967" s="133">
        <v>0.88591256997986567</v>
      </c>
      <c r="I3967" s="133">
        <v>0.38401266621988489</v>
      </c>
    </row>
    <row r="3968" spans="8:9" ht="12" customHeight="1">
      <c r="H3968" s="133">
        <v>0.8865430271462863</v>
      </c>
      <c r="I3968" s="133">
        <v>0.38434269030601181</v>
      </c>
    </row>
    <row r="3969" spans="8:9" ht="12" customHeight="1">
      <c r="H3969" s="133">
        <v>0.88832602120429005</v>
      </c>
      <c r="I3969" s="133">
        <v>0.385276606096007</v>
      </c>
    </row>
    <row r="3970" spans="8:9" ht="12" customHeight="1">
      <c r="H3970" s="133">
        <v>0.89091765577683091</v>
      </c>
      <c r="I3970" s="133">
        <v>0.3866355867289058</v>
      </c>
    </row>
    <row r="3971" spans="8:9" ht="12" customHeight="1">
      <c r="H3971" s="133">
        <v>0.89185275741769232</v>
      </c>
      <c r="I3971" s="133">
        <v>0.3871263628885484</v>
      </c>
    </row>
    <row r="3972" spans="8:9" ht="12" customHeight="1">
      <c r="H3972" s="133">
        <v>0.89232020403685264</v>
      </c>
      <c r="I3972" s="133">
        <v>0.38737178229023234</v>
      </c>
    </row>
    <row r="3973" spans="8:9" ht="12" customHeight="1">
      <c r="H3973" s="133">
        <v>0.89315723124181423</v>
      </c>
      <c r="I3973" s="133">
        <v>0.38781138214813532</v>
      </c>
    </row>
    <row r="3974" spans="8:9" ht="12" customHeight="1">
      <c r="H3974" s="133">
        <v>0.89326933078977044</v>
      </c>
      <c r="I3974" s="133">
        <v>0.3878702698035692</v>
      </c>
    </row>
    <row r="3975" spans="8:9" ht="12" customHeight="1">
      <c r="H3975" s="133">
        <v>0.89472140347094398</v>
      </c>
      <c r="I3975" s="133">
        <v>0.38863336188940129</v>
      </c>
    </row>
    <row r="3976" spans="8:9" ht="12" customHeight="1">
      <c r="H3976" s="133">
        <v>0.89647938569806274</v>
      </c>
      <c r="I3976" s="133">
        <v>0.38955794602043275</v>
      </c>
    </row>
    <row r="3977" spans="8:9" ht="12" customHeight="1">
      <c r="H3977" s="133">
        <v>0.89685692754814783</v>
      </c>
      <c r="I3977" s="133">
        <v>0.38975661230649827</v>
      </c>
    </row>
    <row r="3978" spans="8:9" ht="12" customHeight="1">
      <c r="H3978" s="133">
        <v>0.89737507804494354</v>
      </c>
      <c r="I3978" s="133">
        <v>0.39002932782819622</v>
      </c>
    </row>
    <row r="3979" spans="8:9" ht="12" customHeight="1">
      <c r="H3979" s="133">
        <v>0.89754913367769329</v>
      </c>
      <c r="I3979" s="133">
        <v>0.39012095308539435</v>
      </c>
    </row>
    <row r="3980" spans="8:9" ht="12" customHeight="1">
      <c r="H3980" s="133">
        <v>0.89804749296265574</v>
      </c>
      <c r="I3980" s="133">
        <v>0.3903833390736195</v>
      </c>
    </row>
    <row r="3981" spans="8:9" ht="12" customHeight="1">
      <c r="H3981" s="133">
        <v>0.89823626766676168</v>
      </c>
      <c r="I3981" s="133">
        <v>0.39048274546220274</v>
      </c>
    </row>
    <row r="3982" spans="8:9" ht="12" customHeight="1">
      <c r="H3982" s="133">
        <v>0.89828698495236559</v>
      </c>
      <c r="I3982" s="133">
        <v>0.39050945409817844</v>
      </c>
    </row>
    <row r="3983" spans="8:9" ht="12" customHeight="1">
      <c r="H3983" s="133">
        <v>0.8988383243060355</v>
      </c>
      <c r="I3983" s="133">
        <v>0.39079984164876835</v>
      </c>
    </row>
    <row r="3984" spans="8:9" ht="12" customHeight="1">
      <c r="H3984" s="133">
        <v>0.89923253045176998</v>
      </c>
      <c r="I3984" s="133">
        <v>0.39100751541273376</v>
      </c>
    </row>
    <row r="3985" spans="8:9" ht="12" customHeight="1">
      <c r="H3985" s="133">
        <v>0.89954614038475922</v>
      </c>
      <c r="I3985" s="133">
        <v>0.39117275807915886</v>
      </c>
    </row>
    <row r="3986" spans="8:9" ht="12" customHeight="1">
      <c r="H3986" s="133">
        <v>0.89965249314374429</v>
      </c>
      <c r="I3986" s="133">
        <v>0.39122880155686074</v>
      </c>
    </row>
    <row r="3987" spans="8:9" ht="12" customHeight="1">
      <c r="H3987" s="133">
        <v>0.90062810908334667</v>
      </c>
      <c r="I3987" s="133">
        <v>0.39174304425800932</v>
      </c>
    </row>
    <row r="3988" spans="8:9" ht="12" customHeight="1">
      <c r="H3988" s="133">
        <v>0.90089955261778465</v>
      </c>
      <c r="I3988" s="133">
        <v>0.3918861636959875</v>
      </c>
    </row>
    <row r="3989" spans="8:9" ht="12" customHeight="1">
      <c r="H3989" s="133">
        <v>0.90136595001012865</v>
      </c>
      <c r="I3989" s="133">
        <v>0.3921321165484638</v>
      </c>
    </row>
    <row r="3990" spans="8:9" ht="12" customHeight="1">
      <c r="H3990" s="133">
        <v>0.90184453781562102</v>
      </c>
      <c r="I3990" s="133">
        <v>0.39238455489484875</v>
      </c>
    </row>
    <row r="3991" spans="8:9" ht="12" customHeight="1">
      <c r="H3991" s="133">
        <v>0.90198563475053961</v>
      </c>
      <c r="I3991" s="133">
        <v>0.3924589895864975</v>
      </c>
    </row>
    <row r="3992" spans="8:9" ht="12" customHeight="1">
      <c r="H3992" s="133">
        <v>0.90205344333873783</v>
      </c>
      <c r="I3992" s="133">
        <v>0.39249476330677047</v>
      </c>
    </row>
    <row r="3993" spans="8:9" ht="12" customHeight="1">
      <c r="H3993" s="133">
        <v>0.90229628560837638</v>
      </c>
      <c r="I3993" s="133">
        <v>0.39262288886487007</v>
      </c>
    </row>
    <row r="3994" spans="8:9" ht="12" customHeight="1">
      <c r="H3994" s="133">
        <v>0.90278682561787604</v>
      </c>
      <c r="I3994" s="133">
        <v>0.39288174684797517</v>
      </c>
    </row>
    <row r="3995" spans="8:9" ht="12" customHeight="1">
      <c r="H3995" s="133">
        <v>0.9042661651078775</v>
      </c>
      <c r="I3995" s="133">
        <v>0.39366275833343323</v>
      </c>
    </row>
    <row r="3996" spans="8:9" ht="12" customHeight="1">
      <c r="H3996" s="133">
        <v>0.90445895713857205</v>
      </c>
      <c r="I3996" s="133">
        <v>0.39376458226549538</v>
      </c>
    </row>
    <row r="3997" spans="8:9" ht="12" customHeight="1">
      <c r="H3997" s="133">
        <v>0.90446932821216663</v>
      </c>
      <c r="I3997" s="133">
        <v>0.39377006005384352</v>
      </c>
    </row>
    <row r="3998" spans="8:9" ht="12" customHeight="1">
      <c r="H3998" s="133">
        <v>0.90567140634987964</v>
      </c>
      <c r="I3998" s="133">
        <v>0.39440515368356338</v>
      </c>
    </row>
    <row r="3999" spans="8:9" ht="12" customHeight="1">
      <c r="H3999" s="133">
        <v>0.90689805529755863</v>
      </c>
      <c r="I3999" s="133">
        <v>0.39505359663947559</v>
      </c>
    </row>
    <row r="4000" spans="8:9" ht="12" customHeight="1">
      <c r="H4000" s="133">
        <v>0.90806679502988041</v>
      </c>
      <c r="I4000" s="133">
        <v>0.39567177084669664</v>
      </c>
    </row>
    <row r="4001" spans="8:9" ht="12" customHeight="1">
      <c r="H4001" s="133">
        <v>0.90837353872760918</v>
      </c>
      <c r="I4001" s="133">
        <v>0.39583407022262002</v>
      </c>
    </row>
    <row r="4002" spans="8:9" ht="12" customHeight="1">
      <c r="H4002" s="133">
        <v>0.90860979538565168</v>
      </c>
      <c r="I4002" s="133">
        <v>0.39595909025747061</v>
      </c>
    </row>
    <row r="4003" spans="8:9" ht="12" customHeight="1">
      <c r="H4003" s="133">
        <v>0.90919847061595138</v>
      </c>
      <c r="I4003" s="133">
        <v>0.39627065890273511</v>
      </c>
    </row>
    <row r="4004" spans="8:9" ht="12" customHeight="1">
      <c r="H4004" s="133">
        <v>0.90953091557644783</v>
      </c>
      <c r="I4004" s="133">
        <v>0.39644664955046155</v>
      </c>
    </row>
    <row r="4005" spans="8:9" ht="12" customHeight="1">
      <c r="H4005" s="133">
        <v>0.90983949134985498</v>
      </c>
      <c r="I4005" s="133">
        <v>0.39661002825576158</v>
      </c>
    </row>
    <row r="4006" spans="8:9" ht="12" customHeight="1">
      <c r="H4006" s="133">
        <v>0.91056571800925334</v>
      </c>
      <c r="I4006" s="133">
        <v>0.39699462760663262</v>
      </c>
    </row>
    <row r="4007" spans="8:9" ht="12" customHeight="1">
      <c r="H4007" s="133">
        <v>0.91093708582758237</v>
      </c>
      <c r="I4007" s="133">
        <v>0.39719134797544103</v>
      </c>
    </row>
    <row r="4008" spans="8:9" ht="12" customHeight="1">
      <c r="H4008" s="133">
        <v>0.91164179525172917</v>
      </c>
      <c r="I4008" s="133">
        <v>0.39756473686408272</v>
      </c>
    </row>
    <row r="4009" spans="8:9" ht="12" customHeight="1">
      <c r="H4009" s="133">
        <v>0.912801751828208</v>
      </c>
      <c r="I4009" s="133">
        <v>0.39817959715174911</v>
      </c>
    </row>
    <row r="4010" spans="8:9" ht="12" customHeight="1">
      <c r="H4010" s="133">
        <v>0.91281386669122255</v>
      </c>
      <c r="I4010" s="133">
        <v>0.39818602059838626</v>
      </c>
    </row>
    <row r="4011" spans="8:9" ht="12" customHeight="1">
      <c r="H4011" s="133">
        <v>0.91287737089159104</v>
      </c>
      <c r="I4011" s="133">
        <v>0.39821969186566331</v>
      </c>
    </row>
    <row r="4012" spans="8:9" ht="12" customHeight="1">
      <c r="H4012" s="133">
        <v>0.91311664612979992</v>
      </c>
      <c r="I4012" s="133">
        <v>0.39834656929514611</v>
      </c>
    </row>
    <row r="4013" spans="8:9" ht="12" customHeight="1">
      <c r="H4013" s="133">
        <v>0.91373191518284613</v>
      </c>
      <c r="I4013" s="133">
        <v>0.39867288284254065</v>
      </c>
    </row>
    <row r="4014" spans="8:9" ht="12" customHeight="1">
      <c r="H4014" s="133">
        <v>0.91498780534730695</v>
      </c>
      <c r="I4014" s="133">
        <v>0.39933923480716782</v>
      </c>
    </row>
    <row r="4015" spans="8:9" ht="12" customHeight="1">
      <c r="H4015" s="133">
        <v>0.91592138662111255</v>
      </c>
      <c r="I4015" s="133">
        <v>0.39983481741091764</v>
      </c>
    </row>
    <row r="4016" spans="8:9" ht="12" customHeight="1">
      <c r="H4016" s="133">
        <v>0.91688740757720022</v>
      </c>
      <c r="I4016" s="133">
        <v>0.40034783622995507</v>
      </c>
    </row>
    <row r="4017" spans="8:9" ht="12" customHeight="1">
      <c r="H4017" s="133">
        <v>0.91701626655503177</v>
      </c>
      <c r="I4017" s="133">
        <v>0.40041628512261646</v>
      </c>
    </row>
    <row r="4018" spans="8:9" ht="12" customHeight="1">
      <c r="H4018" s="133">
        <v>0.91728576864814271</v>
      </c>
      <c r="I4018" s="133">
        <v>0.4005594551136612</v>
      </c>
    </row>
    <row r="4019" spans="8:9" ht="12" customHeight="1">
      <c r="H4019" s="133">
        <v>0.91815578441078849</v>
      </c>
      <c r="I4019" s="133">
        <v>0.40102175708796828</v>
      </c>
    </row>
    <row r="4020" spans="8:9" ht="12" customHeight="1">
      <c r="H4020" s="133">
        <v>0.91858390058899786</v>
      </c>
      <c r="I4020" s="133">
        <v>0.40124931074944148</v>
      </c>
    </row>
    <row r="4021" spans="8:9" ht="12" customHeight="1">
      <c r="H4021" s="133">
        <v>0.92110071263041193</v>
      </c>
      <c r="I4021" s="133">
        <v>0.40258791251357601</v>
      </c>
    </row>
    <row r="4022" spans="8:9" ht="12" customHeight="1">
      <c r="H4022" s="133">
        <v>0.92147694403415314</v>
      </c>
      <c r="I4022" s="133">
        <v>0.40278814174979766</v>
      </c>
    </row>
    <row r="4023" spans="8:9" ht="12" customHeight="1">
      <c r="H4023" s="133">
        <v>0.92275776798149833</v>
      </c>
      <c r="I4023" s="133">
        <v>0.40347003505435775</v>
      </c>
    </row>
    <row r="4024" spans="8:9" ht="12" customHeight="1">
      <c r="H4024" s="133">
        <v>0.92277054835030914</v>
      </c>
      <c r="I4024" s="133">
        <v>0.40347684103390652</v>
      </c>
    </row>
    <row r="4025" spans="8:9" ht="12" customHeight="1">
      <c r="H4025" s="133">
        <v>0.92278311252140754</v>
      </c>
      <c r="I4025" s="133">
        <v>0.40348353191706199</v>
      </c>
    </row>
    <row r="4026" spans="8:9" ht="12" customHeight="1">
      <c r="H4026" s="133">
        <v>0.92306006992434708</v>
      </c>
      <c r="I4026" s="133">
        <v>0.40363103103413295</v>
      </c>
    </row>
    <row r="4027" spans="8:9" ht="12" customHeight="1">
      <c r="H4027" s="133">
        <v>0.9236500470238469</v>
      </c>
      <c r="I4027" s="133">
        <v>0.40394529300664028</v>
      </c>
    </row>
    <row r="4028" spans="8:9" ht="12" customHeight="1">
      <c r="H4028" s="133">
        <v>0.92389883594272915</v>
      </c>
      <c r="I4028" s="133">
        <v>0.40407783856445401</v>
      </c>
    </row>
    <row r="4029" spans="8:9" ht="12" customHeight="1">
      <c r="H4029" s="133">
        <v>0.92542133635991519</v>
      </c>
      <c r="I4029" s="133">
        <v>0.40488927490272469</v>
      </c>
    </row>
    <row r="4030" spans="8:9" ht="12" customHeight="1">
      <c r="H4030" s="133">
        <v>0.9257056870366499</v>
      </c>
      <c r="I4030" s="133">
        <v>0.40504088104888836</v>
      </c>
    </row>
    <row r="4031" spans="8:9" ht="12" customHeight="1">
      <c r="H4031" s="133">
        <v>0.92578851547078467</v>
      </c>
      <c r="I4031" s="133">
        <v>0.40508504577177873</v>
      </c>
    </row>
    <row r="4032" spans="8:9" ht="12" customHeight="1">
      <c r="H4032" s="133">
        <v>0.92810438233062009</v>
      </c>
      <c r="I4032" s="133">
        <v>0.40632050245467055</v>
      </c>
    </row>
    <row r="4033" spans="8:9" ht="12" customHeight="1">
      <c r="H4033" s="133">
        <v>0.92822310804596186</v>
      </c>
      <c r="I4033" s="133">
        <v>0.40638387173653256</v>
      </c>
    </row>
    <row r="4034" spans="8:9" ht="12" customHeight="1">
      <c r="H4034" s="133">
        <v>0.92917556076271124</v>
      </c>
      <c r="I4034" s="133">
        <v>0.40689235144443414</v>
      </c>
    </row>
    <row r="4035" spans="8:9" ht="12" customHeight="1">
      <c r="H4035" s="133">
        <v>0.92961913606516255</v>
      </c>
      <c r="I4035" s="133">
        <v>0.40712922827247083</v>
      </c>
    </row>
    <row r="4036" spans="8:9" ht="12" customHeight="1">
      <c r="H4036" s="133">
        <v>0.92970960271292913</v>
      </c>
      <c r="I4036" s="133">
        <v>0.40717754432109832</v>
      </c>
    </row>
    <row r="4037" spans="8:9" ht="12" customHeight="1">
      <c r="H4037" s="133">
        <v>0.93123109439615392</v>
      </c>
      <c r="I4037" s="133">
        <v>0.4079904045689029</v>
      </c>
    </row>
    <row r="4038" spans="8:9" ht="12" customHeight="1">
      <c r="H4038" s="133">
        <v>0.93154603030765193</v>
      </c>
      <c r="I4038" s="133">
        <v>0.40815872282610105</v>
      </c>
    </row>
    <row r="4039" spans="8:9" ht="12" customHeight="1">
      <c r="H4039" s="133">
        <v>0.93209762269923935</v>
      </c>
      <c r="I4039" s="133">
        <v>0.40845357460073478</v>
      </c>
    </row>
    <row r="4040" spans="8:9" ht="12" customHeight="1">
      <c r="H4040" s="133">
        <v>0.93209996733966893</v>
      </c>
      <c r="I4040" s="133">
        <v>0.40845482806081918</v>
      </c>
    </row>
    <row r="4041" spans="8:9" ht="12" customHeight="1">
      <c r="H4041" s="133">
        <v>0.93702720508340043</v>
      </c>
      <c r="I4041" s="133">
        <v>0.41109156820240383</v>
      </c>
    </row>
    <row r="4042" spans="8:9" ht="12" customHeight="1">
      <c r="H4042" s="133">
        <v>0.9382093551791687</v>
      </c>
      <c r="I4042" s="133">
        <v>0.41172494513219954</v>
      </c>
    </row>
    <row r="4043" spans="8:9" ht="12" customHeight="1">
      <c r="H4043" s="133">
        <v>0.93879820627184618</v>
      </c>
      <c r="I4043" s="133">
        <v>0.41204055131820122</v>
      </c>
    </row>
    <row r="4044" spans="8:9" ht="12" customHeight="1">
      <c r="H4044" s="133">
        <v>0.93936410868439868</v>
      </c>
      <c r="I4044" s="133">
        <v>0.41234392588804336</v>
      </c>
    </row>
    <row r="4045" spans="8:9" ht="12" customHeight="1">
      <c r="H4045" s="133">
        <v>0.94014404219921277</v>
      </c>
      <c r="I4045" s="133">
        <v>0.41276214947518775</v>
      </c>
    </row>
    <row r="4046" spans="8:9" ht="12" customHeight="1">
      <c r="H4046" s="133">
        <v>0.9403612281422512</v>
      </c>
      <c r="I4046" s="133">
        <v>0.41287863349097675</v>
      </c>
    </row>
    <row r="4047" spans="8:9" ht="12" customHeight="1">
      <c r="H4047" s="133">
        <v>0.9405519267884741</v>
      </c>
      <c r="I4047" s="133">
        <v>0.41298091953448623</v>
      </c>
    </row>
    <row r="4048" spans="8:9" ht="12" customHeight="1">
      <c r="H4048" s="133">
        <v>0.94243312876357954</v>
      </c>
      <c r="I4048" s="133">
        <v>0.4139903510329595</v>
      </c>
    </row>
    <row r="4049" spans="8:9" ht="12" customHeight="1">
      <c r="H4049" s="133">
        <v>0.94263563879215317</v>
      </c>
      <c r="I4049" s="133">
        <v>0.41409905884845782</v>
      </c>
    </row>
    <row r="4050" spans="8:9" ht="12" customHeight="1">
      <c r="H4050" s="133">
        <v>0.94442065178788137</v>
      </c>
      <c r="I4050" s="133">
        <v>0.41505761849262351</v>
      </c>
    </row>
    <row r="4051" spans="8:9" ht="12" customHeight="1">
      <c r="H4051" s="133">
        <v>0.94631188811882916</v>
      </c>
      <c r="I4051" s="133">
        <v>0.41607392231704032</v>
      </c>
    </row>
    <row r="4052" spans="8:9" ht="12" customHeight="1">
      <c r="H4052" s="133">
        <v>0.94632382874712051</v>
      </c>
      <c r="I4052" s="133">
        <v>0.41608034119365184</v>
      </c>
    </row>
    <row r="4053" spans="8:9" ht="12" customHeight="1">
      <c r="H4053" s="133">
        <v>0.94701781759623382</v>
      </c>
      <c r="I4053" s="133">
        <v>0.41645345488451613</v>
      </c>
    </row>
    <row r="4054" spans="8:9" ht="12" customHeight="1">
      <c r="H4054" s="133">
        <v>0.94799137163937519</v>
      </c>
      <c r="I4054" s="133">
        <v>0.41697703428457339</v>
      </c>
    </row>
    <row r="4055" spans="8:9" ht="12" customHeight="1">
      <c r="H4055" s="133">
        <v>0.94813034433086407</v>
      </c>
      <c r="I4055" s="133">
        <v>0.41705178939170823</v>
      </c>
    </row>
    <row r="4056" spans="8:9" ht="12" customHeight="1">
      <c r="H4056" s="133">
        <v>0.9482566362853988</v>
      </c>
      <c r="I4056" s="133">
        <v>0.41711972668313502</v>
      </c>
    </row>
    <row r="4057" spans="8:9" ht="12" customHeight="1">
      <c r="H4057" s="133">
        <v>0.94838916638318038</v>
      </c>
      <c r="I4057" s="133">
        <v>0.4171910230951475</v>
      </c>
    </row>
    <row r="4058" spans="8:9" ht="12" customHeight="1">
      <c r="H4058" s="133">
        <v>0.94891125433276846</v>
      </c>
      <c r="I4058" s="133">
        <v>0.41747192124057642</v>
      </c>
    </row>
    <row r="4059" spans="8:9" ht="12" customHeight="1">
      <c r="H4059" s="133">
        <v>0.9489401905278203</v>
      </c>
      <c r="I4059" s="133">
        <v>0.41748749130357388</v>
      </c>
    </row>
    <row r="4060" spans="8:9" ht="12" customHeight="1">
      <c r="H4060" s="133">
        <v>0.95126015015216503</v>
      </c>
      <c r="I4060" s="133">
        <v>0.41873635401082898</v>
      </c>
    </row>
    <row r="4061" spans="8:9" ht="12" customHeight="1">
      <c r="H4061" s="133">
        <v>0.95142905547369427</v>
      </c>
      <c r="I4061" s="133">
        <v>0.41882731870499645</v>
      </c>
    </row>
    <row r="4062" spans="8:9" ht="12" customHeight="1">
      <c r="H4062" s="133">
        <v>0.95208349427432337</v>
      </c>
      <c r="I4062" s="133">
        <v>0.4191798216293342</v>
      </c>
    </row>
    <row r="4063" spans="8:9" ht="12" customHeight="1">
      <c r="H4063" s="133">
        <v>0.95438773845964542</v>
      </c>
      <c r="I4063" s="133">
        <v>0.42042162012465334</v>
      </c>
    </row>
    <row r="4064" spans="8:9" ht="12" customHeight="1">
      <c r="H4064" s="133">
        <v>0.95455068301625978</v>
      </c>
      <c r="I4064" s="133">
        <v>0.4205094722045587</v>
      </c>
    </row>
    <row r="4065" spans="8:9" ht="12" customHeight="1">
      <c r="H4065" s="133">
        <v>0.95499049017416304</v>
      </c>
      <c r="I4065" s="133">
        <v>0.42074662076704605</v>
      </c>
    </row>
    <row r="4066" spans="8:9" ht="12" customHeight="1">
      <c r="H4066" s="133">
        <v>0.95632694625649683</v>
      </c>
      <c r="I4066" s="133">
        <v>0.42146747573635268</v>
      </c>
    </row>
    <row r="4067" spans="8:9" ht="12" customHeight="1">
      <c r="H4067" s="133">
        <v>0.9567608860058795</v>
      </c>
      <c r="I4067" s="133">
        <v>0.42170160543777391</v>
      </c>
    </row>
    <row r="4068" spans="8:9" ht="12" customHeight="1">
      <c r="H4068" s="133">
        <v>0.9568335355072265</v>
      </c>
      <c r="I4068" s="133">
        <v>0.42174080650236395</v>
      </c>
    </row>
    <row r="4069" spans="8:9" ht="12" customHeight="1">
      <c r="H4069" s="133">
        <v>0.95773904156571166</v>
      </c>
      <c r="I4069" s="133">
        <v>0.42222949262120746</v>
      </c>
    </row>
    <row r="4070" spans="8:9" ht="12" customHeight="1">
      <c r="H4070" s="133">
        <v>0.9590206508025606</v>
      </c>
      <c r="I4070" s="133">
        <v>0.42292141531769956</v>
      </c>
    </row>
    <row r="4071" spans="8:9" ht="12" customHeight="1">
      <c r="H4071" s="133">
        <v>0.96070347065168893</v>
      </c>
      <c r="I4071" s="133">
        <v>0.42383040495996216</v>
      </c>
    </row>
    <row r="4072" spans="8:9" ht="12" customHeight="1">
      <c r="H4072" s="133">
        <v>0.9610575753698688</v>
      </c>
      <c r="I4072" s="133">
        <v>0.42402174355161021</v>
      </c>
    </row>
    <row r="4073" spans="8:9" ht="12" customHeight="1">
      <c r="H4073" s="133">
        <v>0.96134768288311379</v>
      </c>
      <c r="I4073" s="133">
        <v>0.4241785185757217</v>
      </c>
    </row>
    <row r="4074" spans="8:9" ht="12" customHeight="1">
      <c r="H4074" s="133">
        <v>0.96182465822201457</v>
      </c>
      <c r="I4074" s="133">
        <v>0.42443631072595667</v>
      </c>
    </row>
    <row r="4075" spans="8:9" ht="12" customHeight="1">
      <c r="H4075" s="133">
        <v>0.96200088637358694</v>
      </c>
      <c r="I4075" s="133">
        <v>0.42453156764107036</v>
      </c>
    </row>
    <row r="4076" spans="8:9" ht="12" customHeight="1">
      <c r="H4076" s="133">
        <v>0.96471825640359787</v>
      </c>
      <c r="I4076" s="133">
        <v>0.42600109809358105</v>
      </c>
    </row>
    <row r="4077" spans="8:9" ht="12" customHeight="1">
      <c r="H4077" s="133">
        <v>0.96484673906234752</v>
      </c>
      <c r="I4077" s="133">
        <v>0.42607061300055155</v>
      </c>
    </row>
    <row r="4078" spans="8:9" ht="12" customHeight="1">
      <c r="H4078" s="133">
        <v>0.96651537120462294</v>
      </c>
      <c r="I4078" s="133">
        <v>0.42697368261261692</v>
      </c>
    </row>
    <row r="4079" spans="8:9" ht="12" customHeight="1">
      <c r="H4079" s="133">
        <v>0.97024458811246794</v>
      </c>
      <c r="I4079" s="133">
        <v>0.42899370014578003</v>
      </c>
    </row>
    <row r="4080" spans="8:9" ht="12" customHeight="1">
      <c r="H4080" s="133">
        <v>0.97093955758300876</v>
      </c>
      <c r="I4080" s="133">
        <v>0.42937041035858331</v>
      </c>
    </row>
    <row r="4081" spans="8:9" ht="12" customHeight="1">
      <c r="H4081" s="133">
        <v>0.97285530223068883</v>
      </c>
      <c r="I4081" s="133">
        <v>0.43040926773490734</v>
      </c>
    </row>
    <row r="4082" spans="8:9" ht="12" customHeight="1">
      <c r="H4082" s="133">
        <v>0.97302960817291695</v>
      </c>
      <c r="I4082" s="133">
        <v>0.43050381977190672</v>
      </c>
    </row>
    <row r="4083" spans="8:9" ht="12" customHeight="1">
      <c r="H4083" s="133">
        <v>0.97396472064897355</v>
      </c>
      <c r="I4083" s="133">
        <v>0.43101115671762635</v>
      </c>
    </row>
    <row r="4084" spans="8:9" ht="12" customHeight="1">
      <c r="H4084" s="133">
        <v>0.97402215102746947</v>
      </c>
      <c r="I4084" s="133">
        <v>0.43104231978980051</v>
      </c>
    </row>
    <row r="4085" spans="8:9" ht="12" customHeight="1">
      <c r="H4085" s="133">
        <v>0.9747565117166187</v>
      </c>
      <c r="I4085" s="133">
        <v>0.43144084920481329</v>
      </c>
    </row>
    <row r="4086" spans="8:9" ht="12" customHeight="1">
      <c r="H4086" s="133">
        <v>0.9749934136960714</v>
      </c>
      <c r="I4086" s="133">
        <v>0.43156943225399208</v>
      </c>
    </row>
    <row r="4087" spans="8:9" ht="12" customHeight="1">
      <c r="H4087" s="133">
        <v>0.97562629003457557</v>
      </c>
      <c r="I4087" s="133">
        <v>0.4319129831010714</v>
      </c>
    </row>
    <row r="4088" spans="8:9" ht="12" customHeight="1">
      <c r="H4088" s="133">
        <v>0.97567681469364753</v>
      </c>
      <c r="I4088" s="133">
        <v>0.43194041275556927</v>
      </c>
    </row>
    <row r="4089" spans="8:9" ht="12" customHeight="1">
      <c r="H4089" s="133">
        <v>0.9758905382649824</v>
      </c>
      <c r="I4089" s="133">
        <v>0.43205644712396202</v>
      </c>
    </row>
    <row r="4090" spans="8:9" ht="12" customHeight="1">
      <c r="H4090" s="133">
        <v>0.97871267788086691</v>
      </c>
      <c r="I4090" s="133">
        <v>0.43358933206100686</v>
      </c>
    </row>
    <row r="4091" spans="8:9" ht="12" customHeight="1">
      <c r="H4091" s="133">
        <v>0.97892210594528528</v>
      </c>
      <c r="I4091" s="133">
        <v>0.43370313690985141</v>
      </c>
    </row>
    <row r="4092" spans="8:9" ht="12" customHeight="1">
      <c r="H4092" s="133">
        <v>0.98213690281933519</v>
      </c>
      <c r="I4092" s="133">
        <v>0.43545095323737237</v>
      </c>
    </row>
    <row r="4093" spans="8:9" ht="12" customHeight="1">
      <c r="H4093" s="133">
        <v>0.98214436345230283</v>
      </c>
      <c r="I4093" s="133">
        <v>0.43545501130779402</v>
      </c>
    </row>
    <row r="4094" spans="8:9" ht="12" customHeight="1">
      <c r="H4094" s="133">
        <v>0.98559449705417712</v>
      </c>
      <c r="I4094" s="133">
        <v>0.43733256432211942</v>
      </c>
    </row>
    <row r="4095" spans="8:9" ht="12" customHeight="1">
      <c r="H4095" s="133">
        <v>0.98600528403089205</v>
      </c>
      <c r="I4095" s="133">
        <v>0.43755623419430906</v>
      </c>
    </row>
    <row r="4096" spans="8:9" ht="12" customHeight="1">
      <c r="H4096" s="133">
        <v>0.98616639729341871</v>
      </c>
      <c r="I4096" s="133">
        <v>0.43764396587631732</v>
      </c>
    </row>
    <row r="4097" spans="8:9" ht="12" customHeight="1">
      <c r="H4097" s="133">
        <v>0.98792383920466786</v>
      </c>
      <c r="I4097" s="133">
        <v>0.43860120528726732</v>
      </c>
    </row>
    <row r="4098" spans="8:9" ht="12" customHeight="1">
      <c r="H4098" s="133">
        <v>0.98850171121495278</v>
      </c>
      <c r="I4098" s="133">
        <v>0.43891605950103391</v>
      </c>
    </row>
    <row r="4099" spans="8:9" ht="12" customHeight="1">
      <c r="H4099" s="133">
        <v>0.98871273771572132</v>
      </c>
      <c r="I4099" s="133">
        <v>0.43903104980018642</v>
      </c>
    </row>
    <row r="4100" spans="8:9" ht="12" customHeight="1">
      <c r="H4100" s="133">
        <v>0.98912452860240274</v>
      </c>
      <c r="I4100" s="133">
        <v>0.43925545731911725</v>
      </c>
    </row>
    <row r="4101" spans="8:9" ht="12" customHeight="1">
      <c r="H4101" s="133">
        <v>0.99012080842467676</v>
      </c>
      <c r="I4101" s="133">
        <v>0.4397984876091347</v>
      </c>
    </row>
    <row r="4102" spans="8:9" ht="12" customHeight="1">
      <c r="H4102" s="133">
        <v>0.99095549456772425</v>
      </c>
      <c r="I4102" s="133">
        <v>0.44025355099569857</v>
      </c>
    </row>
    <row r="4103" spans="8:9" ht="12" customHeight="1">
      <c r="H4103" s="133">
        <v>0.99150499548216975</v>
      </c>
      <c r="I4103" s="133">
        <v>0.4405531888283109</v>
      </c>
    </row>
    <row r="4104" spans="8:9" ht="12" customHeight="1">
      <c r="H4104" s="133">
        <v>0.99196956491221233</v>
      </c>
      <c r="I4104" s="133">
        <v>0.4408065480979344</v>
      </c>
    </row>
    <row r="4105" spans="8:9" ht="12" customHeight="1">
      <c r="H4105" s="133">
        <v>0.99483607230303484</v>
      </c>
      <c r="I4105" s="133">
        <v>0.44237051414083267</v>
      </c>
    </row>
    <row r="4106" spans="8:9" ht="12" customHeight="1">
      <c r="H4106" s="133">
        <v>0.99640527737275175</v>
      </c>
      <c r="I4106" s="133">
        <v>0.44322715856478578</v>
      </c>
    </row>
    <row r="4107" spans="8:9" ht="12" customHeight="1">
      <c r="H4107" s="133">
        <v>0.99679684886529973</v>
      </c>
      <c r="I4107" s="133">
        <v>0.4434409741340678</v>
      </c>
    </row>
    <row r="4108" spans="8:9" ht="12" customHeight="1">
      <c r="H4108" s="133">
        <v>0.99697121046755999</v>
      </c>
      <c r="I4108" s="133">
        <v>0.44353619012456802</v>
      </c>
    </row>
    <row r="4109" spans="8:9" ht="12" customHeight="1">
      <c r="H4109" s="133">
        <v>0.99759171744221142</v>
      </c>
      <c r="I4109" s="133">
        <v>0.44387507233520362</v>
      </c>
    </row>
    <row r="4110" spans="8:9" ht="12" customHeight="1">
      <c r="H4110" s="133">
        <v>0.99851987196915937</v>
      </c>
      <c r="I4110" s="133">
        <v>0.44438206984949968</v>
      </c>
    </row>
    <row r="4111" spans="8:9" ht="12" customHeight="1">
      <c r="H4111" s="133">
        <v>0.99901065989589644</v>
      </c>
      <c r="I4111" s="133">
        <v>0.44465020599116922</v>
      </c>
    </row>
    <row r="4112" spans="8:9" ht="12" customHeight="1">
      <c r="H4112" s="133">
        <v>0.99983109933584668</v>
      </c>
      <c r="I4112" s="133">
        <v>0.44509851522002236</v>
      </c>
    </row>
    <row r="4113" spans="8:9" ht="12" customHeight="1">
      <c r="H4113" s="133">
        <v>1.0022562628621392</v>
      </c>
      <c r="I4113" s="133">
        <v>0.44642420679423467</v>
      </c>
    </row>
    <row r="4114" spans="8:9" ht="12" customHeight="1">
      <c r="H4114" s="133">
        <v>1.00306783660016</v>
      </c>
      <c r="I4114" s="133">
        <v>0.44686801670471321</v>
      </c>
    </row>
    <row r="4115" spans="8:9" ht="12" customHeight="1">
      <c r="H4115" s="133">
        <v>1.0032230591607956</v>
      </c>
      <c r="I4115" s="133">
        <v>0.44695290998697901</v>
      </c>
    </row>
    <row r="4116" spans="8:9" ht="12" customHeight="1">
      <c r="H4116" s="133">
        <v>1.0037017108366417</v>
      </c>
      <c r="I4116" s="133">
        <v>0.44721471040814043</v>
      </c>
    </row>
    <row r="4117" spans="8:9" ht="12" customHeight="1">
      <c r="H4117" s="133">
        <v>1.0042986046051308</v>
      </c>
      <c r="I4117" s="133">
        <v>0.44754122480415931</v>
      </c>
    </row>
    <row r="4118" spans="8:9" ht="12" customHeight="1">
      <c r="H4118" s="133">
        <v>1.005760610969145</v>
      </c>
      <c r="I4118" s="133">
        <v>0.44834116593595236</v>
      </c>
    </row>
    <row r="4119" spans="8:9" ht="12" customHeight="1">
      <c r="H4119" s="133">
        <v>1.0067069638772943</v>
      </c>
      <c r="I4119" s="133">
        <v>0.44885910856082062</v>
      </c>
    </row>
    <row r="4120" spans="8:9" ht="12" customHeight="1">
      <c r="H4120" s="133">
        <v>1.0070453972441409</v>
      </c>
      <c r="I4120" s="133">
        <v>0.44904436144591181</v>
      </c>
    </row>
    <row r="4121" spans="8:9" ht="12" customHeight="1">
      <c r="H4121" s="133">
        <v>1.0072839744076938</v>
      </c>
      <c r="I4121" s="133">
        <v>0.4491749631788956</v>
      </c>
    </row>
    <row r="4122" spans="8:9" ht="12" customHeight="1">
      <c r="H4122" s="133">
        <v>1.0098693787554827</v>
      </c>
      <c r="I4122" s="133">
        <v>0.45059070906054649</v>
      </c>
    </row>
    <row r="4123" spans="8:9" ht="12" customHeight="1">
      <c r="H4123" s="133">
        <v>1.0105059527146159</v>
      </c>
      <c r="I4123" s="133">
        <v>0.45093941534209919</v>
      </c>
    </row>
    <row r="4124" spans="8:9" ht="12" customHeight="1">
      <c r="H4124" s="133">
        <v>1.0106880514157051</v>
      </c>
      <c r="I4124" s="133">
        <v>0.4510391753351034</v>
      </c>
    </row>
    <row r="4125" spans="8:9" ht="12" customHeight="1">
      <c r="H4125" s="133">
        <v>1.011805284253942</v>
      </c>
      <c r="I4125" s="133">
        <v>0.45165132014575399</v>
      </c>
    </row>
    <row r="4126" spans="8:9" ht="12" customHeight="1">
      <c r="H4126" s="133">
        <v>1.0122487122498784</v>
      </c>
      <c r="I4126" s="133">
        <v>0.45189432014911246</v>
      </c>
    </row>
    <row r="4127" spans="8:9" ht="12" customHeight="1">
      <c r="H4127" s="133">
        <v>1.0138767641518114</v>
      </c>
      <c r="I4127" s="133">
        <v>0.45278669381022668</v>
      </c>
    </row>
    <row r="4128" spans="8:9" ht="12" customHeight="1">
      <c r="H4128" s="133">
        <v>1.0156331560720817</v>
      </c>
      <c r="I4128" s="133">
        <v>0.45374975392723105</v>
      </c>
    </row>
    <row r="4129" spans="8:9" ht="12" customHeight="1">
      <c r="H4129" s="133">
        <v>1.0173192185347302</v>
      </c>
      <c r="I4129" s="133">
        <v>0.45467457701088487</v>
      </c>
    </row>
    <row r="4130" spans="8:9" ht="12" customHeight="1">
      <c r="H4130" s="133">
        <v>1.0180756198649188</v>
      </c>
      <c r="I4130" s="133">
        <v>0.45508957315541526</v>
      </c>
    </row>
    <row r="4131" spans="8:9" ht="12" customHeight="1">
      <c r="H4131" s="133">
        <v>1.0186709991637808</v>
      </c>
      <c r="I4131" s="133">
        <v>0.45541626920493899</v>
      </c>
    </row>
    <row r="4132" spans="8:9" ht="12" customHeight="1">
      <c r="H4132" s="133">
        <v>1.0202109321124051</v>
      </c>
      <c r="I4132" s="133">
        <v>0.45626143729280416</v>
      </c>
    </row>
    <row r="4133" spans="8:9" ht="12" customHeight="1">
      <c r="H4133" s="133">
        <v>1.0205343297782534</v>
      </c>
      <c r="I4133" s="133">
        <v>0.45643896120963301</v>
      </c>
    </row>
    <row r="4134" spans="8:9" ht="12" customHeight="1">
      <c r="H4134" s="133">
        <v>1.0209036064764105</v>
      </c>
      <c r="I4134" s="133">
        <v>0.45664168321012122</v>
      </c>
    </row>
    <row r="4135" spans="8:9" ht="12" customHeight="1">
      <c r="H4135" s="133">
        <v>1.0223759568206812</v>
      </c>
      <c r="I4135" s="133">
        <v>0.45745010221530513</v>
      </c>
    </row>
    <row r="4136" spans="8:9" ht="12" customHeight="1">
      <c r="H4136" s="133">
        <v>1.0231864628169616</v>
      </c>
      <c r="I4136" s="133">
        <v>0.45789522024783047</v>
      </c>
    </row>
    <row r="4137" spans="8:9" ht="12" customHeight="1">
      <c r="H4137" s="133">
        <v>1.0236354748843246</v>
      </c>
      <c r="I4137" s="133">
        <v>0.45814184008602493</v>
      </c>
    </row>
    <row r="4138" spans="8:9" ht="12" customHeight="1">
      <c r="H4138" s="133">
        <v>1.0250018209970042</v>
      </c>
      <c r="I4138" s="133">
        <v>0.45889243124893747</v>
      </c>
    </row>
    <row r="4139" spans="8:9" ht="12" customHeight="1">
      <c r="H4139" s="133">
        <v>1.0259826284229203</v>
      </c>
      <c r="I4139" s="133">
        <v>0.45943134509318101</v>
      </c>
    </row>
    <row r="4140" spans="8:9" ht="12" customHeight="1">
      <c r="H4140" s="133">
        <v>1.0263259821484574</v>
      </c>
      <c r="I4140" s="133">
        <v>0.45962002650933864</v>
      </c>
    </row>
    <row r="4141" spans="8:9" ht="12" customHeight="1">
      <c r="H4141" s="133">
        <v>1.0268273854399521</v>
      </c>
      <c r="I4141" s="133">
        <v>0.45989558087656318</v>
      </c>
    </row>
    <row r="4142" spans="8:9" ht="12" customHeight="1">
      <c r="H4142" s="133">
        <v>1.0268605052417639</v>
      </c>
      <c r="I4142" s="133">
        <v>0.45991378326970184</v>
      </c>
    </row>
    <row r="4143" spans="8:9" ht="12" customHeight="1">
      <c r="H4143" s="133">
        <v>1.0268725672698635</v>
      </c>
      <c r="I4143" s="133">
        <v>0.45992041249588828</v>
      </c>
    </row>
    <row r="4144" spans="8:9" ht="12" customHeight="1">
      <c r="H4144" s="133">
        <v>1.0273621894961409</v>
      </c>
      <c r="I4144" s="133">
        <v>0.46018951820103049</v>
      </c>
    </row>
    <row r="4145" spans="8:9" ht="12" customHeight="1">
      <c r="H4145" s="133">
        <v>1.0288135337426705</v>
      </c>
      <c r="I4145" s="133">
        <v>0.46098734044340212</v>
      </c>
    </row>
    <row r="4146" spans="8:9" ht="12" customHeight="1">
      <c r="H4146" s="133">
        <v>1.0304553632663289</v>
      </c>
      <c r="I4146" s="133">
        <v>0.46189011563998827</v>
      </c>
    </row>
    <row r="4147" spans="8:9" ht="12" customHeight="1">
      <c r="H4147" s="133">
        <v>1.0309077738052579</v>
      </c>
      <c r="I4147" s="133">
        <v>0.46213892195574652</v>
      </c>
    </row>
    <row r="4148" spans="8:9" ht="12" customHeight="1">
      <c r="H4148" s="133">
        <v>1.0311034489472504</v>
      </c>
      <c r="I4148" s="133">
        <v>0.46224654070794713</v>
      </c>
    </row>
    <row r="4149" spans="8:9" ht="12" customHeight="1">
      <c r="H4149" s="133">
        <v>1.0318316410256212</v>
      </c>
      <c r="I4149" s="133">
        <v>0.46264706759424068</v>
      </c>
    </row>
    <row r="4150" spans="8:9" ht="12" customHeight="1">
      <c r="H4150" s="133">
        <v>1.0322364044128856</v>
      </c>
      <c r="I4150" s="133">
        <v>0.46286972014538302</v>
      </c>
    </row>
    <row r="4151" spans="8:9" ht="12" customHeight="1">
      <c r="H4151" s="133">
        <v>1.0327897349567405</v>
      </c>
      <c r="I4151" s="133">
        <v>0.4631741205721091</v>
      </c>
    </row>
    <row r="4152" spans="8:9" ht="12" customHeight="1">
      <c r="H4152" s="133">
        <v>1.0329546225143948</v>
      </c>
      <c r="I4152" s="133">
        <v>0.46326483449798933</v>
      </c>
    </row>
    <row r="4153" spans="8:9" ht="12" customHeight="1">
      <c r="H4153" s="133">
        <v>1.0342730041138604</v>
      </c>
      <c r="I4153" s="133">
        <v>0.46399023736603112</v>
      </c>
    </row>
    <row r="4154" spans="8:9" ht="12" customHeight="1">
      <c r="H4154" s="133">
        <v>1.0344801060527491</v>
      </c>
      <c r="I4154" s="133">
        <v>0.46410420338650277</v>
      </c>
    </row>
    <row r="4155" spans="8:9" ht="12" customHeight="1">
      <c r="H4155" s="133">
        <v>1.0359641314785006</v>
      </c>
      <c r="I4155" s="133">
        <v>0.46492095596246896</v>
      </c>
    </row>
    <row r="4156" spans="8:9" ht="12" customHeight="1">
      <c r="H4156" s="133">
        <v>1.0367943978767931</v>
      </c>
      <c r="I4156" s="133">
        <v>0.46537798617390647</v>
      </c>
    </row>
    <row r="4157" spans="8:9" ht="12" customHeight="1">
      <c r="H4157" s="133">
        <v>1.0384946487871427</v>
      </c>
      <c r="I4157" s="133">
        <v>0.46631409052519668</v>
      </c>
    </row>
    <row r="4158" spans="8:9" ht="12" customHeight="1">
      <c r="H4158" s="133">
        <v>1.0395776210354408</v>
      </c>
      <c r="I4158" s="133">
        <v>0.46691046489313393</v>
      </c>
    </row>
    <row r="4159" spans="8:9" ht="12" customHeight="1">
      <c r="H4159" s="133">
        <v>1.0397251564124756</v>
      </c>
      <c r="I4159" s="133">
        <v>0.46699171746952595</v>
      </c>
    </row>
    <row r="4160" spans="8:9" ht="12" customHeight="1">
      <c r="H4160" s="133">
        <v>1.0414504937262006</v>
      </c>
      <c r="I4160" s="133">
        <v>0.46794204622111607</v>
      </c>
    </row>
    <row r="4161" spans="8:9" ht="12" customHeight="1">
      <c r="H4161" s="133">
        <v>1.041483797304998</v>
      </c>
      <c r="I4161" s="133">
        <v>0.46796039239300335</v>
      </c>
    </row>
    <row r="4162" spans="8:9" ht="12" customHeight="1">
      <c r="H4162" s="133">
        <v>1.0418436808083118</v>
      </c>
      <c r="I4162" s="133">
        <v>0.46815864941347124</v>
      </c>
    </row>
    <row r="4163" spans="8:9" ht="12" customHeight="1">
      <c r="H4163" s="133">
        <v>1.0420283926440734</v>
      </c>
      <c r="I4163" s="133">
        <v>0.46826040963409188</v>
      </c>
    </row>
    <row r="4164" spans="8:9" ht="12" customHeight="1">
      <c r="H4164" s="133">
        <v>1.0423586293355509</v>
      </c>
      <c r="I4164" s="133">
        <v>0.46844234801778578</v>
      </c>
    </row>
    <row r="4165" spans="8:9" ht="12" customHeight="1">
      <c r="H4165" s="133">
        <v>1.0423713705527358</v>
      </c>
      <c r="I4165" s="133">
        <v>0.46844936774678186</v>
      </c>
    </row>
    <row r="4166" spans="8:9" ht="12" customHeight="1">
      <c r="H4166" s="133">
        <v>1.0449988348503811</v>
      </c>
      <c r="I4166" s="133">
        <v>0.46989722277769108</v>
      </c>
    </row>
    <row r="4167" spans="8:9" ht="12" customHeight="1">
      <c r="H4167" s="133">
        <v>1.0474616153586642</v>
      </c>
      <c r="I4167" s="133">
        <v>0.47125479002983156</v>
      </c>
    </row>
    <row r="4168" spans="8:9" ht="12" customHeight="1">
      <c r="H4168" s="133">
        <v>1.0475196568425076</v>
      </c>
      <c r="I4168" s="133">
        <v>0.47128678965199916</v>
      </c>
    </row>
    <row r="4169" spans="8:9" ht="12" customHeight="1">
      <c r="H4169" s="133">
        <v>1.0480093228525433</v>
      </c>
      <c r="I4169" s="133">
        <v>0.47155676329851914</v>
      </c>
    </row>
    <row r="4170" spans="8:9" ht="12" customHeight="1">
      <c r="H4170" s="133">
        <v>1.0483644669015979</v>
      </c>
      <c r="I4170" s="133">
        <v>0.47175257970024198</v>
      </c>
    </row>
    <row r="4171" spans="8:9" ht="12" customHeight="1">
      <c r="H4171" s="133">
        <v>1.049432459045613</v>
      </c>
      <c r="I4171" s="133">
        <v>0.47234149255210756</v>
      </c>
    </row>
    <row r="4172" spans="8:9" ht="12" customHeight="1">
      <c r="H4172" s="133">
        <v>1.0502238791649434</v>
      </c>
      <c r="I4172" s="133">
        <v>0.47277794764942155</v>
      </c>
    </row>
    <row r="4173" spans="8:9" ht="12" customHeight="1">
      <c r="H4173" s="133">
        <v>1.0518479305982071</v>
      </c>
      <c r="I4173" s="133">
        <v>0.47367371471741548</v>
      </c>
    </row>
    <row r="4174" spans="8:9" ht="12" customHeight="1">
      <c r="H4174" s="133">
        <v>1.0533517066006202</v>
      </c>
      <c r="I4174" s="133">
        <v>0.47450329353667575</v>
      </c>
    </row>
    <row r="4175" spans="8:9" ht="12" customHeight="1">
      <c r="H4175" s="133">
        <v>1.054803818080529</v>
      </c>
      <c r="I4175" s="133">
        <v>0.47530450455096573</v>
      </c>
    </row>
    <row r="4176" spans="8:9" ht="12" customHeight="1">
      <c r="H4176" s="133">
        <v>1.0556902407884197</v>
      </c>
      <c r="I4176" s="133">
        <v>0.47579365623488201</v>
      </c>
    </row>
    <row r="4177" spans="8:9" ht="12" customHeight="1">
      <c r="H4177" s="133">
        <v>1.0562167432255303</v>
      </c>
      <c r="I4177" s="133">
        <v>0.4760842163645147</v>
      </c>
    </row>
    <row r="4178" spans="8:9" ht="12" customHeight="1">
      <c r="H4178" s="133">
        <v>1.0562951653229362</v>
      </c>
      <c r="I4178" s="133">
        <v>0.47612749644282015</v>
      </c>
    </row>
    <row r="4179" spans="8:9" ht="12" customHeight="1">
      <c r="H4179" s="133">
        <v>1.0571103507486921</v>
      </c>
      <c r="I4179" s="133">
        <v>0.47657740719653513</v>
      </c>
    </row>
    <row r="4180" spans="8:9" ht="12" customHeight="1">
      <c r="H4180" s="133">
        <v>1.0577516263061171</v>
      </c>
      <c r="I4180" s="133">
        <v>0.4769313617303963</v>
      </c>
    </row>
    <row r="4181" spans="8:9" ht="12" customHeight="1">
      <c r="H4181" s="133">
        <v>1.0579064060371561</v>
      </c>
      <c r="I4181" s="133">
        <v>0.47701679648868589</v>
      </c>
    </row>
    <row r="4182" spans="8:9" ht="12" customHeight="1">
      <c r="H4182" s="133">
        <v>1.0583152202679782</v>
      </c>
      <c r="I4182" s="133">
        <v>0.47724245874921217</v>
      </c>
    </row>
    <row r="4183" spans="8:9" ht="12" customHeight="1">
      <c r="H4183" s="133">
        <v>1.0599904436717009</v>
      </c>
      <c r="I4183" s="133">
        <v>0.4781672650258989</v>
      </c>
    </row>
    <row r="4184" spans="8:9" ht="12" customHeight="1">
      <c r="H4184" s="133">
        <v>1.0609861612960236</v>
      </c>
      <c r="I4184" s="133">
        <v>0.4787170217966637</v>
      </c>
    </row>
    <row r="4185" spans="8:9" ht="12" customHeight="1">
      <c r="H4185" s="133">
        <v>1.0612249363641735</v>
      </c>
      <c r="I4185" s="133">
        <v>0.478848862278698</v>
      </c>
    </row>
    <row r="4186" spans="8:9" ht="12" customHeight="1">
      <c r="H4186" s="133">
        <v>1.0617159109072767</v>
      </c>
      <c r="I4186" s="133">
        <v>0.47911996481365032</v>
      </c>
    </row>
    <row r="4187" spans="8:9" ht="12" customHeight="1">
      <c r="H4187" s="133">
        <v>1.061842977611726</v>
      </c>
      <c r="I4187" s="133">
        <v>0.47919012953589574</v>
      </c>
    </row>
    <row r="4188" spans="8:9" ht="12" customHeight="1">
      <c r="H4188" s="133">
        <v>1.0626758600477781</v>
      </c>
      <c r="I4188" s="133">
        <v>0.47965005750818096</v>
      </c>
    </row>
    <row r="4189" spans="8:9" ht="12" customHeight="1">
      <c r="H4189" s="133">
        <v>1.0629914401633884</v>
      </c>
      <c r="I4189" s="133">
        <v>0.47982433380122069</v>
      </c>
    </row>
    <row r="4190" spans="8:9" ht="12" customHeight="1">
      <c r="H4190" s="133">
        <v>1.064887969538149</v>
      </c>
      <c r="I4190" s="133">
        <v>0.48087177710542189</v>
      </c>
    </row>
    <row r="4191" spans="8:9" ht="12" customHeight="1">
      <c r="H4191" s="133">
        <v>1.065202723686987</v>
      </c>
      <c r="I4191" s="133">
        <v>0.48104563070125006</v>
      </c>
    </row>
    <row r="4192" spans="8:9" ht="12" customHeight="1">
      <c r="H4192" s="133">
        <v>1.0660712760107547</v>
      </c>
      <c r="I4192" s="133">
        <v>0.48152539688917523</v>
      </c>
    </row>
    <row r="4193" spans="8:9" ht="12" customHeight="1">
      <c r="H4193" s="133">
        <v>1.0664742573290316</v>
      </c>
      <c r="I4193" s="133">
        <v>0.48174800513208432</v>
      </c>
    </row>
    <row r="4194" spans="8:9" ht="12" customHeight="1">
      <c r="H4194" s="133">
        <v>1.0665810255056345</v>
      </c>
      <c r="I4194" s="133">
        <v>0.48180698545165512</v>
      </c>
    </row>
    <row r="4195" spans="8:9" ht="12" customHeight="1">
      <c r="H4195" s="133">
        <v>1.0677989363821003</v>
      </c>
      <c r="I4195" s="133">
        <v>0.48247981290272646</v>
      </c>
    </row>
    <row r="4196" spans="8:9" ht="12" customHeight="1">
      <c r="H4196" s="133">
        <v>1.0702545731192254</v>
      </c>
      <c r="I4196" s="133">
        <v>0.48383660516113186</v>
      </c>
    </row>
    <row r="4197" spans="8:9" ht="12" customHeight="1">
      <c r="H4197" s="133">
        <v>1.071052732568603</v>
      </c>
      <c r="I4197" s="133">
        <v>0.48427765776008669</v>
      </c>
    </row>
    <row r="4198" spans="8:9" ht="12" customHeight="1">
      <c r="H4198" s="133">
        <v>1.071211371705536</v>
      </c>
      <c r="I4198" s="133">
        <v>0.48436532263709997</v>
      </c>
    </row>
    <row r="4199" spans="8:9" ht="12" customHeight="1">
      <c r="H4199" s="133">
        <v>1.0722347266185264</v>
      </c>
      <c r="I4199" s="133">
        <v>0.48493085719111584</v>
      </c>
    </row>
    <row r="4200" spans="8:9" ht="12" customHeight="1">
      <c r="H4200" s="133">
        <v>1.0725685998140817</v>
      </c>
      <c r="I4200" s="133">
        <v>0.48511537327931631</v>
      </c>
    </row>
    <row r="4201" spans="8:9" ht="12" customHeight="1">
      <c r="H4201" s="133">
        <v>1.0726225430560492</v>
      </c>
      <c r="I4201" s="133">
        <v>0.485145185566416</v>
      </c>
    </row>
    <row r="4202" spans="8:9" ht="12" customHeight="1">
      <c r="H4202" s="133">
        <v>1.0730442691059909</v>
      </c>
      <c r="I4202" s="133">
        <v>0.48537826042969012</v>
      </c>
    </row>
    <row r="4203" spans="8:9" ht="12" customHeight="1">
      <c r="H4203" s="133">
        <v>1.0732332017857902</v>
      </c>
      <c r="I4203" s="133">
        <v>0.48548267971098474</v>
      </c>
    </row>
    <row r="4204" spans="8:9" ht="12" customHeight="1">
      <c r="H4204" s="133">
        <v>1.0738707767012046</v>
      </c>
      <c r="I4204" s="133">
        <v>0.4858350638084673</v>
      </c>
    </row>
    <row r="4205" spans="8:9" ht="12" customHeight="1">
      <c r="H4205" s="133">
        <v>1.0772692890382072</v>
      </c>
      <c r="I4205" s="133">
        <v>0.48771363169724763</v>
      </c>
    </row>
    <row r="4206" spans="8:9" ht="12" customHeight="1">
      <c r="H4206" s="133">
        <v>1.0778107204714527</v>
      </c>
      <c r="I4206" s="133">
        <v>0.48801294775556525</v>
      </c>
    </row>
    <row r="4207" spans="8:9" ht="12" customHeight="1">
      <c r="H4207" s="133">
        <v>1.0796367421633146</v>
      </c>
      <c r="I4207" s="133">
        <v>0.48902247772358343</v>
      </c>
    </row>
    <row r="4208" spans="8:9" ht="12" customHeight="1">
      <c r="H4208" s="133">
        <v>1.0810931826736694</v>
      </c>
      <c r="I4208" s="133">
        <v>0.48982774652443761</v>
      </c>
    </row>
    <row r="4209" spans="8:9" ht="12" customHeight="1">
      <c r="H4209" s="133">
        <v>1.0820820394506248</v>
      </c>
      <c r="I4209" s="133">
        <v>0.49037451771290241</v>
      </c>
    </row>
    <row r="4210" spans="8:9" ht="12" customHeight="1">
      <c r="H4210" s="133">
        <v>1.0841161808236861</v>
      </c>
      <c r="I4210" s="133">
        <v>0.49149933183882577</v>
      </c>
    </row>
    <row r="4211" spans="8:9" ht="12" customHeight="1">
      <c r="H4211" s="133">
        <v>1.0845321377954922</v>
      </c>
      <c r="I4211" s="133">
        <v>0.49172935350879055</v>
      </c>
    </row>
    <row r="4212" spans="8:9" ht="12" customHeight="1">
      <c r="H4212" s="133">
        <v>1.0847509759355434</v>
      </c>
      <c r="I4212" s="133">
        <v>0.49185037107829088</v>
      </c>
    </row>
    <row r="4213" spans="8:9" ht="12" customHeight="1">
      <c r="H4213" s="133">
        <v>1.0854009998141549</v>
      </c>
      <c r="I4213" s="133">
        <v>0.49220984009191043</v>
      </c>
    </row>
    <row r="4214" spans="8:9" ht="12" customHeight="1">
      <c r="H4214" s="133">
        <v>1.0857224722659728</v>
      </c>
      <c r="I4214" s="133">
        <v>0.49238762023058774</v>
      </c>
    </row>
    <row r="4215" spans="8:9" ht="12" customHeight="1">
      <c r="H4215" s="133">
        <v>1.0880912677972177</v>
      </c>
      <c r="I4215" s="133">
        <v>0.49369766385115099</v>
      </c>
    </row>
    <row r="4216" spans="8:9" ht="12" customHeight="1">
      <c r="H4216" s="133">
        <v>1.09022498986642</v>
      </c>
      <c r="I4216" s="133">
        <v>0.49487777655496451</v>
      </c>
    </row>
    <row r="4217" spans="8:9" ht="12" customHeight="1">
      <c r="H4217" s="133">
        <v>1.0902462086488733</v>
      </c>
      <c r="I4217" s="133">
        <v>0.49488951248494395</v>
      </c>
    </row>
    <row r="4218" spans="8:9" ht="12" customHeight="1">
      <c r="H4218" s="133">
        <v>1.0912376151000844</v>
      </c>
      <c r="I4218" s="133">
        <v>0.49543785710746335</v>
      </c>
    </row>
    <row r="4219" spans="8:9" ht="12" customHeight="1">
      <c r="H4219" s="133">
        <v>1.0961344820326571</v>
      </c>
      <c r="I4219" s="133">
        <v>0.49814643849662232</v>
      </c>
    </row>
    <row r="4220" spans="8:9" ht="12" customHeight="1">
      <c r="H4220" s="133">
        <v>1.0964096387358937</v>
      </c>
      <c r="I4220" s="133">
        <v>0.49829863936550683</v>
      </c>
    </row>
    <row r="4221" spans="8:9" ht="12" customHeight="1">
      <c r="H4221" s="133">
        <v>1.096909952031565</v>
      </c>
      <c r="I4221" s="133">
        <v>0.49857538470475465</v>
      </c>
    </row>
    <row r="4222" spans="8:9" ht="12" customHeight="1">
      <c r="H4222" s="133">
        <v>1.0970573215539694</v>
      </c>
      <c r="I4222" s="133">
        <v>0.49865690145814018</v>
      </c>
    </row>
    <row r="4223" spans="8:9" ht="12" customHeight="1">
      <c r="H4223" s="133">
        <v>1.0980086488787193</v>
      </c>
      <c r="I4223" s="133">
        <v>0.49918312519091279</v>
      </c>
    </row>
    <row r="4224" spans="8:9" ht="12" customHeight="1">
      <c r="H4224" s="133">
        <v>1.0983167165415282</v>
      </c>
      <c r="I4224" s="133">
        <v>0.49935353229879181</v>
      </c>
    </row>
    <row r="4225" spans="8:9" ht="12" customHeight="1">
      <c r="H4225" s="133">
        <v>1.100198572471152</v>
      </c>
      <c r="I4225" s="133">
        <v>0.50039447952805372</v>
      </c>
    </row>
    <row r="4226" spans="8:9" ht="12" customHeight="1">
      <c r="H4226" s="133">
        <v>1.1006989098994164</v>
      </c>
      <c r="I4226" s="133">
        <v>0.50067124060620405</v>
      </c>
    </row>
    <row r="4227" spans="8:9" ht="12" customHeight="1">
      <c r="H4227" s="133">
        <v>1.1008602658961371</v>
      </c>
      <c r="I4227" s="133">
        <v>0.50076049441232773</v>
      </c>
    </row>
    <row r="4228" spans="8:9" ht="12" customHeight="1">
      <c r="H4228" s="133">
        <v>1.1012146275562906</v>
      </c>
      <c r="I4228" s="133">
        <v>0.50095650880798193</v>
      </c>
    </row>
    <row r="4229" spans="8:9" ht="12" customHeight="1">
      <c r="H4229" s="133">
        <v>1.1042772106311771</v>
      </c>
      <c r="I4229" s="133">
        <v>0.50265055145045234</v>
      </c>
    </row>
    <row r="4230" spans="8:9" ht="12" customHeight="1">
      <c r="H4230" s="133">
        <v>1.1047889991237132</v>
      </c>
      <c r="I4230" s="133">
        <v>0.50293363816512826</v>
      </c>
    </row>
    <row r="4231" spans="8:9" ht="12" customHeight="1">
      <c r="H4231" s="133">
        <v>1.1056400844529861</v>
      </c>
      <c r="I4231" s="133">
        <v>0.50340439664540793</v>
      </c>
    </row>
    <row r="4232" spans="8:9" ht="12" customHeight="1">
      <c r="H4232" s="133">
        <v>1.1059366142715488</v>
      </c>
      <c r="I4232" s="133">
        <v>0.50356841399064001</v>
      </c>
    </row>
    <row r="4233" spans="8:9" ht="12" customHeight="1">
      <c r="H4233" s="133">
        <v>1.1067969238109794</v>
      </c>
      <c r="I4233" s="133">
        <v>0.50404426616987363</v>
      </c>
    </row>
    <row r="4234" spans="8:9" ht="12" customHeight="1">
      <c r="H4234" s="133">
        <v>1.1082318416783377</v>
      </c>
      <c r="I4234" s="133">
        <v>0.50483792748812895</v>
      </c>
    </row>
    <row r="4235" spans="8:9" ht="12" customHeight="1">
      <c r="H4235" s="133">
        <v>1.109055417397764</v>
      </c>
      <c r="I4235" s="133">
        <v>0.50529344119528008</v>
      </c>
    </row>
    <row r="4236" spans="8:9" ht="12" customHeight="1">
      <c r="H4236" s="133">
        <v>1.109573539148778</v>
      </c>
      <c r="I4236" s="133">
        <v>0.50558000609115783</v>
      </c>
    </row>
    <row r="4237" spans="8:9" ht="12" customHeight="1">
      <c r="H4237" s="133">
        <v>1.1106360793542862</v>
      </c>
      <c r="I4237" s="133">
        <v>0.50616766849634365</v>
      </c>
    </row>
    <row r="4238" spans="8:9" ht="12" customHeight="1">
      <c r="H4238" s="133">
        <v>1.1107445007122609</v>
      </c>
      <c r="I4238" s="133">
        <v>0.50622763250200642</v>
      </c>
    </row>
    <row r="4239" spans="8:9" ht="12" customHeight="1">
      <c r="H4239" s="133">
        <v>1.1112781589532061</v>
      </c>
      <c r="I4239" s="133">
        <v>0.50652277729357664</v>
      </c>
    </row>
    <row r="4240" spans="8:9" ht="12" customHeight="1">
      <c r="H4240" s="133">
        <v>1.1129755325740547</v>
      </c>
      <c r="I4240" s="133">
        <v>0.50746149478016311</v>
      </c>
    </row>
    <row r="4241" spans="8:9" ht="12" customHeight="1">
      <c r="H4241" s="133">
        <v>1.1151800358356732</v>
      </c>
      <c r="I4241" s="133">
        <v>0.50868059631725249</v>
      </c>
    </row>
    <row r="4242" spans="8:9" ht="12" customHeight="1">
      <c r="H4242" s="133">
        <v>1.1194048605980802</v>
      </c>
      <c r="I4242" s="133">
        <v>0.51101664507859035</v>
      </c>
    </row>
    <row r="4243" spans="8:9" ht="12" customHeight="1">
      <c r="H4243" s="133">
        <v>1.1195118779168602</v>
      </c>
      <c r="I4243" s="133">
        <v>0.51107581276269909</v>
      </c>
    </row>
    <row r="4244" spans="8:9" ht="12" customHeight="1">
      <c r="H4244" s="133">
        <v>1.1214389559668336</v>
      </c>
      <c r="I4244" s="133">
        <v>0.51214120003793606</v>
      </c>
    </row>
    <row r="4245" spans="8:9" ht="12" customHeight="1">
      <c r="H4245" s="133">
        <v>1.1220699815058959</v>
      </c>
      <c r="I4245" s="133">
        <v>0.51249003971795648</v>
      </c>
    </row>
    <row r="4246" spans="8:9" ht="12" customHeight="1">
      <c r="H4246" s="133">
        <v>1.1228893759432239</v>
      </c>
      <c r="I4246" s="133">
        <v>0.51294299413394207</v>
      </c>
    </row>
    <row r="4247" spans="8:9" ht="12" customHeight="1">
      <c r="H4247" s="133">
        <v>1.1229564212425283</v>
      </c>
      <c r="I4247" s="133">
        <v>0.51298005528587509</v>
      </c>
    </row>
    <row r="4248" spans="8:9" ht="12" customHeight="1">
      <c r="H4248" s="133">
        <v>1.1232358343915942</v>
      </c>
      <c r="I4248" s="133">
        <v>0.51313450712559305</v>
      </c>
    </row>
    <row r="4249" spans="8:9" ht="12" customHeight="1">
      <c r="H4249" s="133">
        <v>1.1266199925617553</v>
      </c>
      <c r="I4249" s="133">
        <v>0.5150049680813108</v>
      </c>
    </row>
    <row r="4250" spans="8:9" ht="12" customHeight="1">
      <c r="H4250" s="133">
        <v>1.1287349682253753</v>
      </c>
      <c r="I4250" s="133">
        <v>0.51617372801221506</v>
      </c>
    </row>
    <row r="4251" spans="8:9" ht="12" customHeight="1">
      <c r="H4251" s="133">
        <v>1.1292568283817066</v>
      </c>
      <c r="I4251" s="133">
        <v>0.51646208723219622</v>
      </c>
    </row>
    <row r="4252" spans="8:9" ht="12" customHeight="1">
      <c r="H4252" s="133">
        <v>1.132767698524934</v>
      </c>
      <c r="I4252" s="133">
        <v>0.51840176033676555</v>
      </c>
    </row>
    <row r="4253" spans="8:9" ht="12" customHeight="1">
      <c r="H4253" s="133">
        <v>1.1327802878485174</v>
      </c>
      <c r="I4253" s="133">
        <v>0.51840871467884664</v>
      </c>
    </row>
    <row r="4254" spans="8:9" ht="12" customHeight="1">
      <c r="H4254" s="133">
        <v>1.1331055695842569</v>
      </c>
      <c r="I4254" s="133">
        <v>0.51858839782226707</v>
      </c>
    </row>
    <row r="4255" spans="8:9" ht="12" customHeight="1">
      <c r="H4255" s="133">
        <v>1.1332577809923803</v>
      </c>
      <c r="I4255" s="133">
        <v>0.51867247659178561</v>
      </c>
    </row>
    <row r="4256" spans="8:9" ht="12" customHeight="1">
      <c r="H4256" s="133">
        <v>1.1341309149982119</v>
      </c>
      <c r="I4256" s="133">
        <v>0.51915475910824216</v>
      </c>
    </row>
    <row r="4257" spans="8:9" ht="12" customHeight="1">
      <c r="H4257" s="133">
        <v>1.1348210236709744</v>
      </c>
      <c r="I4257" s="133">
        <v>0.5195359209159246</v>
      </c>
    </row>
    <row r="4258" spans="8:9" ht="12" customHeight="1">
      <c r="H4258" s="133">
        <v>1.1351362153201348</v>
      </c>
      <c r="I4258" s="133">
        <v>0.51971000047976057</v>
      </c>
    </row>
    <row r="4259" spans="8:9" ht="12" customHeight="1">
      <c r="H4259" s="133">
        <v>1.1352431665620653</v>
      </c>
      <c r="I4259" s="133">
        <v>0.51976906829933034</v>
      </c>
    </row>
    <row r="4260" spans="8:9" ht="12" customHeight="1">
      <c r="H4260" s="133">
        <v>1.1355381564233058</v>
      </c>
      <c r="I4260" s="133">
        <v>0.51993198460312451</v>
      </c>
    </row>
    <row r="4261" spans="8:9" ht="12" customHeight="1">
      <c r="H4261" s="133">
        <v>1.1363744098837529</v>
      </c>
      <c r="I4261" s="133">
        <v>0.52039380553333914</v>
      </c>
    </row>
    <row r="4262" spans="8:9" ht="12" customHeight="1">
      <c r="H4262" s="133">
        <v>1.1364927154471398</v>
      </c>
      <c r="I4262" s="133">
        <v>0.52045913697874124</v>
      </c>
    </row>
    <row r="4263" spans="8:9" ht="12" customHeight="1">
      <c r="H4263" s="133">
        <v>1.1373248840236974</v>
      </c>
      <c r="I4263" s="133">
        <v>0.52091866246704621</v>
      </c>
    </row>
    <row r="4264" spans="8:9" ht="12" customHeight="1">
      <c r="H4264" s="133">
        <v>1.1380005597397198</v>
      </c>
      <c r="I4264" s="133">
        <v>0.52129174621901553</v>
      </c>
    </row>
    <row r="4265" spans="8:9" ht="12" customHeight="1">
      <c r="H4265" s="133">
        <v>1.1391321787658826</v>
      </c>
      <c r="I4265" s="133">
        <v>0.5219165320092759</v>
      </c>
    </row>
    <row r="4266" spans="8:9" ht="12" customHeight="1">
      <c r="H4266" s="133">
        <v>1.1398655499502337</v>
      </c>
      <c r="I4266" s="133">
        <v>0.52232140201058741</v>
      </c>
    </row>
    <row r="4267" spans="8:9" ht="12" customHeight="1">
      <c r="H4267" s="133">
        <v>1.1398940502931107</v>
      </c>
      <c r="I4267" s="133">
        <v>0.52233713551969063</v>
      </c>
    </row>
    <row r="4268" spans="8:9" ht="12" customHeight="1">
      <c r="H4268" s="133">
        <v>1.1399294908481235</v>
      </c>
      <c r="I4268" s="133">
        <v>0.52235670028545877</v>
      </c>
    </row>
    <row r="4269" spans="8:9" ht="12" customHeight="1">
      <c r="H4269" s="133">
        <v>1.1403317032662583</v>
      </c>
      <c r="I4269" s="133">
        <v>0.52257873464338822</v>
      </c>
    </row>
    <row r="4270" spans="8:9" ht="12" customHeight="1">
      <c r="H4270" s="133">
        <v>1.1404425017039419</v>
      </c>
      <c r="I4270" s="133">
        <v>0.52263989742670658</v>
      </c>
    </row>
    <row r="4271" spans="8:9" ht="12" customHeight="1">
      <c r="H4271" s="133">
        <v>1.1407374266749291</v>
      </c>
      <c r="I4271" s="133">
        <v>0.52280269814228697</v>
      </c>
    </row>
    <row r="4272" spans="8:9" ht="12" customHeight="1">
      <c r="H4272" s="133">
        <v>1.1422128379446519</v>
      </c>
      <c r="I4272" s="133">
        <v>0.52361706239311401</v>
      </c>
    </row>
    <row r="4273" spans="8:9" ht="12" customHeight="1">
      <c r="H4273" s="133">
        <v>1.1446222638354957</v>
      </c>
      <c r="I4273" s="133">
        <v>0.52494669107116798</v>
      </c>
    </row>
    <row r="4274" spans="8:9" ht="12" customHeight="1">
      <c r="H4274" s="133">
        <v>1.146207833358019</v>
      </c>
      <c r="I4274" s="133">
        <v>0.52582148730411526</v>
      </c>
    </row>
    <row r="4275" spans="8:9" ht="12" customHeight="1">
      <c r="H4275" s="133">
        <v>1.1492060505216861</v>
      </c>
      <c r="I4275" s="133">
        <v>0.52747523717761169</v>
      </c>
    </row>
    <row r="4276" spans="8:9" ht="12" customHeight="1">
      <c r="H4276" s="133">
        <v>1.1498268575571908</v>
      </c>
      <c r="I4276" s="133">
        <v>0.52781758639407994</v>
      </c>
    </row>
    <row r="4277" spans="8:9" ht="12" customHeight="1">
      <c r="H4277" s="133">
        <v>1.1504783150010953</v>
      </c>
      <c r="I4277" s="133">
        <v>0.5281768098974241</v>
      </c>
    </row>
    <row r="4278" spans="8:9" ht="12" customHeight="1">
      <c r="H4278" s="133">
        <v>1.1531719296661063</v>
      </c>
      <c r="I4278" s="133">
        <v>0.52966179599102126</v>
      </c>
    </row>
    <row r="4279" spans="8:9" ht="12" customHeight="1">
      <c r="H4279" s="133">
        <v>1.1540995784725321</v>
      </c>
      <c r="I4279" s="133">
        <v>0.53017308731210622</v>
      </c>
    </row>
    <row r="4280" spans="8:9" ht="12" customHeight="1">
      <c r="H4280" s="133">
        <v>1.1542197771586713</v>
      </c>
      <c r="I4280" s="133">
        <v>0.53023933249739874</v>
      </c>
    </row>
    <row r="4281" spans="8:9" ht="12" customHeight="1">
      <c r="H4281" s="133">
        <v>1.1603390439135592</v>
      </c>
      <c r="I4281" s="133">
        <v>0.53361038943555161</v>
      </c>
    </row>
    <row r="4282" spans="8:9" ht="12" customHeight="1">
      <c r="H4282" s="133">
        <v>1.1608861860630202</v>
      </c>
      <c r="I4282" s="133">
        <v>0.53391166097746667</v>
      </c>
    </row>
    <row r="4283" spans="8:9" ht="12" customHeight="1">
      <c r="H4283" s="133">
        <v>1.1615257551594174</v>
      </c>
      <c r="I4283" s="133">
        <v>0.53426379397104606</v>
      </c>
    </row>
    <row r="4284" spans="8:9" ht="12" customHeight="1">
      <c r="H4284" s="133">
        <v>1.1619388637921901</v>
      </c>
      <c r="I4284" s="133">
        <v>0.53449122457331633</v>
      </c>
    </row>
    <row r="4285" spans="8:9" ht="12" customHeight="1">
      <c r="H4285" s="133">
        <v>1.1639075125252298</v>
      </c>
      <c r="I4285" s="133">
        <v>0.53557483524059335</v>
      </c>
    </row>
    <row r="4286" spans="8:9" ht="12" customHeight="1">
      <c r="H4286" s="133">
        <v>1.1656275955360946</v>
      </c>
      <c r="I4286" s="133">
        <v>0.53652135244026578</v>
      </c>
    </row>
    <row r="4287" spans="8:9" ht="12" customHeight="1">
      <c r="H4287" s="133">
        <v>1.1663081631781529</v>
      </c>
      <c r="I4287" s="133">
        <v>0.53689577895067708</v>
      </c>
    </row>
    <row r="4288" spans="8:9" ht="12" customHeight="1">
      <c r="H4288" s="133">
        <v>1.1686118420457998</v>
      </c>
      <c r="I4288" s="133">
        <v>0.53816287803837559</v>
      </c>
    </row>
    <row r="4289" spans="8:9" ht="12" customHeight="1">
      <c r="H4289" s="133">
        <v>1.1688164188203696</v>
      </c>
      <c r="I4289" s="133">
        <v>0.53827537839792361</v>
      </c>
    </row>
    <row r="4290" spans="8:9" ht="12" customHeight="1">
      <c r="H4290" s="133">
        <v>1.1706252076196311</v>
      </c>
      <c r="I4290" s="133">
        <v>0.53926989222482424</v>
      </c>
    </row>
    <row r="4291" spans="8:9" ht="12" customHeight="1">
      <c r="H4291" s="133">
        <v>1.1708830002968453</v>
      </c>
      <c r="I4291" s="133">
        <v>0.53941160732306737</v>
      </c>
    </row>
    <row r="4292" spans="8:9" ht="12" customHeight="1">
      <c r="H4292" s="133">
        <v>1.1720753781305386</v>
      </c>
      <c r="I4292" s="133">
        <v>0.54006700407016994</v>
      </c>
    </row>
    <row r="4293" spans="8:9" ht="12" customHeight="1">
      <c r="H4293" s="133">
        <v>1.1722486793741975</v>
      </c>
      <c r="I4293" s="133">
        <v>0.54016224853173678</v>
      </c>
    </row>
    <row r="4294" spans="8:9" ht="12" customHeight="1">
      <c r="H4294" s="133">
        <v>1.1722696179847676</v>
      </c>
      <c r="I4294" s="133">
        <v>0.54017375596381823</v>
      </c>
    </row>
    <row r="4295" spans="8:9" ht="12" customHeight="1">
      <c r="H4295" s="133">
        <v>1.1729456880393969</v>
      </c>
      <c r="I4295" s="133">
        <v>0.54054528714936712</v>
      </c>
    </row>
    <row r="4296" spans="8:9" ht="12" customHeight="1">
      <c r="H4296" s="133">
        <v>1.173133855512287</v>
      </c>
      <c r="I4296" s="133">
        <v>0.54064868571837177</v>
      </c>
    </row>
    <row r="4297" spans="8:9" ht="12" customHeight="1">
      <c r="H4297" s="133">
        <v>1.1734305536667324</v>
      </c>
      <c r="I4297" s="133">
        <v>0.54081171509680503</v>
      </c>
    </row>
    <row r="4298" spans="8:9" ht="12" customHeight="1">
      <c r="H4298" s="133">
        <v>1.1751603833877133</v>
      </c>
      <c r="I4298" s="133">
        <v>0.5417620450093743</v>
      </c>
    </row>
    <row r="4299" spans="8:9" ht="12" customHeight="1">
      <c r="H4299" s="133">
        <v>1.1755076631173906</v>
      </c>
      <c r="I4299" s="133">
        <v>0.54195279636309324</v>
      </c>
    </row>
    <row r="4300" spans="8:9" ht="12" customHeight="1">
      <c r="H4300" s="133">
        <v>1.1760533471335626</v>
      </c>
      <c r="I4300" s="133">
        <v>0.54225250095535082</v>
      </c>
    </row>
    <row r="4301" spans="8:9" ht="12" customHeight="1">
      <c r="H4301" s="133">
        <v>1.176346981609206</v>
      </c>
      <c r="I4301" s="133">
        <v>0.54241376040345357</v>
      </c>
    </row>
    <row r="4302" spans="8:9" ht="12" customHeight="1">
      <c r="H4302" s="133">
        <v>1.1773592125907604</v>
      </c>
      <c r="I4302" s="133">
        <v>0.54296959344963569</v>
      </c>
    </row>
    <row r="4303" spans="8:9" ht="12" customHeight="1">
      <c r="H4303" s="133">
        <v>1.1837304268462694</v>
      </c>
      <c r="I4303" s="133">
        <v>0.54646562348202876</v>
      </c>
    </row>
    <row r="4304" spans="8:9" ht="12" customHeight="1">
      <c r="H4304" s="133">
        <v>1.1838350870258016</v>
      </c>
      <c r="I4304" s="133">
        <v>0.54652301561634586</v>
      </c>
    </row>
    <row r="4305" spans="8:9" ht="12" customHeight="1">
      <c r="H4305" s="133">
        <v>1.184108505868722</v>
      </c>
      <c r="I4305" s="133">
        <v>0.54667294350609708</v>
      </c>
    </row>
    <row r="4306" spans="8:9" ht="12" customHeight="1">
      <c r="H4306" s="133">
        <v>1.185267267945477</v>
      </c>
      <c r="I4306" s="133">
        <v>0.54730825074988754</v>
      </c>
    </row>
    <row r="4307" spans="8:9" ht="12" customHeight="1">
      <c r="H4307" s="133">
        <v>1.1868532390651185</v>
      </c>
      <c r="I4307" s="133">
        <v>0.54817753103386213</v>
      </c>
    </row>
    <row r="4308" spans="8:9" ht="12" customHeight="1">
      <c r="H4308" s="133">
        <v>1.1871412232411029</v>
      </c>
      <c r="I4308" s="133">
        <v>0.54833534551463881</v>
      </c>
    </row>
    <row r="4309" spans="8:9" ht="12" customHeight="1">
      <c r="H4309" s="133">
        <v>1.1875825523435264</v>
      </c>
      <c r="I4309" s="133">
        <v>0.54857717369010195</v>
      </c>
    </row>
    <row r="4310" spans="8:9" ht="12" customHeight="1">
      <c r="H4310" s="133">
        <v>1.1885880828115463</v>
      </c>
      <c r="I4310" s="133">
        <v>0.54912807256651885</v>
      </c>
    </row>
    <row r="4311" spans="8:9" ht="12" customHeight="1">
      <c r="H4311" s="133">
        <v>1.1897806854261632</v>
      </c>
      <c r="I4311" s="133">
        <v>0.54978130624573596</v>
      </c>
    </row>
    <row r="4312" spans="8:9" ht="12" customHeight="1">
      <c r="H4312" s="133">
        <v>1.1917619248692335</v>
      </c>
      <c r="I4312" s="133">
        <v>0.55086612582813721</v>
      </c>
    </row>
    <row r="4313" spans="8:9" ht="12" customHeight="1">
      <c r="H4313" s="133">
        <v>1.194509392265229</v>
      </c>
      <c r="I4313" s="133">
        <v>0.55236968780987383</v>
      </c>
    </row>
    <row r="4314" spans="8:9" ht="12" customHeight="1">
      <c r="H4314" s="133">
        <v>1.1955841952447512</v>
      </c>
      <c r="I4314" s="133">
        <v>0.55295761888638906</v>
      </c>
    </row>
    <row r="4315" spans="8:9" ht="12" customHeight="1">
      <c r="H4315" s="133">
        <v>1.1957698565268784</v>
      </c>
      <c r="I4315" s="133">
        <v>0.55305916304672742</v>
      </c>
    </row>
    <row r="4316" spans="8:9" ht="12" customHeight="1">
      <c r="H4316" s="133">
        <v>1.197329472381927</v>
      </c>
      <c r="I4316" s="133">
        <v>0.55391199182618134</v>
      </c>
    </row>
    <row r="4317" spans="8:9" ht="12" customHeight="1">
      <c r="H4317" s="133">
        <v>1.1976949268227068</v>
      </c>
      <c r="I4317" s="133">
        <v>0.55411178383862814</v>
      </c>
    </row>
    <row r="4318" spans="8:9" ht="12" customHeight="1">
      <c r="H4318" s="133">
        <v>1.1985303007797208</v>
      </c>
      <c r="I4318" s="133">
        <v>0.55456841260991019</v>
      </c>
    </row>
    <row r="4319" spans="8:9" ht="12" customHeight="1">
      <c r="H4319" s="133">
        <v>1.1985830959762154</v>
      </c>
      <c r="I4319" s="133">
        <v>0.55459726822258137</v>
      </c>
    </row>
    <row r="4320" spans="8:9" ht="12" customHeight="1">
      <c r="H4320" s="133">
        <v>1.200062937364103</v>
      </c>
      <c r="I4320" s="133">
        <v>0.55540593624619417</v>
      </c>
    </row>
    <row r="4321" spans="8:9" ht="12" customHeight="1">
      <c r="H4321" s="133">
        <v>1.2072999249277405</v>
      </c>
      <c r="I4321" s="133">
        <v>0.5593563275694089</v>
      </c>
    </row>
    <row r="4322" spans="8:9" ht="12" customHeight="1">
      <c r="H4322" s="133">
        <v>1.207749292309394</v>
      </c>
      <c r="I4322" s="133">
        <v>0.55960137744730365</v>
      </c>
    </row>
    <row r="4323" spans="8:9" ht="12" customHeight="1">
      <c r="H4323" s="133">
        <v>1.2080503188654828</v>
      </c>
      <c r="I4323" s="133">
        <v>0.55976551758680448</v>
      </c>
    </row>
    <row r="4324" spans="8:9" ht="12" customHeight="1">
      <c r="H4324" s="133">
        <v>1.2087596432776464</v>
      </c>
      <c r="I4324" s="133">
        <v>0.56015223773469858</v>
      </c>
    </row>
    <row r="4325" spans="8:9" ht="12" customHeight="1">
      <c r="H4325" s="133">
        <v>1.2092685220722095</v>
      </c>
      <c r="I4325" s="133">
        <v>0.56042963097556775</v>
      </c>
    </row>
    <row r="4326" spans="8:9" ht="12" customHeight="1">
      <c r="H4326" s="133">
        <v>1.2104262394912653</v>
      </c>
      <c r="I4326" s="133">
        <v>0.56106056961551509</v>
      </c>
    </row>
    <row r="4327" spans="8:9" ht="12" customHeight="1">
      <c r="H4327" s="133">
        <v>1.2121248093454318</v>
      </c>
      <c r="I4327" s="133">
        <v>0.56198590700676265</v>
      </c>
    </row>
    <row r="4328" spans="8:9" ht="12" customHeight="1">
      <c r="H4328" s="133">
        <v>1.2129051854372597</v>
      </c>
      <c r="I4328" s="133">
        <v>0.56241089180412251</v>
      </c>
    </row>
    <row r="4329" spans="8:9" ht="12" customHeight="1">
      <c r="H4329" s="133">
        <v>1.2139174335947924</v>
      </c>
      <c r="I4329" s="133">
        <v>0.56296201520946954</v>
      </c>
    </row>
    <row r="4330" spans="8:9" ht="12" customHeight="1">
      <c r="H4330" s="133">
        <v>1.2148408151191292</v>
      </c>
      <c r="I4330" s="133">
        <v>0.56346461923465907</v>
      </c>
    </row>
    <row r="4331" spans="8:9" ht="12" customHeight="1">
      <c r="H4331" s="133">
        <v>1.2153321980260428</v>
      </c>
      <c r="I4331" s="133">
        <v>0.56373202985662307</v>
      </c>
    </row>
    <row r="4332" spans="8:9" ht="12" customHeight="1">
      <c r="H4332" s="133">
        <v>1.2154304101766058</v>
      </c>
      <c r="I4332" s="133">
        <v>0.5637854724792436</v>
      </c>
    </row>
    <row r="4333" spans="8:9" ht="12" customHeight="1">
      <c r="H4333" s="133">
        <v>1.2165013676391034</v>
      </c>
      <c r="I4333" s="133">
        <v>0.5643681428101156</v>
      </c>
    </row>
    <row r="4334" spans="8:9" ht="12" customHeight="1">
      <c r="H4334" s="133">
        <v>1.2188029566658916</v>
      </c>
      <c r="I4334" s="133">
        <v>0.56561975315550372</v>
      </c>
    </row>
    <row r="4335" spans="8:9" ht="12" customHeight="1">
      <c r="H4335" s="133">
        <v>1.2195944931715412</v>
      </c>
      <c r="I4335" s="133">
        <v>0.56605000038637865</v>
      </c>
    </row>
    <row r="4336" spans="8:9" ht="12" customHeight="1">
      <c r="H4336" s="133">
        <v>1.2197423336913784</v>
      </c>
      <c r="I4336" s="133">
        <v>0.5661303495015908</v>
      </c>
    </row>
    <row r="4337" spans="8:9" ht="12" customHeight="1">
      <c r="H4337" s="133">
        <v>1.2227504708325241</v>
      </c>
      <c r="I4337" s="133">
        <v>0.56776446648439294</v>
      </c>
    </row>
    <row r="4338" spans="8:9" ht="12" customHeight="1">
      <c r="H4338" s="133">
        <v>1.224315931232431</v>
      </c>
      <c r="I4338" s="133">
        <v>0.5686142942577247</v>
      </c>
    </row>
    <row r="4339" spans="8:9" ht="12" customHeight="1">
      <c r="H4339" s="133">
        <v>1.2250618322994737</v>
      </c>
      <c r="I4339" s="133">
        <v>0.56901907327742351</v>
      </c>
    </row>
    <row r="4340" spans="8:9" ht="12" customHeight="1">
      <c r="H4340" s="133">
        <v>1.225265041639519</v>
      </c>
      <c r="I4340" s="133">
        <v>0.56912933317209302</v>
      </c>
    </row>
    <row r="4341" spans="8:9" ht="12" customHeight="1">
      <c r="H4341" s="133">
        <v>1.225783616145919</v>
      </c>
      <c r="I4341" s="133">
        <v>0.56941067680099389</v>
      </c>
    </row>
    <row r="4342" spans="8:9" ht="12" customHeight="1">
      <c r="H4342" s="133">
        <v>1.2259219716900591</v>
      </c>
      <c r="I4342" s="133">
        <v>0.56948573164316119</v>
      </c>
    </row>
    <row r="4343" spans="8:9" ht="12" customHeight="1">
      <c r="H4343" s="133">
        <v>1.2261618288478866</v>
      </c>
      <c r="I4343" s="133">
        <v>0.56961584131232812</v>
      </c>
    </row>
    <row r="4344" spans="8:9" ht="12" customHeight="1">
      <c r="H4344" s="133">
        <v>1.2264623496577702</v>
      </c>
      <c r="I4344" s="133">
        <v>0.56977884419526537</v>
      </c>
    </row>
    <row r="4345" spans="8:9" ht="12" customHeight="1">
      <c r="H4345" s="133">
        <v>1.2268738616332202</v>
      </c>
      <c r="I4345" s="133">
        <v>0.57000202428944458</v>
      </c>
    </row>
    <row r="4346" spans="8:9" ht="12" customHeight="1">
      <c r="H4346" s="133">
        <v>1.2278428442809739</v>
      </c>
      <c r="I4346" s="133">
        <v>0.5705274314474269</v>
      </c>
    </row>
    <row r="4347" spans="8:9" ht="12" customHeight="1">
      <c r="H4347" s="133">
        <v>1.2311197883990062</v>
      </c>
      <c r="I4347" s="133">
        <v>0.57230309052479222</v>
      </c>
    </row>
    <row r="4348" spans="8:9" ht="12" customHeight="1">
      <c r="H4348" s="133">
        <v>1.2329933700690043</v>
      </c>
      <c r="I4348" s="133">
        <v>0.57331748430049889</v>
      </c>
    </row>
    <row r="4349" spans="8:9" ht="12" customHeight="1">
      <c r="H4349" s="133">
        <v>1.2337370290073444</v>
      </c>
      <c r="I4349" s="133">
        <v>0.57371994535993909</v>
      </c>
    </row>
    <row r="4350" spans="8:9" ht="12" customHeight="1">
      <c r="H4350" s="133">
        <v>1.2348653555883411</v>
      </c>
      <c r="I4350" s="133">
        <v>0.57433039824470078</v>
      </c>
    </row>
    <row r="4351" spans="8:9" ht="12" customHeight="1">
      <c r="H4351" s="133">
        <v>1.2412903240002435</v>
      </c>
      <c r="I4351" s="133">
        <v>0.5778020966049171</v>
      </c>
    </row>
    <row r="4352" spans="8:9" ht="12" customHeight="1">
      <c r="H4352" s="133">
        <v>1.2414979083759521</v>
      </c>
      <c r="I4352" s="133">
        <v>0.57791413756941934</v>
      </c>
    </row>
    <row r="4353" spans="8:9" ht="12" customHeight="1">
      <c r="H4353" s="133">
        <v>1.2425688149187484</v>
      </c>
      <c r="I4353" s="133">
        <v>0.57849201780407</v>
      </c>
    </row>
    <row r="4354" spans="8:9" ht="12" customHeight="1">
      <c r="H4354" s="133">
        <v>1.244101245186664</v>
      </c>
      <c r="I4354" s="133">
        <v>0.57931857027731248</v>
      </c>
    </row>
    <row r="4355" spans="8:9" ht="12" customHeight="1">
      <c r="H4355" s="133">
        <v>1.244918246281109</v>
      </c>
      <c r="I4355" s="133">
        <v>0.57975905775094128</v>
      </c>
    </row>
    <row r="4356" spans="8:9" ht="12" customHeight="1">
      <c r="H4356" s="133">
        <v>1.2465755208026712</v>
      </c>
      <c r="I4356" s="133">
        <v>0.58065218921727424</v>
      </c>
    </row>
    <row r="4357" spans="8:9" ht="12" customHeight="1">
      <c r="H4357" s="133">
        <v>1.2466158757423318</v>
      </c>
      <c r="I4357" s="133">
        <v>0.58067393056889383</v>
      </c>
    </row>
    <row r="4358" spans="8:9" ht="12" customHeight="1">
      <c r="H4358" s="133">
        <v>1.2467162973496828</v>
      </c>
      <c r="I4358" s="133">
        <v>0.58072803166839826</v>
      </c>
    </row>
    <row r="4359" spans="8:9" ht="12" customHeight="1">
      <c r="H4359" s="133">
        <v>1.2475532217268654</v>
      </c>
      <c r="I4359" s="133">
        <v>0.58117884039089729</v>
      </c>
    </row>
    <row r="4360" spans="8:9" ht="12" customHeight="1">
      <c r="H4360" s="133">
        <v>1.2499713149704588</v>
      </c>
      <c r="I4360" s="133">
        <v>0.58248058068729303</v>
      </c>
    </row>
    <row r="4361" spans="8:9" ht="12" customHeight="1">
      <c r="H4361" s="133">
        <v>1.2499928379500602</v>
      </c>
      <c r="I4361" s="133">
        <v>0.58249216209462329</v>
      </c>
    </row>
    <row r="4362" spans="8:9" ht="12" customHeight="1">
      <c r="H4362" s="133">
        <v>1.2504939322147306</v>
      </c>
      <c r="I4362" s="133">
        <v>0.5827617726585721</v>
      </c>
    </row>
    <row r="4363" spans="8:9" ht="12" customHeight="1">
      <c r="H4363" s="133">
        <v>1.2516705315734085</v>
      </c>
      <c r="I4363" s="133">
        <v>0.583394639679778</v>
      </c>
    </row>
    <row r="4364" spans="8:9" ht="12" customHeight="1">
      <c r="H4364" s="133">
        <v>1.2546677926421608</v>
      </c>
      <c r="I4364" s="133">
        <v>0.5850055548330223</v>
      </c>
    </row>
    <row r="4365" spans="8:9" ht="12" customHeight="1">
      <c r="H4365" s="133">
        <v>1.2551270177692522</v>
      </c>
      <c r="I4365" s="133">
        <v>0.5852522115161658</v>
      </c>
    </row>
    <row r="4366" spans="8:9" ht="12" customHeight="1">
      <c r="H4366" s="133">
        <v>1.2587053872785534</v>
      </c>
      <c r="I4366" s="133">
        <v>0.58717273461306385</v>
      </c>
    </row>
    <row r="4367" spans="8:9" ht="12" customHeight="1">
      <c r="H4367" s="133">
        <v>1.2607878578878746</v>
      </c>
      <c r="I4367" s="133">
        <v>0.58828918769978544</v>
      </c>
    </row>
    <row r="4368" spans="8:9" ht="12" customHeight="1">
      <c r="H4368" s="133">
        <v>1.2612400900260021</v>
      </c>
      <c r="I4368" s="133">
        <v>0.58853151853415009</v>
      </c>
    </row>
    <row r="4369" spans="8:9" ht="12" customHeight="1">
      <c r="H4369" s="133">
        <v>1.2613360064388801</v>
      </c>
      <c r="I4369" s="133">
        <v>0.58858291030522492</v>
      </c>
    </row>
    <row r="4370" spans="8:9" ht="12" customHeight="1">
      <c r="H4370" s="133">
        <v>1.2635993439437327</v>
      </c>
      <c r="I4370" s="133">
        <v>0.58979503776854547</v>
      </c>
    </row>
    <row r="4371" spans="8:9" ht="12" customHeight="1">
      <c r="H4371" s="133">
        <v>1.2647229028938392</v>
      </c>
      <c r="I4371" s="133">
        <v>0.59039635444052219</v>
      </c>
    </row>
    <row r="4372" spans="8:9" ht="12" customHeight="1">
      <c r="H4372" s="133">
        <v>1.2648145413977521</v>
      </c>
      <c r="I4372" s="133">
        <v>0.59044538648776379</v>
      </c>
    </row>
    <row r="4373" spans="8:9" ht="12" customHeight="1">
      <c r="H4373" s="133">
        <v>1.2669267343112325</v>
      </c>
      <c r="I4373" s="133">
        <v>0.59157503499104713</v>
      </c>
    </row>
    <row r="4374" spans="8:9" ht="12" customHeight="1">
      <c r="H4374" s="133">
        <v>1.2675088299081305</v>
      </c>
      <c r="I4374" s="133">
        <v>0.5918861834619743</v>
      </c>
    </row>
    <row r="4375" spans="8:9" ht="12" customHeight="1">
      <c r="H4375" s="133">
        <v>1.2685293675845779</v>
      </c>
      <c r="I4375" s="133">
        <v>0.59243151520316972</v>
      </c>
    </row>
    <row r="4376" spans="8:9" ht="12" customHeight="1">
      <c r="H4376" s="133">
        <v>1.2698596856188133</v>
      </c>
      <c r="I4376" s="133">
        <v>0.59314203844566593</v>
      </c>
    </row>
    <row r="4377" spans="8:9" ht="12" customHeight="1">
      <c r="H4377" s="133">
        <v>1.2709397328863032</v>
      </c>
      <c r="I4377" s="133">
        <v>0.59371860565836609</v>
      </c>
    </row>
    <row r="4378" spans="8:9" ht="12" customHeight="1">
      <c r="H4378" s="133">
        <v>1.2710213905710672</v>
      </c>
      <c r="I4378" s="133">
        <v>0.59376218692195348</v>
      </c>
    </row>
    <row r="4379" spans="8:9" ht="12" customHeight="1">
      <c r="H4379" s="133">
        <v>1.2754727830992412</v>
      </c>
      <c r="I4379" s="133">
        <v>0.59613567420257196</v>
      </c>
    </row>
    <row r="4380" spans="8:9" ht="12" customHeight="1">
      <c r="H4380" s="133">
        <v>1.276237326087716</v>
      </c>
      <c r="I4380" s="133">
        <v>0.59654288033206138</v>
      </c>
    </row>
    <row r="4381" spans="8:9" ht="12" customHeight="1">
      <c r="H4381" s="133">
        <v>1.2763673179722146</v>
      </c>
      <c r="I4381" s="133">
        <v>0.59661210258750585</v>
      </c>
    </row>
    <row r="4382" spans="8:9" ht="12" customHeight="1">
      <c r="H4382" s="133">
        <v>1.2768448806031314</v>
      </c>
      <c r="I4382" s="133">
        <v>0.59686637743555138</v>
      </c>
    </row>
    <row r="4383" spans="8:9" ht="12" customHeight="1">
      <c r="H4383" s="133">
        <v>1.278227019909965</v>
      </c>
      <c r="I4383" s="133">
        <v>0.59760199400307945</v>
      </c>
    </row>
    <row r="4384" spans="8:9" ht="12" customHeight="1">
      <c r="H4384" s="133">
        <v>1.2789011586280639</v>
      </c>
      <c r="I4384" s="133">
        <v>0.59796063203655969</v>
      </c>
    </row>
    <row r="4385" spans="8:9" ht="12" customHeight="1">
      <c r="H4385" s="133">
        <v>1.2798085699984898</v>
      </c>
      <c r="I4385" s="133">
        <v>0.59844320429730469</v>
      </c>
    </row>
    <row r="4386" spans="8:9" ht="12" customHeight="1">
      <c r="H4386" s="133">
        <v>1.2831127180233728</v>
      </c>
      <c r="I4386" s="133">
        <v>0.60019877188074733</v>
      </c>
    </row>
    <row r="4387" spans="8:9" ht="12" customHeight="1">
      <c r="H4387" s="133">
        <v>1.2831655499356482</v>
      </c>
      <c r="I4387" s="133">
        <v>0.60022682188858745</v>
      </c>
    </row>
    <row r="4388" spans="8:9" ht="12" customHeight="1">
      <c r="H4388" s="133">
        <v>1.2834351693864972</v>
      </c>
      <c r="I4388" s="133">
        <v>0.60036996050317393</v>
      </c>
    </row>
    <row r="4389" spans="8:9" ht="12" customHeight="1">
      <c r="H4389" s="133">
        <v>1.2850319283609042</v>
      </c>
      <c r="I4389" s="133">
        <v>0.60121731382401156</v>
      </c>
    </row>
    <row r="4390" spans="8:9" ht="12" customHeight="1">
      <c r="H4390" s="133">
        <v>1.2855519769292623</v>
      </c>
      <c r="I4390" s="133">
        <v>0.6014931578419983</v>
      </c>
    </row>
    <row r="4391" spans="8:9" ht="12" customHeight="1">
      <c r="H4391" s="133">
        <v>1.2856990895342992</v>
      </c>
      <c r="I4391" s="133">
        <v>0.60157117758695966</v>
      </c>
    </row>
    <row r="4392" spans="8:9" ht="12" customHeight="1">
      <c r="H4392" s="133">
        <v>1.2872912007411026</v>
      </c>
      <c r="I4392" s="133">
        <v>0.60241520756289924</v>
      </c>
    </row>
    <row r="4393" spans="8:9" ht="12" customHeight="1">
      <c r="H4393" s="133">
        <v>1.287821581665149</v>
      </c>
      <c r="I4393" s="133">
        <v>0.60269624479617923</v>
      </c>
    </row>
    <row r="4394" spans="8:9" ht="12" customHeight="1">
      <c r="H4394" s="133">
        <v>1.2922521280925259</v>
      </c>
      <c r="I4394" s="133">
        <v>0.6050412320779911</v>
      </c>
    </row>
    <row r="4395" spans="8:9" ht="12" customHeight="1">
      <c r="H4395" s="133">
        <v>1.2930218491765118</v>
      </c>
      <c r="I4395" s="133">
        <v>0.60544813877793535</v>
      </c>
    </row>
    <row r="4396" spans="8:9" ht="12" customHeight="1">
      <c r="H4396" s="133">
        <v>1.2950943890715327</v>
      </c>
      <c r="I4396" s="133">
        <v>0.60654304203354281</v>
      </c>
    </row>
    <row r="4397" spans="8:9" ht="12" customHeight="1">
      <c r="H4397" s="133">
        <v>1.2955342751823786</v>
      </c>
      <c r="I4397" s="133">
        <v>0.60677529247858397</v>
      </c>
    </row>
    <row r="4398" spans="8:9" ht="12" customHeight="1">
      <c r="H4398" s="133">
        <v>1.2957078320392348</v>
      </c>
      <c r="I4398" s="133">
        <v>0.60686691350818456</v>
      </c>
    </row>
    <row r="4399" spans="8:9" ht="12" customHeight="1">
      <c r="H4399" s="133">
        <v>1.29802360486029</v>
      </c>
      <c r="I4399" s="133">
        <v>0.60808869300861335</v>
      </c>
    </row>
    <row r="4400" spans="8:9" ht="12" customHeight="1">
      <c r="H4400" s="133">
        <v>1.3018603478542503</v>
      </c>
      <c r="I4400" s="133">
        <v>0.61010993831011928</v>
      </c>
    </row>
    <row r="4401" spans="8:9" ht="12" customHeight="1">
      <c r="H4401" s="133">
        <v>1.3065107912274647</v>
      </c>
      <c r="I4401" s="133">
        <v>0.61255478451943957</v>
      </c>
    </row>
    <row r="4402" spans="8:9" ht="12" customHeight="1">
      <c r="H4402" s="133">
        <v>1.3068072941342095</v>
      </c>
      <c r="I4402" s="133">
        <v>0.61271047233616927</v>
      </c>
    </row>
    <row r="4403" spans="8:9" ht="12" customHeight="1">
      <c r="H4403" s="133">
        <v>1.3091159960688494</v>
      </c>
      <c r="I4403" s="133">
        <v>0.6139219363668037</v>
      </c>
    </row>
    <row r="4404" spans="8:9" ht="12" customHeight="1">
      <c r="H4404" s="133">
        <v>1.3100176218206809</v>
      </c>
      <c r="I4404" s="133">
        <v>0.6143946719239699</v>
      </c>
    </row>
    <row r="4405" spans="8:9" ht="12" customHeight="1">
      <c r="H4405" s="133">
        <v>1.3118956790085763</v>
      </c>
      <c r="I4405" s="133">
        <v>0.61537867119765399</v>
      </c>
    </row>
    <row r="4406" spans="8:9" ht="12" customHeight="1">
      <c r="H4406" s="133">
        <v>1.3131366535339812</v>
      </c>
      <c r="I4406" s="133">
        <v>0.61602835696123259</v>
      </c>
    </row>
    <row r="4407" spans="8:9" ht="12" customHeight="1">
      <c r="H4407" s="133">
        <v>1.3152838211808455</v>
      </c>
      <c r="I4407" s="133">
        <v>0.61715148218735949</v>
      </c>
    </row>
    <row r="4408" spans="8:9" ht="12" customHeight="1">
      <c r="H4408" s="133">
        <v>1.3160001566237762</v>
      </c>
      <c r="I4408" s="133">
        <v>0.61752590041243349</v>
      </c>
    </row>
    <row r="4409" spans="8:9" ht="12" customHeight="1">
      <c r="H4409" s="133">
        <v>1.3172160311519276</v>
      </c>
      <c r="I4409" s="133">
        <v>0.61816110106262678</v>
      </c>
    </row>
    <row r="4410" spans="8:9" ht="12" customHeight="1">
      <c r="H4410" s="133">
        <v>1.3237001642738193</v>
      </c>
      <c r="I4410" s="133">
        <v>0.62154169679606619</v>
      </c>
    </row>
    <row r="4411" spans="8:9" ht="12" customHeight="1">
      <c r="H4411" s="133">
        <v>1.3242572149908107</v>
      </c>
      <c r="I4411" s="133">
        <v>0.62183157826474678</v>
      </c>
    </row>
    <row r="4412" spans="8:9" ht="12" customHeight="1">
      <c r="H4412" s="133">
        <v>1.3258996351288834</v>
      </c>
      <c r="I4412" s="133">
        <v>0.62268576357619199</v>
      </c>
    </row>
    <row r="4413" spans="8:9" ht="12" customHeight="1">
      <c r="H4413" s="133">
        <v>1.3296063443627706</v>
      </c>
      <c r="I4413" s="133">
        <v>0.62461073357652264</v>
      </c>
    </row>
    <row r="4414" spans="8:9" ht="12" customHeight="1">
      <c r="H4414" s="133">
        <v>1.3301190690171247</v>
      </c>
      <c r="I4414" s="133">
        <v>0.62487669373056676</v>
      </c>
    </row>
    <row r="4415" spans="8:9" ht="12" customHeight="1">
      <c r="H4415" s="133">
        <v>1.3308748600039289</v>
      </c>
      <c r="I4415" s="133">
        <v>0.62526859964391412</v>
      </c>
    </row>
    <row r="4416" spans="8:9" ht="12" customHeight="1">
      <c r="H4416" s="133">
        <v>1.3334376472824299</v>
      </c>
      <c r="I4416" s="133">
        <v>0.6265962760535817</v>
      </c>
    </row>
    <row r="4417" spans="8:9" ht="12" customHeight="1">
      <c r="H4417" s="133">
        <v>1.3339514250308984</v>
      </c>
      <c r="I4417" s="133">
        <v>0.62686221486311178</v>
      </c>
    </row>
    <row r="4418" spans="8:9" ht="12" customHeight="1">
      <c r="H4418" s="133">
        <v>1.3347972890495079</v>
      </c>
      <c r="I4418" s="133">
        <v>0.62729987920246588</v>
      </c>
    </row>
    <row r="4419" spans="8:9" ht="12" customHeight="1">
      <c r="H4419" s="133">
        <v>1.3355915588551501</v>
      </c>
      <c r="I4419" s="133">
        <v>0.62771065802728887</v>
      </c>
    </row>
    <row r="4420" spans="8:9" ht="12" customHeight="1">
      <c r="H4420" s="133">
        <v>1.3406171220459313</v>
      </c>
      <c r="I4420" s="133">
        <v>0.63030547419606076</v>
      </c>
    </row>
    <row r="4421" spans="8:9" ht="12" customHeight="1">
      <c r="H4421" s="133">
        <v>1.3433429392178597</v>
      </c>
      <c r="I4421" s="133">
        <v>0.63170974494751875</v>
      </c>
    </row>
    <row r="4422" spans="8:9" ht="12" customHeight="1">
      <c r="H4422" s="133">
        <v>1.3434032741969808</v>
      </c>
      <c r="I4422" s="133">
        <v>0.6317408028306678</v>
      </c>
    </row>
    <row r="4423" spans="8:9" ht="12" customHeight="1">
      <c r="H4423" s="133">
        <v>1.3471695072737286</v>
      </c>
      <c r="I4423" s="133">
        <v>0.63367732831187273</v>
      </c>
    </row>
    <row r="4424" spans="8:9" ht="12" customHeight="1">
      <c r="H4424" s="133">
        <v>1.3488992903351171</v>
      </c>
      <c r="I4424" s="133">
        <v>0.63456530886680773</v>
      </c>
    </row>
    <row r="4425" spans="8:9" ht="12" customHeight="1">
      <c r="H4425" s="133">
        <v>1.3492060991953498</v>
      </c>
      <c r="I4425" s="133">
        <v>0.63472271325170004</v>
      </c>
    </row>
    <row r="4426" spans="8:9" ht="12" customHeight="1">
      <c r="H4426" s="133">
        <v>1.3494920143550786</v>
      </c>
      <c r="I4426" s="133">
        <v>0.63486937247531161</v>
      </c>
    </row>
    <row r="4427" spans="8:9" ht="12" customHeight="1">
      <c r="H4427" s="133">
        <v>1.3499110777292302</v>
      </c>
      <c r="I4427" s="133">
        <v>0.63508428440564224</v>
      </c>
    </row>
    <row r="4428" spans="8:9" ht="12" customHeight="1">
      <c r="H4428" s="133">
        <v>1.3509194825817064</v>
      </c>
      <c r="I4428" s="133">
        <v>0.63560121272015035</v>
      </c>
    </row>
    <row r="4429" spans="8:9" ht="12" customHeight="1">
      <c r="H4429" s="133">
        <v>1.3516466370399931</v>
      </c>
      <c r="I4429" s="133">
        <v>0.63597377252372533</v>
      </c>
    </row>
    <row r="4430" spans="8:9" ht="12" customHeight="1">
      <c r="H4430" s="133">
        <v>1.3521449278581543</v>
      </c>
      <c r="I4430" s="133">
        <v>0.63622897926212973</v>
      </c>
    </row>
    <row r="4431" spans="8:9" ht="12" customHeight="1">
      <c r="H4431" s="133">
        <v>1.353680661289109</v>
      </c>
      <c r="I4431" s="133">
        <v>0.63701504432619116</v>
      </c>
    </row>
    <row r="4432" spans="8:9" ht="12" customHeight="1">
      <c r="H4432" s="133">
        <v>1.354470731338917</v>
      </c>
      <c r="I4432" s="133">
        <v>0.63741915685196848</v>
      </c>
    </row>
    <row r="4433" spans="8:9" ht="12" customHeight="1">
      <c r="H4433" s="133">
        <v>1.3547221223354629</v>
      </c>
      <c r="I4433" s="133">
        <v>0.63754770001945738</v>
      </c>
    </row>
    <row r="4434" spans="8:9" ht="12" customHeight="1">
      <c r="H4434" s="133">
        <v>1.3567451110312874</v>
      </c>
      <c r="I4434" s="133">
        <v>0.6385813928200601</v>
      </c>
    </row>
    <row r="4435" spans="8:9" ht="12" customHeight="1">
      <c r="H4435" s="133">
        <v>1.3570172178387971</v>
      </c>
      <c r="I4435" s="133">
        <v>0.63872033446791765</v>
      </c>
    </row>
    <row r="4436" spans="8:9" ht="12" customHeight="1">
      <c r="H4436" s="133">
        <v>1.3587679045840866</v>
      </c>
      <c r="I4436" s="133">
        <v>0.63961370449395771</v>
      </c>
    </row>
    <row r="4437" spans="8:9" ht="12" customHeight="1">
      <c r="H4437" s="133">
        <v>1.3592185655311946</v>
      </c>
      <c r="I4437" s="133">
        <v>0.6398435192863603</v>
      </c>
    </row>
    <row r="4438" spans="8:9" ht="12" customHeight="1">
      <c r="H4438" s="133">
        <v>1.3601292868128616</v>
      </c>
      <c r="I4438" s="133">
        <v>0.64030774639903421</v>
      </c>
    </row>
    <row r="4439" spans="8:9" ht="12" customHeight="1">
      <c r="H4439" s="133">
        <v>1.3622905093875972</v>
      </c>
      <c r="I4439" s="133">
        <v>0.64140834698247617</v>
      </c>
    </row>
    <row r="4440" spans="8:9" ht="12" customHeight="1">
      <c r="H4440" s="133">
        <v>1.3627497000830586</v>
      </c>
      <c r="I4440" s="133">
        <v>0.64164199814804079</v>
      </c>
    </row>
    <row r="4441" spans="8:9" ht="12" customHeight="1">
      <c r="H4441" s="133">
        <v>1.3638045805681784</v>
      </c>
      <c r="I4441" s="133">
        <v>0.64217850085197314</v>
      </c>
    </row>
    <row r="4442" spans="8:9" ht="12" customHeight="1">
      <c r="H4442" s="133">
        <v>1.3638183466619029</v>
      </c>
      <c r="I4442" s="133">
        <v>0.64218549981262085</v>
      </c>
    </row>
    <row r="4443" spans="8:9" ht="12" customHeight="1">
      <c r="H4443" s="133">
        <v>1.3648413542835218</v>
      </c>
      <c r="I4443" s="133">
        <v>0.64270544777781957</v>
      </c>
    </row>
    <row r="4444" spans="8:9" ht="12" customHeight="1">
      <c r="H4444" s="133">
        <v>1.3656857014729007</v>
      </c>
      <c r="I4444" s="133">
        <v>0.6431343379160428</v>
      </c>
    </row>
    <row r="4445" spans="8:9" ht="12" customHeight="1">
      <c r="H4445" s="133">
        <v>1.3671367969351265</v>
      </c>
      <c r="I4445" s="133">
        <v>0.64387089269155839</v>
      </c>
    </row>
    <row r="4446" spans="8:9" ht="12" customHeight="1">
      <c r="H4446" s="133">
        <v>1.3679572933441664</v>
      </c>
      <c r="I4446" s="133">
        <v>0.64428706380180445</v>
      </c>
    </row>
    <row r="4447" spans="8:9" ht="12" customHeight="1">
      <c r="H4447" s="133">
        <v>1.3699907644119664</v>
      </c>
      <c r="I4447" s="133">
        <v>0.64531753773019285</v>
      </c>
    </row>
    <row r="4448" spans="8:9" ht="12" customHeight="1">
      <c r="H4448" s="133">
        <v>1.3705456489781516</v>
      </c>
      <c r="I4448" s="133">
        <v>0.6455984953498447</v>
      </c>
    </row>
    <row r="4449" spans="8:9" ht="12" customHeight="1">
      <c r="H4449" s="133">
        <v>1.3714904954135649</v>
      </c>
      <c r="I4449" s="133">
        <v>0.6460766732308022</v>
      </c>
    </row>
    <row r="4450" spans="8:9" ht="12" customHeight="1">
      <c r="H4450" s="133">
        <v>1.3728616864994372</v>
      </c>
      <c r="I4450" s="133">
        <v>0.64677010061077067</v>
      </c>
    </row>
    <row r="4451" spans="8:9" ht="12" customHeight="1">
      <c r="H4451" s="133">
        <v>1.3729960240407959</v>
      </c>
      <c r="I4451" s="133">
        <v>0.64683800351608411</v>
      </c>
    </row>
    <row r="4452" spans="8:9" ht="12" customHeight="1">
      <c r="H4452" s="133">
        <v>1.3765068127603413</v>
      </c>
      <c r="I4452" s="133">
        <v>0.64861047572168506</v>
      </c>
    </row>
    <row r="4453" spans="8:9" ht="12" customHeight="1">
      <c r="H4453" s="133">
        <v>1.3767762822427363</v>
      </c>
      <c r="I4453" s="133">
        <v>0.64874635285705273</v>
      </c>
    </row>
    <row r="4454" spans="8:9" ht="12" customHeight="1">
      <c r="H4454" s="133">
        <v>1.3768094416029388</v>
      </c>
      <c r="I4454" s="133">
        <v>0.64876307144876055</v>
      </c>
    </row>
    <row r="4455" spans="8:9" ht="12" customHeight="1">
      <c r="H4455" s="133">
        <v>1.3786912537915268</v>
      </c>
      <c r="I4455" s="133">
        <v>0.64971126181641736</v>
      </c>
    </row>
    <row r="4456" spans="8:9" ht="12" customHeight="1">
      <c r="H4456" s="133">
        <v>1.3806786897285761</v>
      </c>
      <c r="I4456" s="133">
        <v>0.65071139009474488</v>
      </c>
    </row>
    <row r="4457" spans="8:9" ht="12" customHeight="1">
      <c r="H4457" s="133">
        <v>1.38418913221444</v>
      </c>
      <c r="I4457" s="133">
        <v>0.65247469307350747</v>
      </c>
    </row>
    <row r="4458" spans="8:9" ht="12" customHeight="1">
      <c r="H4458" s="133">
        <v>1.3851419438847756</v>
      </c>
      <c r="I4458" s="133">
        <v>0.65295257428094455</v>
      </c>
    </row>
    <row r="4459" spans="8:9" ht="12" customHeight="1">
      <c r="H4459" s="133">
        <v>1.385528562481904</v>
      </c>
      <c r="I4459" s="133">
        <v>0.65314639440972899</v>
      </c>
    </row>
    <row r="4460" spans="8:9" ht="12" customHeight="1">
      <c r="H4460" s="133">
        <v>1.3857025483088279</v>
      </c>
      <c r="I4460" s="133">
        <v>0.65323360064288072</v>
      </c>
    </row>
    <row r="4461" spans="8:9" ht="12" customHeight="1">
      <c r="H4461" s="133">
        <v>1.3871147510009925</v>
      </c>
      <c r="I4461" s="133">
        <v>0.65394105240692946</v>
      </c>
    </row>
    <row r="4462" spans="8:9" ht="12" customHeight="1">
      <c r="H4462" s="133">
        <v>1.3880926559552029</v>
      </c>
      <c r="I4462" s="133">
        <v>0.65443054153094882</v>
      </c>
    </row>
    <row r="4463" spans="8:9" ht="12" customHeight="1">
      <c r="H4463" s="133">
        <v>1.3903076810062438</v>
      </c>
      <c r="I4463" s="133">
        <v>0.65553805910890028</v>
      </c>
    </row>
    <row r="4464" spans="8:9" ht="12" customHeight="1">
      <c r="H4464" s="133">
        <v>1.3905082118922563</v>
      </c>
      <c r="I4464" s="133">
        <v>0.65563824186334474</v>
      </c>
    </row>
    <row r="4465" spans="8:9" ht="12" customHeight="1">
      <c r="H4465" s="133">
        <v>1.3915194815643455</v>
      </c>
      <c r="I4465" s="133">
        <v>0.6561432487469786</v>
      </c>
    </row>
    <row r="4466" spans="8:9" ht="12" customHeight="1">
      <c r="H4466" s="133">
        <v>1.391771400871777</v>
      </c>
      <c r="I4466" s="133">
        <v>0.6562689971225778</v>
      </c>
    </row>
    <row r="4467" spans="8:9" ht="12" customHeight="1">
      <c r="H4467" s="133">
        <v>1.3934647837191658</v>
      </c>
      <c r="I4467" s="133">
        <v>0.65711369918075035</v>
      </c>
    </row>
    <row r="4468" spans="8:9" ht="12" customHeight="1">
      <c r="H4468" s="133">
        <v>1.3935151451904466</v>
      </c>
      <c r="I4468" s="133">
        <v>0.65713880555386095</v>
      </c>
    </row>
    <row r="4469" spans="8:9" ht="12" customHeight="1">
      <c r="H4469" s="133">
        <v>1.3936730432807907</v>
      </c>
      <c r="I4469" s="133">
        <v>0.65721751575040965</v>
      </c>
    </row>
    <row r="4470" spans="8:9" ht="12" customHeight="1">
      <c r="H4470" s="133">
        <v>1.3955392206578221</v>
      </c>
      <c r="I4470" s="133">
        <v>0.65814712563819089</v>
      </c>
    </row>
    <row r="4471" spans="8:9" ht="12" customHeight="1">
      <c r="H4471" s="133">
        <v>1.3961089662925019</v>
      </c>
      <c r="I4471" s="133">
        <v>0.65843069487703543</v>
      </c>
    </row>
    <row r="4472" spans="8:9" ht="12" customHeight="1">
      <c r="H4472" s="133">
        <v>1.3987125913399847</v>
      </c>
      <c r="I4472" s="133">
        <v>0.65972510669875528</v>
      </c>
    </row>
    <row r="4473" spans="8:9" ht="12" customHeight="1">
      <c r="H4473" s="133">
        <v>1.3999239149442246</v>
      </c>
      <c r="I4473" s="133">
        <v>0.66032651508334972</v>
      </c>
    </row>
    <row r="4474" spans="8:9" ht="12" customHeight="1">
      <c r="H4474" s="133">
        <v>1.4008951849565103</v>
      </c>
      <c r="I4474" s="133">
        <v>0.66080836646121055</v>
      </c>
    </row>
    <row r="4475" spans="8:9" ht="12" customHeight="1">
      <c r="H4475" s="133">
        <v>1.4062586703702347</v>
      </c>
      <c r="I4475" s="133">
        <v>0.66346319942929211</v>
      </c>
    </row>
    <row r="4476" spans="8:9" ht="12" customHeight="1">
      <c r="H4476" s="133">
        <v>1.4076798112621622</v>
      </c>
      <c r="I4476" s="133">
        <v>0.66416492213284439</v>
      </c>
    </row>
    <row r="4477" spans="8:9" ht="12" customHeight="1">
      <c r="H4477" s="133">
        <v>1.4077191378389924</v>
      </c>
      <c r="I4477" s="133">
        <v>0.66418433029666124</v>
      </c>
    </row>
    <row r="4478" spans="8:9" ht="12" customHeight="1">
      <c r="H4478" s="133">
        <v>1.4126884012163161</v>
      </c>
      <c r="I4478" s="133">
        <v>0.6666322460376739</v>
      </c>
    </row>
    <row r="4479" spans="8:9" ht="12" customHeight="1">
      <c r="H4479" s="133">
        <v>1.4134405336487579</v>
      </c>
      <c r="I4479" s="133">
        <v>0.66700197734377842</v>
      </c>
    </row>
    <row r="4480" spans="8:9" ht="12" customHeight="1">
      <c r="H4480" s="133">
        <v>1.4172700373310461</v>
      </c>
      <c r="I4480" s="133">
        <v>0.66888128154080706</v>
      </c>
    </row>
    <row r="4481" spans="8:9" ht="12" customHeight="1">
      <c r="H4481" s="133">
        <v>1.420364477913548</v>
      </c>
      <c r="I4481" s="133">
        <v>0.67039593704151978</v>
      </c>
    </row>
    <row r="4482" spans="8:9" ht="12" customHeight="1">
      <c r="H4482" s="133">
        <v>1.420486301552665</v>
      </c>
      <c r="I4482" s="133">
        <v>0.6704554947619803</v>
      </c>
    </row>
    <row r="4483" spans="8:9" ht="12" customHeight="1">
      <c r="H4483" s="133">
        <v>1.421649765065204</v>
      </c>
      <c r="I4483" s="133">
        <v>0.67102401842858894</v>
      </c>
    </row>
    <row r="4484" spans="8:9" ht="12" customHeight="1">
      <c r="H4484" s="133">
        <v>1.4232624434405015</v>
      </c>
      <c r="I4484" s="133">
        <v>0.67181122213307864</v>
      </c>
    </row>
    <row r="4485" spans="8:9" ht="12" customHeight="1">
      <c r="H4485" s="133">
        <v>1.4266652999560885</v>
      </c>
      <c r="I4485" s="133">
        <v>0.67346910425825512</v>
      </c>
    </row>
    <row r="4486" spans="8:9" ht="12" customHeight="1">
      <c r="H4486" s="133">
        <v>1.4272704414253929</v>
      </c>
      <c r="I4486" s="133">
        <v>0.67376347894719757</v>
      </c>
    </row>
    <row r="4487" spans="8:9" ht="12" customHeight="1">
      <c r="H4487" s="133">
        <v>1.4336812033582054</v>
      </c>
      <c r="I4487" s="133">
        <v>0.67687358960942323</v>
      </c>
    </row>
    <row r="4488" spans="8:9" ht="12" customHeight="1">
      <c r="H4488" s="133">
        <v>1.4343073346865722</v>
      </c>
      <c r="I4488" s="133">
        <v>0.67717651906358922</v>
      </c>
    </row>
    <row r="4489" spans="8:9" ht="12" customHeight="1">
      <c r="H4489" s="133">
        <v>1.4343944514625104</v>
      </c>
      <c r="I4489" s="133">
        <v>0.67721865537216008</v>
      </c>
    </row>
    <row r="4490" spans="8:9" ht="12" customHeight="1">
      <c r="H4490" s="133">
        <v>1.4355963523868256</v>
      </c>
      <c r="I4490" s="133">
        <v>0.6777996921777959</v>
      </c>
    </row>
    <row r="4491" spans="8:9" ht="12" customHeight="1">
      <c r="H4491" s="133">
        <v>1.4376375828311467</v>
      </c>
      <c r="I4491" s="133">
        <v>0.67878522825874221</v>
      </c>
    </row>
    <row r="4492" spans="8:9" ht="12" customHeight="1">
      <c r="H4492" s="133">
        <v>1.4404412133395279</v>
      </c>
      <c r="I4492" s="133">
        <v>0.68013626886944623</v>
      </c>
    </row>
    <row r="4493" spans="8:9" ht="12" customHeight="1">
      <c r="H4493" s="133">
        <v>1.4457778342719485</v>
      </c>
      <c r="I4493" s="133">
        <v>0.68269958400794617</v>
      </c>
    </row>
    <row r="4494" spans="8:9" ht="12" customHeight="1">
      <c r="H4494" s="133">
        <v>1.4464888664473294</v>
      </c>
      <c r="I4494" s="133">
        <v>0.68304028009905327</v>
      </c>
    </row>
    <row r="4495" spans="8:9" ht="12" customHeight="1">
      <c r="H4495" s="133">
        <v>1.4473235769345745</v>
      </c>
      <c r="I4495" s="133">
        <v>0.68343998720042631</v>
      </c>
    </row>
    <row r="4496" spans="8:9" ht="12" customHeight="1">
      <c r="H4496" s="133">
        <v>1.4473548563395557</v>
      </c>
      <c r="I4496" s="133">
        <v>0.68345496030737896</v>
      </c>
    </row>
    <row r="4497" spans="8:9" ht="12" customHeight="1">
      <c r="H4497" s="133">
        <v>1.4478190070306116</v>
      </c>
      <c r="I4497" s="133">
        <v>0.68367709944305666</v>
      </c>
    </row>
    <row r="4498" spans="8:9" ht="12" customHeight="1">
      <c r="H4498" s="133">
        <v>1.4480807564364953</v>
      </c>
      <c r="I4498" s="133">
        <v>0.68380233385510503</v>
      </c>
    </row>
    <row r="4499" spans="8:9" ht="12" customHeight="1">
      <c r="H4499" s="133">
        <v>1.4512455258629717</v>
      </c>
      <c r="I4499" s="133">
        <v>0.68531440929324383</v>
      </c>
    </row>
    <row r="4500" spans="8:9" ht="12" customHeight="1">
      <c r="H4500" s="133">
        <v>1.4513889297919751</v>
      </c>
      <c r="I4500" s="133">
        <v>0.6853828327087671</v>
      </c>
    </row>
    <row r="4501" spans="8:9" ht="12" customHeight="1">
      <c r="H4501" s="133">
        <v>1.453073844960818</v>
      </c>
      <c r="I4501" s="133">
        <v>0.68618616578715819</v>
      </c>
    </row>
    <row r="4502" spans="8:9" ht="12" customHeight="1">
      <c r="H4502" s="133">
        <v>1.4546883163430371</v>
      </c>
      <c r="I4502" s="133">
        <v>0.68695486723939048</v>
      </c>
    </row>
    <row r="4503" spans="8:9" ht="12" customHeight="1">
      <c r="H4503" s="133">
        <v>1.4555998497239333</v>
      </c>
      <c r="I4503" s="133">
        <v>0.68738842442025738</v>
      </c>
    </row>
    <row r="4504" spans="8:9" ht="12" customHeight="1">
      <c r="H4504" s="133">
        <v>1.4586342364475362</v>
      </c>
      <c r="I4504" s="133">
        <v>0.68882932177348555</v>
      </c>
    </row>
    <row r="4505" spans="8:9" ht="12" customHeight="1">
      <c r="H4505" s="133">
        <v>1.4595948131096113</v>
      </c>
      <c r="I4505" s="133">
        <v>0.68928469806477</v>
      </c>
    </row>
    <row r="4506" spans="8:9" ht="12" customHeight="1">
      <c r="H4506" s="133">
        <v>1.4598660808346455</v>
      </c>
      <c r="I4506" s="133">
        <v>0.68941323045129888</v>
      </c>
    </row>
    <row r="4507" spans="8:9" ht="12" customHeight="1">
      <c r="H4507" s="133">
        <v>1.4613726949051085</v>
      </c>
      <c r="I4507" s="133">
        <v>0.69012656386307858</v>
      </c>
    </row>
    <row r="4508" spans="8:9" ht="12" customHeight="1">
      <c r="H4508" s="133">
        <v>1.4620685506721305</v>
      </c>
      <c r="I4508" s="133">
        <v>0.6904557243099424</v>
      </c>
    </row>
    <row r="4509" spans="8:9" ht="12" customHeight="1">
      <c r="H4509" s="133">
        <v>1.4653778556333168</v>
      </c>
      <c r="I4509" s="133">
        <v>0.6920184788148267</v>
      </c>
    </row>
    <row r="4510" spans="8:9" ht="12" customHeight="1">
      <c r="H4510" s="133">
        <v>1.466209988248631</v>
      </c>
      <c r="I4510" s="133">
        <v>0.69241074762425481</v>
      </c>
    </row>
    <row r="4511" spans="8:9" ht="12" customHeight="1">
      <c r="H4511" s="133">
        <v>1.468408154023022</v>
      </c>
      <c r="I4511" s="133">
        <v>0.69344562961491529</v>
      </c>
    </row>
    <row r="4512" spans="8:9" ht="12" customHeight="1">
      <c r="H4512" s="133">
        <v>1.472203025848299</v>
      </c>
      <c r="I4512" s="133">
        <v>0.69522764795592806</v>
      </c>
    </row>
    <row r="4513" spans="8:9" ht="12" customHeight="1">
      <c r="H4513" s="133">
        <v>1.4736690061504123</v>
      </c>
      <c r="I4513" s="133">
        <v>0.69591449169771624</v>
      </c>
    </row>
    <row r="4514" spans="8:9" ht="12" customHeight="1">
      <c r="H4514" s="133">
        <v>1.4739982244144478</v>
      </c>
      <c r="I4514" s="133">
        <v>0.69606861774805329</v>
      </c>
    </row>
    <row r="4515" spans="8:9" ht="12" customHeight="1">
      <c r="H4515" s="133">
        <v>1.4750420619022422</v>
      </c>
      <c r="I4515" s="133">
        <v>0.6965570071068008</v>
      </c>
    </row>
    <row r="4516" spans="8:9" ht="12" customHeight="1">
      <c r="H4516" s="133">
        <v>1.4756005335544387</v>
      </c>
      <c r="I4516" s="133">
        <v>0.69681812215762629</v>
      </c>
    </row>
    <row r="4517" spans="8:9" ht="12" customHeight="1">
      <c r="H4517" s="133">
        <v>1.4759089167353996</v>
      </c>
      <c r="I4517" s="133">
        <v>0.6969622532042935</v>
      </c>
    </row>
    <row r="4518" spans="8:9" ht="12" customHeight="1">
      <c r="H4518" s="133">
        <v>1.4776771412966059</v>
      </c>
      <c r="I4518" s="133">
        <v>0.69778793143590201</v>
      </c>
    </row>
    <row r="4519" spans="8:9" ht="12" customHeight="1">
      <c r="H4519" s="133">
        <v>1.4794827741218639</v>
      </c>
      <c r="I4519" s="133">
        <v>0.69862975988653631</v>
      </c>
    </row>
    <row r="4520" spans="8:9" ht="12" customHeight="1">
      <c r="H4520" s="133">
        <v>1.4797071970671123</v>
      </c>
      <c r="I4520" s="133">
        <v>0.69873429793275121</v>
      </c>
    </row>
    <row r="4521" spans="8:9" ht="12" customHeight="1">
      <c r="H4521" s="133">
        <v>1.4797993039131971</v>
      </c>
      <c r="I4521" s="133">
        <v>0.69877719608553224</v>
      </c>
    </row>
    <row r="4522" spans="8:9" ht="12" customHeight="1">
      <c r="H4522" s="133">
        <v>1.480421326059741</v>
      </c>
      <c r="I4522" s="133">
        <v>0.69906680776472607</v>
      </c>
    </row>
    <row r="4523" spans="8:9" ht="12" customHeight="1">
      <c r="H4523" s="133">
        <v>1.4813562249255821</v>
      </c>
      <c r="I4523" s="133">
        <v>0.69950179546036462</v>
      </c>
    </row>
    <row r="4524" spans="8:9" ht="12" customHeight="1">
      <c r="H4524" s="133">
        <v>1.4823815884479763</v>
      </c>
      <c r="I4524" s="133">
        <v>0.69997846169225297</v>
      </c>
    </row>
    <row r="4525" spans="8:9" ht="12" customHeight="1">
      <c r="H4525" s="133">
        <v>1.4843693605413812</v>
      </c>
      <c r="I4525" s="133">
        <v>0.70090129595199591</v>
      </c>
    </row>
    <row r="4526" spans="8:9" ht="12" customHeight="1">
      <c r="H4526" s="133">
        <v>1.48623475772014</v>
      </c>
      <c r="I4526" s="133">
        <v>0.70176583506437518</v>
      </c>
    </row>
    <row r="4527" spans="8:9" ht="12" customHeight="1">
      <c r="H4527" s="133">
        <v>1.4867153339802623</v>
      </c>
      <c r="I4527" s="133">
        <v>0.70198833056872789</v>
      </c>
    </row>
    <row r="4528" spans="8:9" ht="12" customHeight="1">
      <c r="H4528" s="133">
        <v>1.4880987105476069</v>
      </c>
      <c r="I4528" s="133">
        <v>0.7026282677351926</v>
      </c>
    </row>
    <row r="4529" spans="8:9" ht="12" customHeight="1">
      <c r="H4529" s="133">
        <v>1.4901920956839998</v>
      </c>
      <c r="I4529" s="133">
        <v>0.70359513925601158</v>
      </c>
    </row>
    <row r="4530" spans="8:9" ht="12" customHeight="1">
      <c r="H4530" s="133">
        <v>1.4905608461811699</v>
      </c>
      <c r="I4530" s="133">
        <v>0.70376526542563178</v>
      </c>
    </row>
    <row r="4531" spans="8:9" ht="12" customHeight="1">
      <c r="H4531" s="133">
        <v>1.4959744647678335</v>
      </c>
      <c r="I4531" s="133">
        <v>0.7062563593048421</v>
      </c>
    </row>
    <row r="4532" spans="8:9" ht="12" customHeight="1">
      <c r="H4532" s="133">
        <v>1.5033741703812273</v>
      </c>
      <c r="I4532" s="133">
        <v>0.7096414789003368</v>
      </c>
    </row>
    <row r="4533" spans="8:9" ht="12" customHeight="1">
      <c r="H4533" s="133">
        <v>1.5049737730784112</v>
      </c>
      <c r="I4533" s="133">
        <v>0.71037020721138511</v>
      </c>
    </row>
    <row r="4534" spans="8:9" ht="12" customHeight="1">
      <c r="H4534" s="133">
        <v>1.5054579073870271</v>
      </c>
      <c r="I4534" s="133">
        <v>0.7105905498027697</v>
      </c>
    </row>
    <row r="4535" spans="8:9" ht="12" customHeight="1">
      <c r="H4535" s="133">
        <v>1.5063980215765569</v>
      </c>
      <c r="I4535" s="133">
        <v>0.71101813720766438</v>
      </c>
    </row>
    <row r="4536" spans="8:9" ht="12" customHeight="1">
      <c r="H4536" s="133">
        <v>1.509031966901659</v>
      </c>
      <c r="I4536" s="133">
        <v>0.71221412170545928</v>
      </c>
    </row>
    <row r="4537" spans="8:9" ht="12" customHeight="1">
      <c r="H4537" s="133">
        <v>1.510545903657126</v>
      </c>
      <c r="I4537" s="133">
        <v>0.71290021202427911</v>
      </c>
    </row>
    <row r="4538" spans="8:9" ht="12" customHeight="1">
      <c r="H4538" s="133">
        <v>1.5119732714976903</v>
      </c>
      <c r="I4538" s="133">
        <v>0.7135461752095722</v>
      </c>
    </row>
    <row r="4539" spans="8:9" ht="12" customHeight="1">
      <c r="H4539" s="133">
        <v>1.5158704385377839</v>
      </c>
      <c r="I4539" s="133">
        <v>0.71530542130058294</v>
      </c>
    </row>
    <row r="4540" spans="8:9" ht="12" customHeight="1">
      <c r="H4540" s="133">
        <v>1.5159457927850486</v>
      </c>
      <c r="I4540" s="133">
        <v>0.71533937330168262</v>
      </c>
    </row>
    <row r="4541" spans="8:9" ht="12" customHeight="1">
      <c r="H4541" s="133">
        <v>1.520065032756682</v>
      </c>
      <c r="I4541" s="133">
        <v>0.71719164464622054</v>
      </c>
    </row>
    <row r="4542" spans="8:9" ht="12" customHeight="1">
      <c r="H4542" s="133">
        <v>1.5215248161496981</v>
      </c>
      <c r="I4542" s="133">
        <v>0.71784630111137981</v>
      </c>
    </row>
    <row r="4543" spans="8:9" ht="12" customHeight="1">
      <c r="H4543" s="133">
        <v>1.5255118826060574</v>
      </c>
      <c r="I4543" s="133">
        <v>0.71962965105967591</v>
      </c>
    </row>
    <row r="4544" spans="8:9" ht="12" customHeight="1">
      <c r="H4544" s="133">
        <v>1.5293336869721901</v>
      </c>
      <c r="I4544" s="133">
        <v>0.72133260808471689</v>
      </c>
    </row>
    <row r="4545" spans="8:9" ht="12" customHeight="1">
      <c r="H4545" s="133">
        <v>1.5307322707161379</v>
      </c>
      <c r="I4545" s="133">
        <v>0.72195421381943914</v>
      </c>
    </row>
    <row r="4546" spans="8:9" ht="12" customHeight="1">
      <c r="H4546" s="133">
        <v>1.5309581343408691</v>
      </c>
      <c r="I4546" s="133">
        <v>0.72205451974870904</v>
      </c>
    </row>
    <row r="4547" spans="8:9" ht="12" customHeight="1">
      <c r="H4547" s="133">
        <v>1.5327204279712938</v>
      </c>
      <c r="I4547" s="133">
        <v>0.72283638871770839</v>
      </c>
    </row>
    <row r="4548" spans="8:9" ht="12" customHeight="1">
      <c r="H4548" s="133">
        <v>1.5344367335869691</v>
      </c>
      <c r="I4548" s="133">
        <v>0.72359654954385944</v>
      </c>
    </row>
    <row r="4549" spans="8:9" ht="12" customHeight="1">
      <c r="H4549" s="133">
        <v>1.5365864171895591</v>
      </c>
      <c r="I4549" s="133">
        <v>0.72454683604276682</v>
      </c>
    </row>
    <row r="4550" spans="8:9" ht="12" customHeight="1">
      <c r="H4550" s="133">
        <v>1.5389295430319718</v>
      </c>
      <c r="I4550" s="133">
        <v>0.72558032562672092</v>
      </c>
    </row>
    <row r="4551" spans="8:9" ht="12" customHeight="1">
      <c r="H4551" s="133">
        <v>1.539823985820568</v>
      </c>
      <c r="I4551" s="133">
        <v>0.72597420373683097</v>
      </c>
    </row>
    <row r="4552" spans="8:9" ht="12" customHeight="1">
      <c r="H4552" s="133">
        <v>1.5410885794188172</v>
      </c>
      <c r="I4552" s="133">
        <v>0.72653048103926077</v>
      </c>
    </row>
    <row r="4553" spans="8:9" ht="12" customHeight="1">
      <c r="H4553" s="133">
        <v>1.5416976214502074</v>
      </c>
      <c r="I4553" s="133">
        <v>0.72679813885458311</v>
      </c>
    </row>
    <row r="4554" spans="8:9" ht="12" customHeight="1">
      <c r="H4554" s="133">
        <v>1.5442438370451295</v>
      </c>
      <c r="I4554" s="133">
        <v>0.72791536077894392</v>
      </c>
    </row>
    <row r="4555" spans="8:9" ht="12" customHeight="1">
      <c r="H4555" s="133">
        <v>1.5499727237222123</v>
      </c>
      <c r="I4555" s="133">
        <v>0.73041858063234388</v>
      </c>
    </row>
    <row r="4556" spans="8:9" ht="12" customHeight="1">
      <c r="H4556" s="133">
        <v>1.5520343068882334</v>
      </c>
      <c r="I4556" s="133">
        <v>0.73131581968812243</v>
      </c>
    </row>
    <row r="4557" spans="8:9" ht="12" customHeight="1">
      <c r="H4557" s="133">
        <v>1.5525540040036303</v>
      </c>
      <c r="I4557" s="133">
        <v>0.73154170310049982</v>
      </c>
    </row>
    <row r="4558" spans="8:9" ht="12" customHeight="1">
      <c r="H4558" s="133">
        <v>1.5548406765006959</v>
      </c>
      <c r="I4558" s="133">
        <v>0.7325341630952007</v>
      </c>
    </row>
    <row r="4559" spans="8:9" ht="12" customHeight="1">
      <c r="H4559" s="133">
        <v>1.5586298165074042</v>
      </c>
      <c r="I4559" s="133">
        <v>0.73417358595619686</v>
      </c>
    </row>
    <row r="4560" spans="8:9" ht="12" customHeight="1">
      <c r="H4560" s="133">
        <v>1.5592951397371946</v>
      </c>
      <c r="I4560" s="133">
        <v>0.73446078456240482</v>
      </c>
    </row>
    <row r="4561" spans="8:9" ht="12" customHeight="1">
      <c r="H4561" s="133">
        <v>1.5611338729759217</v>
      </c>
      <c r="I4561" s="133">
        <v>0.73525347544076136</v>
      </c>
    </row>
    <row r="4562" spans="8:9" ht="12" customHeight="1">
      <c r="H4562" s="133">
        <v>1.5632573640772351</v>
      </c>
      <c r="I4562" s="133">
        <v>0.73616704106209996</v>
      </c>
    </row>
    <row r="4563" spans="8:9" ht="12" customHeight="1">
      <c r="H4563" s="133">
        <v>1.5650235378416886</v>
      </c>
      <c r="I4563" s="133">
        <v>0.73692533954383665</v>
      </c>
    </row>
    <row r="4564" spans="8:9" ht="12" customHeight="1">
      <c r="H4564" s="133">
        <v>1.5659606450125603</v>
      </c>
      <c r="I4564" s="133">
        <v>0.73732711262606343</v>
      </c>
    </row>
    <row r="4565" spans="8:9" ht="12" customHeight="1">
      <c r="H4565" s="133">
        <v>1.5691028358782155</v>
      </c>
      <c r="I4565" s="133">
        <v>0.73867140208076754</v>
      </c>
    </row>
    <row r="4566" spans="8:9" ht="12" customHeight="1">
      <c r="H4566" s="133">
        <v>1.5708676937191806</v>
      </c>
      <c r="I4566" s="133">
        <v>0.73942448942262817</v>
      </c>
    </row>
    <row r="4567" spans="8:9" ht="12" customHeight="1">
      <c r="H4567" s="133">
        <v>1.5757752391013224</v>
      </c>
      <c r="I4567" s="133">
        <v>0.74151120093218448</v>
      </c>
    </row>
    <row r="4568" spans="8:9" ht="12" customHeight="1">
      <c r="H4568" s="133">
        <v>1.5786365553409822</v>
      </c>
      <c r="I4568" s="133">
        <v>0.74272281092641812</v>
      </c>
    </row>
    <row r="4569" spans="8:9" ht="12" customHeight="1">
      <c r="H4569" s="133">
        <v>1.5807416553589535</v>
      </c>
      <c r="I4569" s="133">
        <v>0.74361183148243715</v>
      </c>
    </row>
    <row r="4570" spans="8:9" ht="12" customHeight="1">
      <c r="H4570" s="133">
        <v>1.5815391612247911</v>
      </c>
      <c r="I4570" s="133">
        <v>0.7439481059649663</v>
      </c>
    </row>
    <row r="4571" spans="8:9" ht="12" customHeight="1">
      <c r="H4571" s="133">
        <v>1.5815933442150492</v>
      </c>
      <c r="I4571" s="133">
        <v>0.7439709421430053</v>
      </c>
    </row>
    <row r="4572" spans="8:9" ht="12" customHeight="1">
      <c r="H4572" s="133">
        <v>1.5815966673139146</v>
      </c>
      <c r="I4572" s="133">
        <v>0.74397234266596202</v>
      </c>
    </row>
    <row r="4573" spans="8:9" ht="12" customHeight="1">
      <c r="H4573" s="133">
        <v>1.5818386195631624</v>
      </c>
      <c r="I4573" s="133">
        <v>0.74407430015354847</v>
      </c>
    </row>
    <row r="4574" spans="8:9" ht="12" customHeight="1">
      <c r="H4574" s="133">
        <v>1.582527612193001</v>
      </c>
      <c r="I4574" s="133">
        <v>0.74436449229712165</v>
      </c>
    </row>
    <row r="4575" spans="8:9" ht="12" customHeight="1">
      <c r="H4575" s="133">
        <v>1.583457952421075</v>
      </c>
      <c r="I4575" s="133">
        <v>0.74475599303720386</v>
      </c>
    </row>
    <row r="4576" spans="8:9" ht="12" customHeight="1">
      <c r="H4576" s="133">
        <v>1.5854459354782762</v>
      </c>
      <c r="I4576" s="133">
        <v>0.74559124355510842</v>
      </c>
    </row>
    <row r="4577" spans="8:9" ht="12" customHeight="1">
      <c r="H4577" s="133">
        <v>1.5903277806858411</v>
      </c>
      <c r="I4577" s="133">
        <v>0.74763469633976243</v>
      </c>
    </row>
    <row r="4578" spans="8:9" ht="12" customHeight="1">
      <c r="H4578" s="133">
        <v>1.5915657369934575</v>
      </c>
      <c r="I4578" s="133">
        <v>0.74815115097138973</v>
      </c>
    </row>
    <row r="4579" spans="8:9" ht="12" customHeight="1">
      <c r="H4579" s="133">
        <v>1.5922473856620813</v>
      </c>
      <c r="I4579" s="133">
        <v>0.7484352238904185</v>
      </c>
    </row>
    <row r="4580" spans="8:9" ht="12" customHeight="1">
      <c r="H4580" s="133">
        <v>1.5928317652632313</v>
      </c>
      <c r="I4580" s="133">
        <v>0.74867859110446877</v>
      </c>
    </row>
    <row r="4581" spans="8:9" ht="12" customHeight="1">
      <c r="H4581" s="133">
        <v>1.5928990738363673</v>
      </c>
      <c r="I4581" s="133">
        <v>0.74870661198104171</v>
      </c>
    </row>
    <row r="4582" spans="8:9" ht="12" customHeight="1">
      <c r="H4582" s="133">
        <v>1.5955324211829693</v>
      </c>
      <c r="I4582" s="133">
        <v>0.74980125695762045</v>
      </c>
    </row>
    <row r="4583" spans="8:9" ht="12" customHeight="1">
      <c r="H4583" s="133">
        <v>1.5964457525344535</v>
      </c>
      <c r="I4583" s="133">
        <v>0.75018017286989824</v>
      </c>
    </row>
    <row r="4584" spans="8:9" ht="12" customHeight="1">
      <c r="H4584" s="133">
        <v>1.5996678247035154</v>
      </c>
      <c r="I4584" s="133">
        <v>0.75151386173289858</v>
      </c>
    </row>
    <row r="4585" spans="8:9" ht="12" customHeight="1">
      <c r="H4585" s="133">
        <v>1.6007436210972728</v>
      </c>
      <c r="I4585" s="133">
        <v>0.75195809556798909</v>
      </c>
    </row>
    <row r="4586" spans="8:9" ht="12" customHeight="1">
      <c r="H4586" s="133">
        <v>1.6015152457780459</v>
      </c>
      <c r="I4586" s="133">
        <v>0.75227639835398563</v>
      </c>
    </row>
    <row r="4587" spans="8:9" ht="12" customHeight="1">
      <c r="H4587" s="133">
        <v>1.6031078674709036</v>
      </c>
      <c r="I4587" s="133">
        <v>0.75293250375097698</v>
      </c>
    </row>
    <row r="4588" spans="8:9" ht="12" customHeight="1">
      <c r="H4588" s="133">
        <v>1.6042324072069252</v>
      </c>
      <c r="I4588" s="133">
        <v>0.75339507169065989</v>
      </c>
    </row>
    <row r="4589" spans="8:9" ht="12" customHeight="1">
      <c r="H4589" s="133">
        <v>1.6043328673546378</v>
      </c>
      <c r="I4589" s="133">
        <v>0.75343636658830981</v>
      </c>
    </row>
    <row r="4590" spans="8:9" ht="12" customHeight="1">
      <c r="H4590" s="133">
        <v>1.6055590359612197</v>
      </c>
      <c r="I4590" s="133">
        <v>0.75394001739694039</v>
      </c>
    </row>
    <row r="4591" spans="8:9" ht="12" customHeight="1">
      <c r="H4591" s="133">
        <v>1.6066301096637026</v>
      </c>
      <c r="I4591" s="133">
        <v>0.7543793952624388</v>
      </c>
    </row>
    <row r="4592" spans="8:9" ht="12" customHeight="1">
      <c r="H4592" s="133">
        <v>1.6093874087560849</v>
      </c>
      <c r="I4592" s="133">
        <v>0.75550806322638087</v>
      </c>
    </row>
    <row r="4593" spans="8:9" ht="12" customHeight="1">
      <c r="H4593" s="133">
        <v>1.6104642134321576</v>
      </c>
      <c r="I4593" s="133">
        <v>0.75594788688839232</v>
      </c>
    </row>
    <row r="4594" spans="8:9" ht="12" customHeight="1">
      <c r="H4594" s="133">
        <v>1.6144578010814326</v>
      </c>
      <c r="I4594" s="133">
        <v>0.7575743950753322</v>
      </c>
    </row>
    <row r="4595" spans="8:9" ht="12" customHeight="1">
      <c r="H4595" s="133">
        <v>1.6159152771559699</v>
      </c>
      <c r="I4595" s="133">
        <v>0.7581661566534792</v>
      </c>
    </row>
    <row r="4596" spans="8:9" ht="12" customHeight="1">
      <c r="H4596" s="133">
        <v>1.617225839720219</v>
      </c>
      <c r="I4596" s="133">
        <v>0.75869742806370388</v>
      </c>
    </row>
    <row r="4597" spans="8:9" ht="12" customHeight="1">
      <c r="H4597" s="133">
        <v>1.6172621934148714</v>
      </c>
      <c r="I4597" s="133">
        <v>0.75871215365010036</v>
      </c>
    </row>
    <row r="4598" spans="8:9" ht="12" customHeight="1">
      <c r="H4598" s="133">
        <v>1.6175330605293827</v>
      </c>
      <c r="I4598" s="133">
        <v>0.75882185297152904</v>
      </c>
    </row>
    <row r="4599" spans="8:9" ht="12" customHeight="1">
      <c r="H4599" s="133">
        <v>1.6222832364544593</v>
      </c>
      <c r="I4599" s="133">
        <v>0.76074010740643827</v>
      </c>
    </row>
    <row r="4600" spans="8:9" ht="12" customHeight="1">
      <c r="H4600" s="133">
        <v>1.6228540943475975</v>
      </c>
      <c r="I4600" s="133">
        <v>0.760969930508403</v>
      </c>
    </row>
    <row r="4601" spans="8:9" ht="12" customHeight="1">
      <c r="H4601" s="133">
        <v>1.6259926491218872</v>
      </c>
      <c r="I4601" s="133">
        <v>0.76223078269348055</v>
      </c>
    </row>
    <row r="4602" spans="8:9" ht="12" customHeight="1">
      <c r="H4602" s="133">
        <v>1.6294681162800553</v>
      </c>
      <c r="I4602" s="133">
        <v>0.7636216343344695</v>
      </c>
    </row>
    <row r="4603" spans="8:9" ht="12" customHeight="1">
      <c r="H4603" s="133">
        <v>1.6297544581911749</v>
      </c>
      <c r="I4603" s="133">
        <v>0.76373597503323165</v>
      </c>
    </row>
    <row r="4604" spans="8:9" ht="12" customHeight="1">
      <c r="H4604" s="133">
        <v>1.6315152941943971</v>
      </c>
      <c r="I4604" s="133">
        <v>0.76443826377583202</v>
      </c>
    </row>
    <row r="4605" spans="8:9" ht="12" customHeight="1">
      <c r="H4605" s="133">
        <v>1.631914519038407</v>
      </c>
      <c r="I4605" s="133">
        <v>0.76459728891361345</v>
      </c>
    </row>
    <row r="4606" spans="8:9" ht="12" customHeight="1">
      <c r="H4606" s="133">
        <v>1.6344698186219353</v>
      </c>
      <c r="I4606" s="133">
        <v>0.7656133929679475</v>
      </c>
    </row>
    <row r="4607" spans="8:9" ht="12" customHeight="1">
      <c r="H4607" s="133">
        <v>1.635265455453446</v>
      </c>
      <c r="I4607" s="133">
        <v>0.76592915257545469</v>
      </c>
    </row>
    <row r="4608" spans="8:9" ht="12" customHeight="1">
      <c r="H4608" s="133">
        <v>1.6419944427713622</v>
      </c>
      <c r="I4608" s="133">
        <v>0.76858782026500616</v>
      </c>
    </row>
    <row r="4609" spans="8:9" ht="12" customHeight="1">
      <c r="H4609" s="133">
        <v>1.6469991465015972</v>
      </c>
      <c r="I4609" s="133">
        <v>0.7705514808558942</v>
      </c>
    </row>
    <row r="4610" spans="8:9" ht="12" customHeight="1">
      <c r="H4610" s="133">
        <v>1.6501336655232635</v>
      </c>
      <c r="I4610" s="133">
        <v>0.77177537671520902</v>
      </c>
    </row>
    <row r="4611" spans="8:9" ht="12" customHeight="1">
      <c r="H4611" s="133">
        <v>1.6582469491702483</v>
      </c>
      <c r="I4611" s="133">
        <v>0.77492187371903221</v>
      </c>
    </row>
    <row r="4612" spans="8:9" ht="12" customHeight="1">
      <c r="H4612" s="133">
        <v>1.6583826149356575</v>
      </c>
      <c r="I4612" s="133">
        <v>0.7749742251016758</v>
      </c>
    </row>
    <row r="4613" spans="8:9" ht="12" customHeight="1">
      <c r="H4613" s="133">
        <v>1.660267624938994</v>
      </c>
      <c r="I4613" s="133">
        <v>0.77570072788979771</v>
      </c>
    </row>
    <row r="4614" spans="8:9" ht="12" customHeight="1">
      <c r="H4614" s="133">
        <v>1.6604463200440795</v>
      </c>
      <c r="I4614" s="133">
        <v>0.77576951228022017</v>
      </c>
    </row>
    <row r="4615" spans="8:9" ht="12" customHeight="1">
      <c r="H4615" s="133">
        <v>1.6638699791584619</v>
      </c>
      <c r="I4615" s="133">
        <v>0.77708447074253828</v>
      </c>
    </row>
    <row r="4616" spans="8:9" ht="12" customHeight="1">
      <c r="H4616" s="133">
        <v>1.6661162817594528</v>
      </c>
      <c r="I4616" s="133">
        <v>0.7779442377183875</v>
      </c>
    </row>
    <row r="4617" spans="8:9" ht="12" customHeight="1">
      <c r="H4617" s="133">
        <v>1.6673877305716269</v>
      </c>
      <c r="I4617" s="133">
        <v>0.77842983045179004</v>
      </c>
    </row>
    <row r="4618" spans="8:9" ht="12" customHeight="1">
      <c r="H4618" s="133">
        <v>1.6704719342914109</v>
      </c>
      <c r="I4618" s="133">
        <v>0.77960459345546362</v>
      </c>
    </row>
    <row r="4619" spans="8:9" ht="12" customHeight="1">
      <c r="H4619" s="133">
        <v>1.6706416283523868</v>
      </c>
      <c r="I4619" s="133">
        <v>0.77966909951199936</v>
      </c>
    </row>
    <row r="4620" spans="8:9" ht="12" customHeight="1">
      <c r="H4620" s="133">
        <v>1.6726433763638737</v>
      </c>
      <c r="I4620" s="133">
        <v>0.78042900456121767</v>
      </c>
    </row>
    <row r="4621" spans="8:9" ht="12" customHeight="1">
      <c r="H4621" s="133">
        <v>1.6752913417729345</v>
      </c>
      <c r="I4621" s="133">
        <v>0.78143133056233061</v>
      </c>
    </row>
    <row r="4622" spans="8:9" ht="12" customHeight="1">
      <c r="H4622" s="133">
        <v>1.6756272277992117</v>
      </c>
      <c r="I4622" s="133">
        <v>0.78155823661535706</v>
      </c>
    </row>
    <row r="4623" spans="8:9" ht="12" customHeight="1">
      <c r="H4623" s="133">
        <v>1.6772956185169856</v>
      </c>
      <c r="I4623" s="133">
        <v>0.78218780897294726</v>
      </c>
    </row>
    <row r="4624" spans="8:9" ht="12" customHeight="1">
      <c r="H4624" s="133">
        <v>1.677374352025669</v>
      </c>
      <c r="I4624" s="133">
        <v>0.78221748692985615</v>
      </c>
    </row>
    <row r="4625" spans="8:9" ht="12" customHeight="1">
      <c r="H4625" s="133">
        <v>1.6819389391387931</v>
      </c>
      <c r="I4625" s="133">
        <v>0.78393308188540312</v>
      </c>
    </row>
    <row r="4626" spans="8:9" ht="12" customHeight="1">
      <c r="H4626" s="133">
        <v>1.6833014394438601</v>
      </c>
      <c r="I4626" s="133">
        <v>0.78444327487326715</v>
      </c>
    </row>
    <row r="4627" spans="8:9" ht="12" customHeight="1">
      <c r="H4627" s="133">
        <v>1.6834926183533176</v>
      </c>
      <c r="I4627" s="133">
        <v>0.78451479254388534</v>
      </c>
    </row>
    <row r="4628" spans="8:9" ht="12" customHeight="1">
      <c r="H4628" s="133">
        <v>1.6836023679757699</v>
      </c>
      <c r="I4628" s="133">
        <v>0.78455584074650386</v>
      </c>
    </row>
    <row r="4629" spans="8:9" ht="12" customHeight="1">
      <c r="H4629" s="133">
        <v>1.6875606972288075</v>
      </c>
      <c r="I4629" s="133">
        <v>0.78603253045800292</v>
      </c>
    </row>
    <row r="4630" spans="8:9" ht="12" customHeight="1">
      <c r="H4630" s="133">
        <v>1.688391323670329</v>
      </c>
      <c r="I4630" s="133">
        <v>0.78634146621442669</v>
      </c>
    </row>
    <row r="4631" spans="8:9" ht="12" customHeight="1">
      <c r="H4631" s="133">
        <v>1.6917765185903182</v>
      </c>
      <c r="I4631" s="133">
        <v>0.78759716406646019</v>
      </c>
    </row>
    <row r="4632" spans="8:9" ht="12" customHeight="1">
      <c r="H4632" s="133">
        <v>1.6925930322025318</v>
      </c>
      <c r="I4632" s="133">
        <v>0.78789923204711099</v>
      </c>
    </row>
    <row r="4633" spans="8:9" ht="12" customHeight="1">
      <c r="H4633" s="133">
        <v>1.6944875365718026</v>
      </c>
      <c r="I4633" s="133">
        <v>0.78859889135657668</v>
      </c>
    </row>
    <row r="4634" spans="8:9" ht="12" customHeight="1">
      <c r="H4634" s="133">
        <v>1.6947798116017259</v>
      </c>
      <c r="I4634" s="133">
        <v>0.78870668089011897</v>
      </c>
    </row>
    <row r="4635" spans="8:9" ht="12" customHeight="1">
      <c r="H4635" s="133">
        <v>1.6961302498773816</v>
      </c>
      <c r="I4635" s="133">
        <v>0.78920419309141832</v>
      </c>
    </row>
    <row r="4636" spans="8:9" ht="12" customHeight="1">
      <c r="H4636" s="133">
        <v>1.6987621149354846</v>
      </c>
      <c r="I4636" s="133">
        <v>0.7901713244770241</v>
      </c>
    </row>
    <row r="4637" spans="8:9" ht="12" customHeight="1">
      <c r="H4637" s="133">
        <v>1.7013176946190511</v>
      </c>
      <c r="I4637" s="133">
        <v>0.79110730088488856</v>
      </c>
    </row>
    <row r="4638" spans="8:9" ht="12" customHeight="1">
      <c r="H4638" s="133">
        <v>1.7018977139220692</v>
      </c>
      <c r="I4638" s="133">
        <v>0.79131930355958258</v>
      </c>
    </row>
    <row r="4639" spans="8:9" ht="12" customHeight="1">
      <c r="H4639" s="133">
        <v>1.7029207107762141</v>
      </c>
      <c r="I4639" s="133">
        <v>0.791692832615709</v>
      </c>
    </row>
    <row r="4640" spans="8:9" ht="12" customHeight="1">
      <c r="H4640" s="133">
        <v>1.7044949801843505</v>
      </c>
      <c r="I4640" s="133">
        <v>0.79226668610731588</v>
      </c>
    </row>
    <row r="4641" spans="8:9" ht="12" customHeight="1">
      <c r="H4641" s="133">
        <v>1.7074664742226362</v>
      </c>
      <c r="I4641" s="133">
        <v>0.79334667586295549</v>
      </c>
    </row>
    <row r="4642" spans="8:9" ht="12" customHeight="1">
      <c r="H4642" s="133">
        <v>1.7088456916499934</v>
      </c>
      <c r="I4642" s="133">
        <v>0.79384653969652152</v>
      </c>
    </row>
    <row r="4643" spans="8:9" ht="12" customHeight="1">
      <c r="H4643" s="133">
        <v>1.7101428308990805</v>
      </c>
      <c r="I4643" s="133">
        <v>0.79431583898484115</v>
      </c>
    </row>
    <row r="4644" spans="8:9" ht="12" customHeight="1">
      <c r="H4644" s="133">
        <v>1.7120101854433365</v>
      </c>
      <c r="I4644" s="133">
        <v>0.79499004863258016</v>
      </c>
    </row>
    <row r="4645" spans="8:9" ht="12" customHeight="1">
      <c r="H4645" s="133">
        <v>1.7125563496048448</v>
      </c>
      <c r="I4645" s="133">
        <v>0.7951869313113199</v>
      </c>
    </row>
    <row r="4646" spans="8:9" ht="12" customHeight="1">
      <c r="H4646" s="133">
        <v>1.7159018236209982</v>
      </c>
      <c r="I4646" s="133">
        <v>0.79638985253511629</v>
      </c>
    </row>
    <row r="4647" spans="8:9" ht="12" customHeight="1">
      <c r="H4647" s="133">
        <v>1.7167901967325925</v>
      </c>
      <c r="I4647" s="133">
        <v>0.7967083969377815</v>
      </c>
    </row>
    <row r="4648" spans="8:9" ht="12" customHeight="1">
      <c r="H4648" s="133">
        <v>1.7185564985639075</v>
      </c>
      <c r="I4648" s="133">
        <v>0.79734063758877627</v>
      </c>
    </row>
    <row r="4649" spans="8:9" ht="12" customHeight="1">
      <c r="H4649" s="133">
        <v>1.7192448596205603</v>
      </c>
      <c r="I4649" s="133">
        <v>0.79758663620435521</v>
      </c>
    </row>
    <row r="4650" spans="8:9" ht="12" customHeight="1">
      <c r="H4650" s="133">
        <v>1.7209067935786635</v>
      </c>
      <c r="I4650" s="133">
        <v>0.79817964052825974</v>
      </c>
    </row>
    <row r="4651" spans="8:9" ht="12" customHeight="1">
      <c r="H4651" s="133">
        <v>1.7221359862966859</v>
      </c>
      <c r="I4651" s="133">
        <v>0.79861740024676597</v>
      </c>
    </row>
    <row r="4652" spans="8:9" ht="12" customHeight="1">
      <c r="H4652" s="133">
        <v>1.7239349153262435</v>
      </c>
      <c r="I4652" s="133">
        <v>0.79925678282025636</v>
      </c>
    </row>
    <row r="4653" spans="8:9" ht="12" customHeight="1">
      <c r="H4653" s="133">
        <v>1.7273420136517688</v>
      </c>
      <c r="I4653" s="133">
        <v>0.80046357835898696</v>
      </c>
    </row>
    <row r="4654" spans="8:9" ht="12" customHeight="1">
      <c r="H4654" s="133">
        <v>1.7287467264204421</v>
      </c>
      <c r="I4654" s="133">
        <v>0.8009595399823437</v>
      </c>
    </row>
    <row r="4655" spans="8:9" ht="12" customHeight="1">
      <c r="H4655" s="133">
        <v>1.7352065755489752</v>
      </c>
      <c r="I4655" s="133">
        <v>0.80322838749672543</v>
      </c>
    </row>
    <row r="4656" spans="8:9" ht="12" customHeight="1">
      <c r="H4656" s="133">
        <v>1.7371624446809264</v>
      </c>
      <c r="I4656" s="133">
        <v>0.80391147069479074</v>
      </c>
    </row>
    <row r="4657" spans="8:9" ht="12" customHeight="1">
      <c r="H4657" s="133">
        <v>1.7412641421711093</v>
      </c>
      <c r="I4657" s="133">
        <v>0.8053381534077324</v>
      </c>
    </row>
    <row r="4658" spans="8:9" ht="12" customHeight="1">
      <c r="H4658" s="133">
        <v>1.745812419417363</v>
      </c>
      <c r="I4658" s="133">
        <v>0.80691094965528232</v>
      </c>
    </row>
    <row r="4659" spans="8:9" ht="12" customHeight="1">
      <c r="H4659" s="133">
        <v>1.7476223092117156</v>
      </c>
      <c r="I4659" s="133">
        <v>0.8075341158495839</v>
      </c>
    </row>
    <row r="4660" spans="8:9" ht="12" customHeight="1">
      <c r="H4660" s="133">
        <v>1.7493472749404664</v>
      </c>
      <c r="I4660" s="133">
        <v>0.80812661488141535</v>
      </c>
    </row>
    <row r="4661" spans="8:9" ht="12" customHeight="1">
      <c r="H4661" s="133">
        <v>1.7516978422461427</v>
      </c>
      <c r="I4661" s="133">
        <v>0.80893175778406823</v>
      </c>
    </row>
    <row r="4662" spans="8:9" ht="12" customHeight="1">
      <c r="H4662" s="133">
        <v>1.7521705965813932</v>
      </c>
      <c r="I4662" s="133">
        <v>0.8090933788897241</v>
      </c>
    </row>
    <row r="4663" spans="8:9" ht="12" customHeight="1">
      <c r="H4663" s="133">
        <v>1.752722800033407</v>
      </c>
      <c r="I4663" s="133">
        <v>0.80928202907580782</v>
      </c>
    </row>
    <row r="4664" spans="8:9" ht="12" customHeight="1">
      <c r="H4664" s="133">
        <v>1.7588448260306868</v>
      </c>
      <c r="I4664" s="133">
        <v>0.81136396305522618</v>
      </c>
    </row>
    <row r="4665" spans="8:9" ht="12" customHeight="1">
      <c r="H4665" s="133">
        <v>1.7629129575107014</v>
      </c>
      <c r="I4665" s="133">
        <v>0.81273775032565976</v>
      </c>
    </row>
    <row r="4666" spans="8:9" ht="12" customHeight="1">
      <c r="H4666" s="133">
        <v>1.763050258184411</v>
      </c>
      <c r="I4666" s="133">
        <v>0.81278398146455288</v>
      </c>
    </row>
    <row r="4667" spans="8:9" ht="12" customHeight="1">
      <c r="H4667" s="133">
        <v>1.764353288182992</v>
      </c>
      <c r="I4667" s="133">
        <v>0.81322229341291552</v>
      </c>
    </row>
    <row r="4668" spans="8:9" ht="12" customHeight="1">
      <c r="H4668" s="133">
        <v>1.7652313480547495</v>
      </c>
      <c r="I4668" s="133">
        <v>0.81351720825239737</v>
      </c>
    </row>
    <row r="4669" spans="8:9" ht="12" customHeight="1">
      <c r="H4669" s="133">
        <v>1.771509031471787</v>
      </c>
      <c r="I4669" s="133">
        <v>0.81561524622280568</v>
      </c>
    </row>
    <row r="4670" spans="8:9" ht="12" customHeight="1">
      <c r="H4670" s="133">
        <v>1.7715900185429447</v>
      </c>
      <c r="I4670" s="133">
        <v>0.81564219282379391</v>
      </c>
    </row>
    <row r="4671" spans="8:9" ht="12" customHeight="1">
      <c r="H4671" s="133">
        <v>1.771785084809995</v>
      </c>
      <c r="I4671" s="133">
        <v>0.81570708416348059</v>
      </c>
    </row>
    <row r="4672" spans="8:9" ht="12" customHeight="1">
      <c r="H4672" s="133">
        <v>1.7722991616528927</v>
      </c>
      <c r="I4672" s="133">
        <v>0.81587801383586445</v>
      </c>
    </row>
    <row r="4673" spans="8:9" ht="12" customHeight="1">
      <c r="H4673" s="133">
        <v>1.7754802038822177</v>
      </c>
      <c r="I4673" s="133">
        <v>0.8169329752224006</v>
      </c>
    </row>
    <row r="4674" spans="8:9" ht="12" customHeight="1">
      <c r="H4674" s="133">
        <v>1.7789847164040387</v>
      </c>
      <c r="I4674" s="133">
        <v>0.81808977589789811</v>
      </c>
    </row>
    <row r="4675" spans="8:9" ht="12" customHeight="1">
      <c r="H4675" s="133">
        <v>1.7807026328897519</v>
      </c>
      <c r="I4675" s="133">
        <v>0.8186547614444909</v>
      </c>
    </row>
    <row r="4676" spans="8:9" ht="12" customHeight="1">
      <c r="H4676" s="133">
        <v>1.7817387010049897</v>
      </c>
      <c r="I4676" s="133">
        <v>0.81899484094611974</v>
      </c>
    </row>
    <row r="4677" spans="8:9" ht="12" customHeight="1">
      <c r="H4677" s="133">
        <v>1.7829038658290672</v>
      </c>
      <c r="I4677" s="133">
        <v>0.81937670145978403</v>
      </c>
    </row>
    <row r="4678" spans="8:9" ht="12" customHeight="1">
      <c r="H4678" s="133">
        <v>1.7832213970617903</v>
      </c>
      <c r="I4678" s="133">
        <v>0.81948065729957109</v>
      </c>
    </row>
    <row r="4679" spans="8:9" ht="12" customHeight="1">
      <c r="H4679" s="133">
        <v>1.7832712352974629</v>
      </c>
      <c r="I4679" s="133">
        <v>0.81949696949167228</v>
      </c>
    </row>
    <row r="4680" spans="8:9" ht="12" customHeight="1">
      <c r="H4680" s="133">
        <v>1.7845109353602675</v>
      </c>
      <c r="I4680" s="133">
        <v>0.81990235692681146</v>
      </c>
    </row>
    <row r="4681" spans="8:9" ht="12" customHeight="1">
      <c r="H4681" s="133">
        <v>1.7862883577727415</v>
      </c>
      <c r="I4681" s="133">
        <v>0.8204823418951388</v>
      </c>
    </row>
    <row r="4682" spans="8:9" ht="12" customHeight="1">
      <c r="H4682" s="133">
        <v>1.787554177973449</v>
      </c>
      <c r="I4682" s="133">
        <v>0.82089449732397479</v>
      </c>
    </row>
    <row r="4683" spans="8:9" ht="12" customHeight="1">
      <c r="H4683" s="133">
        <v>1.7878715277853416</v>
      </c>
      <c r="I4683" s="133">
        <v>0.82099771145804346</v>
      </c>
    </row>
    <row r="4684" spans="8:9" ht="12" customHeight="1">
      <c r="H4684" s="133">
        <v>1.7886666643915525</v>
      </c>
      <c r="I4684" s="133">
        <v>0.82125611561174494</v>
      </c>
    </row>
    <row r="4685" spans="8:9" ht="12" customHeight="1">
      <c r="H4685" s="133">
        <v>1.7901512228248131</v>
      </c>
      <c r="I4685" s="133">
        <v>0.82173778737624237</v>
      </c>
    </row>
    <row r="4686" spans="8:9" ht="12" customHeight="1">
      <c r="H4686" s="133">
        <v>1.7905551827791575</v>
      </c>
      <c r="I4686" s="133">
        <v>0.82186867798338881</v>
      </c>
    </row>
    <row r="4687" spans="8:9" ht="12" customHeight="1">
      <c r="H4687" s="133">
        <v>1.7907426583053292</v>
      </c>
      <c r="I4687" s="133">
        <v>0.82192939799313502</v>
      </c>
    </row>
    <row r="4688" spans="8:9" ht="12" customHeight="1">
      <c r="H4688" s="133">
        <v>1.791028616535586</v>
      </c>
      <c r="I4688" s="133">
        <v>0.82202198358199496</v>
      </c>
    </row>
    <row r="4689" spans="8:9" ht="12" customHeight="1">
      <c r="H4689" s="133">
        <v>1.7920236262670655</v>
      </c>
      <c r="I4689" s="133">
        <v>0.82234384704603858</v>
      </c>
    </row>
    <row r="4690" spans="8:9" ht="12" customHeight="1">
      <c r="H4690" s="133">
        <v>1.7929980639526835</v>
      </c>
      <c r="I4690" s="133">
        <v>0.8226586134685141</v>
      </c>
    </row>
    <row r="4691" spans="8:9" ht="12" customHeight="1">
      <c r="H4691" s="133">
        <v>1.7991600860608048</v>
      </c>
      <c r="I4691" s="133">
        <v>0.82463896588617869</v>
      </c>
    </row>
    <row r="4692" spans="8:9" ht="12" customHeight="1">
      <c r="H4692" s="133">
        <v>1.8001193417614949</v>
      </c>
      <c r="I4692" s="133">
        <v>0.82494568056075279</v>
      </c>
    </row>
    <row r="4693" spans="8:9" ht="12" customHeight="1">
      <c r="H4693" s="133">
        <v>1.8039304041025721</v>
      </c>
      <c r="I4693" s="133">
        <v>0.82616006396876063</v>
      </c>
    </row>
    <row r="4694" spans="8:9" ht="12" customHeight="1">
      <c r="H4694" s="133">
        <v>1.8049803577744519</v>
      </c>
      <c r="I4694" s="133">
        <v>0.82649345757379011</v>
      </c>
    </row>
    <row r="4695" spans="8:9" ht="12" customHeight="1">
      <c r="H4695" s="133">
        <v>1.8051463851265312</v>
      </c>
      <c r="I4695" s="133">
        <v>0.82654613024511092</v>
      </c>
    </row>
    <row r="4696" spans="8:9" ht="12" customHeight="1">
      <c r="H4696" s="133">
        <v>1.8060470021322064</v>
      </c>
      <c r="I4696" s="133">
        <v>0.82683163352359068</v>
      </c>
    </row>
    <row r="4697" spans="8:9" ht="12" customHeight="1">
      <c r="H4697" s="133">
        <v>1.8082653599959118</v>
      </c>
      <c r="I4697" s="133">
        <v>0.82753328713038465</v>
      </c>
    </row>
    <row r="4698" spans="8:9" ht="12" customHeight="1">
      <c r="H4698" s="133">
        <v>1.8107118408836045</v>
      </c>
      <c r="I4698" s="133">
        <v>0.82830448307628912</v>
      </c>
    </row>
    <row r="4699" spans="8:9" ht="12" customHeight="1">
      <c r="H4699" s="133">
        <v>1.8143313397904757</v>
      </c>
      <c r="I4699" s="133">
        <v>0.8294404279611266</v>
      </c>
    </row>
    <row r="4700" spans="8:9" ht="12" customHeight="1">
      <c r="H4700" s="133">
        <v>1.8167378507893597</v>
      </c>
      <c r="I4700" s="133">
        <v>0.83019237887273378</v>
      </c>
    </row>
    <row r="4701" spans="8:9" ht="12" customHeight="1">
      <c r="H4701" s="133">
        <v>1.8167467335873069</v>
      </c>
      <c r="I4701" s="133">
        <v>0.83019514954656459</v>
      </c>
    </row>
    <row r="4702" spans="8:9" ht="12" customHeight="1">
      <c r="H4702" s="133">
        <v>1.8203939964924842</v>
      </c>
      <c r="I4702" s="133">
        <v>0.8313297470296791</v>
      </c>
    </row>
    <row r="4703" spans="8:9" ht="12" customHeight="1">
      <c r="H4703" s="133">
        <v>1.8204680744620987</v>
      </c>
      <c r="I4703" s="133">
        <v>0.83135272860630594</v>
      </c>
    </row>
    <row r="4704" spans="8:9" ht="12" customHeight="1">
      <c r="H4704" s="133">
        <v>1.821615171474825</v>
      </c>
      <c r="I4704" s="133">
        <v>0.83170827967880678</v>
      </c>
    </row>
    <row r="4705" spans="8:9" ht="12" customHeight="1">
      <c r="H4705" s="133">
        <v>1.8222064649680987</v>
      </c>
      <c r="I4705" s="133">
        <v>0.8318913217407915</v>
      </c>
    </row>
    <row r="4706" spans="8:9" ht="12" customHeight="1">
      <c r="H4706" s="133">
        <v>1.8264482711918386</v>
      </c>
      <c r="I4706" s="133">
        <v>0.83319976891771275</v>
      </c>
    </row>
    <row r="4707" spans="8:9" ht="12" customHeight="1">
      <c r="H4707" s="133">
        <v>1.8311019264141803</v>
      </c>
      <c r="I4707" s="133">
        <v>0.83462587305149072</v>
      </c>
    </row>
    <row r="4708" spans="8:9" ht="12" customHeight="1">
      <c r="H4708" s="133">
        <v>1.8327229045145761</v>
      </c>
      <c r="I4708" s="133">
        <v>0.83512031771917627</v>
      </c>
    </row>
    <row r="4709" spans="8:9" ht="12" customHeight="1">
      <c r="H4709" s="133">
        <v>1.8377776934490369</v>
      </c>
      <c r="I4709" s="133">
        <v>0.83665455491373342</v>
      </c>
    </row>
    <row r="4710" spans="8:9" ht="12" customHeight="1">
      <c r="H4710" s="133">
        <v>1.8380997374717776</v>
      </c>
      <c r="I4710" s="133">
        <v>0.83675191182394737</v>
      </c>
    </row>
    <row r="4711" spans="8:9" ht="12" customHeight="1">
      <c r="H4711" s="133">
        <v>1.8427342425371078</v>
      </c>
      <c r="I4711" s="133">
        <v>0.8381477973404089</v>
      </c>
    </row>
    <row r="4712" spans="8:9" ht="12" customHeight="1">
      <c r="H4712" s="133">
        <v>1.8442587723458876</v>
      </c>
      <c r="I4712" s="133">
        <v>0.83860486675567247</v>
      </c>
    </row>
    <row r="4713" spans="8:9" ht="12" customHeight="1">
      <c r="H4713" s="133">
        <v>1.8465662564144889</v>
      </c>
      <c r="I4713" s="133">
        <v>0.83929469021231495</v>
      </c>
    </row>
    <row r="4714" spans="8:9" ht="12" customHeight="1">
      <c r="H4714" s="133">
        <v>1.8472942490441266</v>
      </c>
      <c r="I4714" s="133">
        <v>0.83951182870657637</v>
      </c>
    </row>
    <row r="4715" spans="8:9" ht="12" customHeight="1">
      <c r="H4715" s="133">
        <v>1.8490208718605601</v>
      </c>
      <c r="I4715" s="133">
        <v>0.84002587990908251</v>
      </c>
    </row>
    <row r="4716" spans="8:9" ht="12" customHeight="1">
      <c r="H4716" s="133">
        <v>1.8536462305792623</v>
      </c>
      <c r="I4716" s="133">
        <v>0.84139637631937747</v>
      </c>
    </row>
    <row r="4717" spans="8:9" ht="12" customHeight="1">
      <c r="H4717" s="133">
        <v>1.8577707855808496</v>
      </c>
      <c r="I4717" s="133">
        <v>0.84261043416658699</v>
      </c>
    </row>
    <row r="4718" spans="8:9" ht="12" customHeight="1">
      <c r="H4718" s="133">
        <v>1.8581990255464196</v>
      </c>
      <c r="I4718" s="133">
        <v>0.84273605205473789</v>
      </c>
    </row>
    <row r="4719" spans="8:9" ht="12" customHeight="1">
      <c r="H4719" s="133">
        <v>1.861988528069614</v>
      </c>
      <c r="I4719" s="133">
        <v>0.84384409521502157</v>
      </c>
    </row>
    <row r="4720" spans="8:9" ht="12" customHeight="1">
      <c r="H4720" s="133">
        <v>1.8629982925894462</v>
      </c>
      <c r="I4720" s="133">
        <v>0.84413827279165576</v>
      </c>
    </row>
    <row r="4721" spans="8:9" ht="12" customHeight="1">
      <c r="H4721" s="133">
        <v>1.8674078087494577</v>
      </c>
      <c r="I4721" s="133">
        <v>0.84541761686761663</v>
      </c>
    </row>
    <row r="4722" spans="8:9" ht="12" customHeight="1">
      <c r="H4722" s="133">
        <v>1.8760971716023667</v>
      </c>
      <c r="I4722" s="133">
        <v>0.84791355507058819</v>
      </c>
    </row>
    <row r="4723" spans="8:9" ht="12" customHeight="1">
      <c r="H4723" s="133">
        <v>1.8796065353743789</v>
      </c>
      <c r="I4723" s="133">
        <v>0.84891217253921714</v>
      </c>
    </row>
    <row r="4724" spans="8:9" ht="12" customHeight="1">
      <c r="H4724" s="133">
        <v>1.8814838472980471</v>
      </c>
      <c r="I4724" s="133">
        <v>0.84944416025889047</v>
      </c>
    </row>
    <row r="4725" spans="8:9" ht="12" customHeight="1">
      <c r="H4725" s="133">
        <v>1.882008885448986</v>
      </c>
      <c r="I4725" s="133">
        <v>0.84959266814129952</v>
      </c>
    </row>
    <row r="4726" spans="8:9" ht="12" customHeight="1">
      <c r="H4726" s="133">
        <v>1.895321503691183</v>
      </c>
      <c r="I4726" s="133">
        <v>0.85331800403768887</v>
      </c>
    </row>
    <row r="4727" spans="8:9" ht="12" customHeight="1">
      <c r="H4727" s="133">
        <v>1.8956952128291604</v>
      </c>
      <c r="I4727" s="133">
        <v>0.85342146989734613</v>
      </c>
    </row>
    <row r="4728" spans="8:9" ht="12" customHeight="1">
      <c r="H4728" s="133">
        <v>1.9031154641954289</v>
      </c>
      <c r="I4728" s="133">
        <v>0.85546336138311119</v>
      </c>
    </row>
    <row r="4729" spans="8:9" ht="12" customHeight="1">
      <c r="H4729" s="133">
        <v>1.9082881811998682</v>
      </c>
      <c r="I4729" s="133">
        <v>0.85687275600814361</v>
      </c>
    </row>
    <row r="4730" spans="8:9" ht="12" customHeight="1">
      <c r="H4730" s="133">
        <v>1.9105680153918994</v>
      </c>
      <c r="I4730" s="133">
        <v>0.85749029216871187</v>
      </c>
    </row>
    <row r="4731" spans="8:9" ht="12" customHeight="1">
      <c r="H4731" s="133">
        <v>1.9152633875057217</v>
      </c>
      <c r="I4731" s="133">
        <v>0.85875512270182719</v>
      </c>
    </row>
    <row r="4732" spans="8:9" ht="12" customHeight="1">
      <c r="H4732" s="133">
        <v>1.9181764988241832</v>
      </c>
      <c r="I4732" s="133">
        <v>0.8595351271032432</v>
      </c>
    </row>
    <row r="4733" spans="8:9" ht="12" customHeight="1">
      <c r="H4733" s="133">
        <v>1.9192867366210951</v>
      </c>
      <c r="I4733" s="133">
        <v>0.85983145072139799</v>
      </c>
    </row>
    <row r="4734" spans="8:9" ht="12" customHeight="1">
      <c r="H4734" s="133">
        <v>1.9270842951707978</v>
      </c>
      <c r="I4734" s="133">
        <v>0.86189790852771231</v>
      </c>
    </row>
    <row r="4735" spans="8:9" ht="12" customHeight="1">
      <c r="H4735" s="133">
        <v>1.9300578453352251</v>
      </c>
      <c r="I4735" s="133">
        <v>0.8626791755089922</v>
      </c>
    </row>
    <row r="4736" spans="8:9" ht="12" customHeight="1">
      <c r="H4736" s="133">
        <v>1.9379303228275391</v>
      </c>
      <c r="I4736" s="133">
        <v>0.8647296472095537</v>
      </c>
    </row>
    <row r="4737" spans="8:9" ht="12" customHeight="1">
      <c r="H4737" s="133">
        <v>1.9385355518435148</v>
      </c>
      <c r="I4737" s="133">
        <v>0.86488621163871615</v>
      </c>
    </row>
    <row r="4738" spans="8:9" ht="12" customHeight="1">
      <c r="H4738" s="133">
        <v>1.9390170648772789</v>
      </c>
      <c r="I4738" s="133">
        <v>0.86501066320590303</v>
      </c>
    </row>
    <row r="4739" spans="8:9" ht="12" customHeight="1">
      <c r="H4739" s="133">
        <v>1.945083612149106</v>
      </c>
      <c r="I4739" s="133">
        <v>0.86657034470177874</v>
      </c>
    </row>
    <row r="4740" spans="8:9" ht="12" customHeight="1">
      <c r="H4740" s="133">
        <v>1.9452640218136361</v>
      </c>
      <c r="I4740" s="133">
        <v>0.86661649292172571</v>
      </c>
    </row>
    <row r="4741" spans="8:9" ht="12" customHeight="1">
      <c r="H4741" s="133">
        <v>1.9496708625790737</v>
      </c>
      <c r="I4741" s="133">
        <v>0.86773956031172772</v>
      </c>
    </row>
    <row r="4742" spans="8:9" ht="12" customHeight="1">
      <c r="H4742" s="133">
        <v>1.9501644574866552</v>
      </c>
      <c r="I4742" s="133">
        <v>0.8678648508049005</v>
      </c>
    </row>
    <row r="4743" spans="8:9" ht="12" customHeight="1">
      <c r="H4743" s="133">
        <v>1.9536235517560492</v>
      </c>
      <c r="I4743" s="133">
        <v>0.86874006071925858</v>
      </c>
    </row>
    <row r="4744" spans="8:9" ht="12" customHeight="1">
      <c r="H4744" s="133">
        <v>1.9563638028648653</v>
      </c>
      <c r="I4744" s="133">
        <v>0.8694298933479242</v>
      </c>
    </row>
    <row r="4745" spans="8:9" ht="12" customHeight="1">
      <c r="H4745" s="133">
        <v>1.9580965477021066</v>
      </c>
      <c r="I4745" s="133">
        <v>0.86986450388468939</v>
      </c>
    </row>
    <row r="4746" spans="8:9" ht="12" customHeight="1">
      <c r="H4746" s="133">
        <v>1.9593181663846178</v>
      </c>
      <c r="I4746" s="133">
        <v>0.87017017284657627</v>
      </c>
    </row>
    <row r="4747" spans="8:9" ht="12" customHeight="1">
      <c r="H4747" s="133">
        <v>1.9660671413320387</v>
      </c>
      <c r="I4747" s="133">
        <v>0.87184788308705163</v>
      </c>
    </row>
    <row r="4748" spans="8:9" ht="12" customHeight="1">
      <c r="H4748" s="133">
        <v>1.9698120133401344</v>
      </c>
      <c r="I4748" s="133">
        <v>0.87277081035376591</v>
      </c>
    </row>
    <row r="4749" spans="8:9" ht="12" customHeight="1">
      <c r="H4749" s="133">
        <v>1.976215455095645</v>
      </c>
      <c r="I4749" s="133">
        <v>0.87433578762623987</v>
      </c>
    </row>
    <row r="4750" spans="8:9" ht="12" customHeight="1">
      <c r="H4750" s="133">
        <v>1.9789913127607126</v>
      </c>
      <c r="I4750" s="133">
        <v>0.8750090601164654</v>
      </c>
    </row>
    <row r="4751" spans="8:9" ht="12" customHeight="1">
      <c r="H4751" s="133">
        <v>1.9887152072306895</v>
      </c>
      <c r="I4751" s="133">
        <v>0.87734320194814919</v>
      </c>
    </row>
    <row r="4752" spans="8:9" ht="12" customHeight="1">
      <c r="H4752" s="133">
        <v>1.9952882962411169</v>
      </c>
      <c r="I4752" s="133">
        <v>0.87889970040581022</v>
      </c>
    </row>
    <row r="4753" spans="8:9" ht="12" customHeight="1">
      <c r="H4753" s="133">
        <v>2.0021910844872797</v>
      </c>
      <c r="I4753" s="133">
        <v>0.88051590822399839</v>
      </c>
    </row>
    <row r="4754" spans="8:9" ht="12" customHeight="1">
      <c r="H4754" s="133">
        <v>2.0146162169534199</v>
      </c>
      <c r="I4754" s="133">
        <v>0.88337813592643588</v>
      </c>
    </row>
    <row r="4755" spans="8:9" ht="12" customHeight="1">
      <c r="H4755" s="133">
        <v>2.0152302256112562</v>
      </c>
      <c r="I4755" s="133">
        <v>0.88351802295061987</v>
      </c>
    </row>
    <row r="4756" spans="8:9" ht="12" customHeight="1">
      <c r="H4756" s="133">
        <v>2.0355021387362693</v>
      </c>
      <c r="I4756" s="133">
        <v>0.88805527133121653</v>
      </c>
    </row>
    <row r="4757" spans="8:9" ht="12" customHeight="1">
      <c r="H4757" s="133">
        <v>2.0363065489499488</v>
      </c>
      <c r="I4757" s="133">
        <v>0.8882320882307313</v>
      </c>
    </row>
    <row r="4758" spans="8:9" ht="12" customHeight="1">
      <c r="H4758" s="133">
        <v>2.0395419192918895</v>
      </c>
      <c r="I4758" s="133">
        <v>0.88894078907702223</v>
      </c>
    </row>
    <row r="4759" spans="8:9" ht="12" customHeight="1">
      <c r="H4759" s="133">
        <v>2.0443148484373777</v>
      </c>
      <c r="I4759" s="133">
        <v>0.88997910787997081</v>
      </c>
    </row>
    <row r="4760" spans="8:9" ht="12" customHeight="1">
      <c r="H4760" s="133">
        <v>2.0462670636957974</v>
      </c>
      <c r="I4760" s="133">
        <v>0.89040134223400924</v>
      </c>
    </row>
    <row r="4761" spans="8:9" ht="12" customHeight="1">
      <c r="H4761" s="133">
        <v>2.0486760490100724</v>
      </c>
      <c r="I4761" s="133">
        <v>0.89092040981778409</v>
      </c>
    </row>
    <row r="4762" spans="8:9" ht="12" customHeight="1">
      <c r="H4762" s="133">
        <v>2.0563148943268672</v>
      </c>
      <c r="I4762" s="133">
        <v>0.89255211738882156</v>
      </c>
    </row>
    <row r="4763" spans="8:9" ht="12" customHeight="1">
      <c r="H4763" s="133">
        <v>2.0599470220155927</v>
      </c>
      <c r="I4763" s="133">
        <v>0.89332040675154833</v>
      </c>
    </row>
    <row r="4764" spans="8:9" ht="12" customHeight="1">
      <c r="H4764" s="133">
        <v>2.0672911422675209</v>
      </c>
      <c r="I4764" s="133">
        <v>0.89485910881612929</v>
      </c>
    </row>
    <row r="4765" spans="8:9" ht="12" customHeight="1">
      <c r="H4765" s="133">
        <v>2.0673251867360949</v>
      </c>
      <c r="I4765" s="133">
        <v>0.89486619581684113</v>
      </c>
    </row>
    <row r="4766" spans="8:9" ht="12" customHeight="1">
      <c r="H4766" s="133">
        <v>2.073708044818956</v>
      </c>
      <c r="I4766" s="133">
        <v>0.89618747885877936</v>
      </c>
    </row>
    <row r="4767" spans="8:9" ht="12" customHeight="1">
      <c r="H4767" s="133">
        <v>2.0808181843686833</v>
      </c>
      <c r="I4767" s="133">
        <v>0.89764200620968748</v>
      </c>
    </row>
    <row r="4768" spans="8:9" ht="12" customHeight="1">
      <c r="H4768" s="133">
        <v>2.0826777320637571</v>
      </c>
      <c r="I4768" s="133">
        <v>0.89801942559652004</v>
      </c>
    </row>
    <row r="4769" spans="8:9" ht="12" customHeight="1">
      <c r="H4769" s="133">
        <v>2.0837461538362052</v>
      </c>
      <c r="I4769" s="133">
        <v>0.89823571726399232</v>
      </c>
    </row>
    <row r="4770" spans="8:9" ht="12" customHeight="1">
      <c r="H4770" s="133">
        <v>2.0863017129695192</v>
      </c>
      <c r="I4770" s="133">
        <v>0.89875141610033116</v>
      </c>
    </row>
    <row r="4771" spans="8:9" ht="12" customHeight="1">
      <c r="H4771" s="133">
        <v>2.0898345548460564</v>
      </c>
      <c r="I4771" s="133">
        <v>0.89946050631451713</v>
      </c>
    </row>
    <row r="4772" spans="8:9" ht="12" customHeight="1">
      <c r="H4772" s="133">
        <v>2.0928766843877007</v>
      </c>
      <c r="I4772" s="133">
        <v>0.9000675657678191</v>
      </c>
    </row>
    <row r="4773" spans="8:9" ht="12" customHeight="1">
      <c r="H4773" s="133">
        <v>2.0938188664570503</v>
      </c>
      <c r="I4773" s="133">
        <v>0.90025491707139071</v>
      </c>
    </row>
    <row r="4774" spans="8:9" ht="12" customHeight="1">
      <c r="H4774" s="133">
        <v>2.0981857407376223</v>
      </c>
      <c r="I4774" s="133">
        <v>0.90111918923040724</v>
      </c>
    </row>
    <row r="4775" spans="8:9" ht="12" customHeight="1">
      <c r="H4775" s="133">
        <v>2.1001775105845146</v>
      </c>
      <c r="I4775" s="133">
        <v>0.90151117309453543</v>
      </c>
    </row>
    <row r="4776" spans="8:9" ht="12" customHeight="1">
      <c r="H4776" s="133">
        <v>2.1050631377168396</v>
      </c>
      <c r="I4776" s="133">
        <v>0.90246681637665116</v>
      </c>
    </row>
    <row r="4777" spans="8:9" ht="12" customHeight="1">
      <c r="H4777" s="133">
        <v>2.1079858448753264</v>
      </c>
      <c r="I4777" s="133">
        <v>0.90303454540409289</v>
      </c>
    </row>
    <row r="4778" spans="8:9" ht="12" customHeight="1">
      <c r="H4778" s="133">
        <v>2.1118136276411614</v>
      </c>
      <c r="I4778" s="133">
        <v>0.90377362072789602</v>
      </c>
    </row>
    <row r="4779" spans="8:9" ht="12" customHeight="1">
      <c r="H4779" s="133">
        <v>2.1160248165718367</v>
      </c>
      <c r="I4779" s="133">
        <v>0.90458090607516406</v>
      </c>
    </row>
    <row r="4780" spans="8:9" ht="12" customHeight="1">
      <c r="H4780" s="133">
        <v>2.1160608628665414</v>
      </c>
      <c r="I4780" s="133">
        <v>0.90458778993212441</v>
      </c>
    </row>
    <row r="4781" spans="8:9" ht="12" customHeight="1">
      <c r="H4781" s="133">
        <v>2.1167031171825266</v>
      </c>
      <c r="I4781" s="133">
        <v>0.90471036849675224</v>
      </c>
    </row>
    <row r="4782" spans="8:9" ht="12" customHeight="1">
      <c r="H4782" s="133">
        <v>2.1195972700011674</v>
      </c>
      <c r="I4782" s="133">
        <v>0.90526099061025955</v>
      </c>
    </row>
    <row r="4783" spans="8:9" ht="12" customHeight="1">
      <c r="H4783" s="133">
        <v>2.1273279834843826</v>
      </c>
      <c r="I4783" s="133">
        <v>0.9067178381120804</v>
      </c>
    </row>
    <row r="4784" spans="8:9" ht="12" customHeight="1">
      <c r="H4784" s="133">
        <v>2.1334314937335743</v>
      </c>
      <c r="I4784" s="133">
        <v>0.90785380985666131</v>
      </c>
    </row>
    <row r="4785" spans="8:9" ht="12" customHeight="1">
      <c r="H4785" s="133">
        <v>2.1411475179476378</v>
      </c>
      <c r="I4785" s="133">
        <v>0.90927210098296896</v>
      </c>
    </row>
    <row r="4786" spans="8:9" ht="12" customHeight="1">
      <c r="H4786" s="133">
        <v>2.1527714198334289</v>
      </c>
      <c r="I4786" s="133">
        <v>0.911371611034961</v>
      </c>
    </row>
    <row r="4787" spans="8:9" ht="12" customHeight="1">
      <c r="H4787" s="133">
        <v>2.1611616582880457</v>
      </c>
      <c r="I4787" s="133">
        <v>0.91285969959149005</v>
      </c>
    </row>
    <row r="4788" spans="8:9" ht="12" customHeight="1">
      <c r="H4788" s="133">
        <v>2.1798229180424262</v>
      </c>
      <c r="I4788" s="133">
        <v>0.91608867630204194</v>
      </c>
    </row>
    <row r="4789" spans="8:9" ht="12" customHeight="1">
      <c r="H4789" s="133">
        <v>2.1837839087667454</v>
      </c>
      <c r="I4789" s="133">
        <v>0.91675992093702385</v>
      </c>
    </row>
    <row r="4790" spans="8:9" ht="12" customHeight="1">
      <c r="H4790" s="133">
        <v>2.1841889149958571</v>
      </c>
      <c r="I4790" s="133">
        <v>0.9168282790601785</v>
      </c>
    </row>
    <row r="4791" spans="8:9" ht="12" customHeight="1">
      <c r="H4791" s="133">
        <v>2.1895465046080536</v>
      </c>
      <c r="I4791" s="133">
        <v>0.9177277558340744</v>
      </c>
    </row>
    <row r="4792" spans="8:9" ht="12" customHeight="1">
      <c r="H4792" s="133">
        <v>2.196607993285248</v>
      </c>
      <c r="I4792" s="133">
        <v>0.91889976748171454</v>
      </c>
    </row>
    <row r="4793" spans="8:9" ht="12" customHeight="1">
      <c r="H4793" s="133">
        <v>2.2019759394830847</v>
      </c>
      <c r="I4793" s="133">
        <v>0.91978049271099649</v>
      </c>
    </row>
    <row r="4794" spans="8:9" ht="12" customHeight="1">
      <c r="H4794" s="133">
        <v>2.203833310092925</v>
      </c>
      <c r="I4794" s="133">
        <v>0.92008319526810356</v>
      </c>
    </row>
    <row r="4795" spans="8:9" ht="12" customHeight="1">
      <c r="H4795" s="133">
        <v>2.2112054705444448</v>
      </c>
      <c r="I4795" s="133">
        <v>0.92127440217221712</v>
      </c>
    </row>
    <row r="4796" spans="8:9" ht="12" customHeight="1">
      <c r="H4796" s="133">
        <v>2.2140568166361523</v>
      </c>
      <c r="I4796" s="133">
        <v>0.92173075764476731</v>
      </c>
    </row>
    <row r="4797" spans="8:9" ht="12" customHeight="1">
      <c r="H4797" s="133">
        <v>2.2157396846709405</v>
      </c>
      <c r="I4797" s="133">
        <v>0.92199896200975962</v>
      </c>
    </row>
    <row r="4798" spans="8:9" ht="12" customHeight="1">
      <c r="H4798" s="133">
        <v>2.2189379640002374</v>
      </c>
      <c r="I4798" s="133">
        <v>0.92250636488556936</v>
      </c>
    </row>
    <row r="4799" spans="8:9" ht="12" customHeight="1">
      <c r="H4799" s="133">
        <v>2.2242136152707905</v>
      </c>
      <c r="I4799" s="133">
        <v>0.92333673646188197</v>
      </c>
    </row>
    <row r="4800" spans="8:9" ht="12" customHeight="1">
      <c r="H4800" s="133">
        <v>2.2365466697665828</v>
      </c>
      <c r="I4800" s="133">
        <v>0.92524617511730267</v>
      </c>
    </row>
    <row r="4801" spans="8:9" ht="12" customHeight="1">
      <c r="H4801" s="133">
        <v>2.2577753243439607</v>
      </c>
      <c r="I4801" s="133">
        <v>0.92843072696784601</v>
      </c>
    </row>
    <row r="4802" spans="8:9" ht="12" customHeight="1">
      <c r="H4802" s="133">
        <v>2.2665670779765246</v>
      </c>
      <c r="I4802" s="133">
        <v>0.92971257370671867</v>
      </c>
    </row>
    <row r="4803" spans="8:9" ht="12" customHeight="1">
      <c r="H4803" s="133">
        <v>2.2769834914170262</v>
      </c>
      <c r="I4803" s="133">
        <v>0.93120381548146836</v>
      </c>
    </row>
    <row r="4804" spans="8:9" ht="12" customHeight="1">
      <c r="H4804" s="133">
        <v>2.2844227356617322</v>
      </c>
      <c r="I4804" s="133">
        <v>0.93225084546932679</v>
      </c>
    </row>
    <row r="4805" spans="8:9" ht="12" customHeight="1">
      <c r="H4805" s="133">
        <v>2.2869514900398475</v>
      </c>
      <c r="I4805" s="133">
        <v>0.93260337510336899</v>
      </c>
    </row>
    <row r="4806" spans="8:9" ht="12" customHeight="1">
      <c r="H4806" s="133">
        <v>2.2922569927523595</v>
      </c>
      <c r="I4806" s="133">
        <v>0.93333748204041922</v>
      </c>
    </row>
    <row r="4807" spans="8:9" ht="12" customHeight="1">
      <c r="H4807" s="133">
        <v>2.3189797642758614</v>
      </c>
      <c r="I4807" s="133">
        <v>0.93692334625003071</v>
      </c>
    </row>
    <row r="4808" spans="8:9" ht="12" customHeight="1">
      <c r="H4808" s="133">
        <v>2.3278062695320094</v>
      </c>
      <c r="I4808" s="133">
        <v>0.93806769988272876</v>
      </c>
    </row>
    <row r="4809" spans="8:9" ht="12" customHeight="1">
      <c r="H4809" s="133">
        <v>2.3295200324609322</v>
      </c>
      <c r="I4809" s="133">
        <v>0.93828762930240039</v>
      </c>
    </row>
    <row r="4810" spans="8:9" ht="12" customHeight="1">
      <c r="H4810" s="133">
        <v>2.3318993017252216</v>
      </c>
      <c r="I4810" s="133">
        <v>0.9385917545220589</v>
      </c>
    </row>
    <row r="4811" spans="8:9" ht="12" customHeight="1">
      <c r="H4811" s="133">
        <v>2.3379047746864061</v>
      </c>
      <c r="I4811" s="133">
        <v>0.93935317251828643</v>
      </c>
    </row>
    <row r="4812" spans="8:9" ht="12" customHeight="1">
      <c r="H4812" s="133">
        <v>2.3606216134037981</v>
      </c>
      <c r="I4812" s="133">
        <v>0.9421541632025493</v>
      </c>
    </row>
    <row r="4813" spans="8:9" ht="12" customHeight="1">
      <c r="H4813" s="133">
        <v>2.3640889394507347</v>
      </c>
      <c r="I4813" s="133">
        <v>0.94257085837698895</v>
      </c>
    </row>
    <row r="4814" spans="8:9" ht="12" customHeight="1">
      <c r="H4814" s="133">
        <v>2.3744171092283866</v>
      </c>
      <c r="I4814" s="133">
        <v>0.94379542737903332</v>
      </c>
    </row>
    <row r="4815" spans="8:9" ht="12" customHeight="1">
      <c r="H4815" s="133">
        <v>2.3879674457235196</v>
      </c>
      <c r="I4815" s="133">
        <v>0.94536481259824279</v>
      </c>
    </row>
    <row r="4816" spans="8:9" ht="12" customHeight="1">
      <c r="H4816" s="133">
        <v>2.3935663618469185</v>
      </c>
      <c r="I4816" s="133">
        <v>0.94600114392160983</v>
      </c>
    </row>
    <row r="4817" spans="8:9" ht="12" customHeight="1">
      <c r="H4817" s="133">
        <v>2.3940614587802149</v>
      </c>
      <c r="I4817" s="133">
        <v>0.94605707546445017</v>
      </c>
    </row>
    <row r="4818" spans="8:9" ht="12" customHeight="1">
      <c r="H4818" s="133">
        <v>2.3994436542108488</v>
      </c>
      <c r="I4818" s="133">
        <v>0.94666159155484242</v>
      </c>
    </row>
    <row r="4819" spans="8:9" ht="12" customHeight="1">
      <c r="H4819" s="133">
        <v>2.4035331769388386</v>
      </c>
      <c r="I4819" s="133">
        <v>0.94711663754675579</v>
      </c>
    </row>
    <row r="4820" spans="8:9" ht="12" customHeight="1">
      <c r="H4820" s="133">
        <v>2.4066317271253763</v>
      </c>
      <c r="I4820" s="133">
        <v>0.94745897360755749</v>
      </c>
    </row>
    <row r="4821" spans="8:9" ht="12" customHeight="1">
      <c r="H4821" s="133">
        <v>2.4416789508603163</v>
      </c>
      <c r="I4821" s="133">
        <v>0.95118796234559666</v>
      </c>
    </row>
    <row r="4822" spans="8:9" ht="12" customHeight="1">
      <c r="H4822" s="133">
        <v>2.4487523040606196</v>
      </c>
      <c r="I4822" s="133">
        <v>0.95190949573154793</v>
      </c>
    </row>
    <row r="4823" spans="8:9" ht="12" customHeight="1">
      <c r="H4823" s="133">
        <v>2.4507065912128438</v>
      </c>
      <c r="I4823" s="133">
        <v>0.95210705499170079</v>
      </c>
    </row>
    <row r="4824" spans="8:9" ht="12" customHeight="1">
      <c r="H4824" s="133">
        <v>2.4628226596424367</v>
      </c>
      <c r="I4824" s="133">
        <v>0.95331476821939842</v>
      </c>
    </row>
    <row r="4825" spans="8:9" ht="12" customHeight="1">
      <c r="H4825" s="133">
        <v>2.4646952878454904</v>
      </c>
      <c r="I4825" s="133">
        <v>0.95349882607076708</v>
      </c>
    </row>
    <row r="4826" spans="8:9" ht="12" customHeight="1">
      <c r="H4826" s="133">
        <v>2.4648069699214123</v>
      </c>
      <c r="I4826" s="133">
        <v>0.95350978129842956</v>
      </c>
    </row>
    <row r="4827" spans="8:9" ht="12" customHeight="1">
      <c r="H4827" s="133">
        <v>2.4739575629084847</v>
      </c>
      <c r="I4827" s="133">
        <v>0.95439909358300357</v>
      </c>
    </row>
    <row r="4828" spans="8:9" ht="12" customHeight="1">
      <c r="H4828" s="133">
        <v>2.4997074884364627</v>
      </c>
      <c r="I4828" s="133">
        <v>0.95681548400225835</v>
      </c>
    </row>
    <row r="4829" spans="8:9" ht="12" customHeight="1">
      <c r="H4829" s="133">
        <v>2.504137350237635</v>
      </c>
      <c r="I4829" s="133">
        <v>0.95721866985168846</v>
      </c>
    </row>
    <row r="4830" spans="8:9" ht="12" customHeight="1">
      <c r="H4830" s="133">
        <v>2.5104748166328696</v>
      </c>
      <c r="I4830" s="133">
        <v>0.95778922953599088</v>
      </c>
    </row>
    <row r="4831" spans="8:9" ht="12" customHeight="1">
      <c r="H4831" s="133">
        <v>2.5179911576414118</v>
      </c>
      <c r="I4831" s="133">
        <v>0.95845649459480342</v>
      </c>
    </row>
    <row r="4832" spans="8:9" ht="12" customHeight="1">
      <c r="H4832" s="133">
        <v>2.5194292688567983</v>
      </c>
      <c r="I4832" s="133">
        <v>0.9585830081573028</v>
      </c>
    </row>
    <row r="4833" spans="8:9" ht="12" customHeight="1">
      <c r="H4833" s="133">
        <v>2.5250363610356574</v>
      </c>
      <c r="I4833" s="133">
        <v>0.95907276343829684</v>
      </c>
    </row>
    <row r="4834" spans="8:9" ht="12" customHeight="1">
      <c r="H4834" s="133">
        <v>2.5324298043744768</v>
      </c>
      <c r="I4834" s="133">
        <v>0.95971007872538916</v>
      </c>
    </row>
    <row r="4835" spans="8:9" ht="12" customHeight="1">
      <c r="H4835" s="133">
        <v>2.553375947232543</v>
      </c>
      <c r="I4835" s="133">
        <v>0.96146440877380235</v>
      </c>
    </row>
    <row r="4836" spans="8:9" ht="12" customHeight="1">
      <c r="H4836" s="133">
        <v>2.5567121219583027</v>
      </c>
      <c r="I4836" s="133">
        <v>0.96173697229608779</v>
      </c>
    </row>
    <row r="4837" spans="8:9" ht="12" customHeight="1">
      <c r="H4837" s="133">
        <v>2.5596734530068086</v>
      </c>
      <c r="I4837" s="133">
        <v>0.96197735966154718</v>
      </c>
    </row>
    <row r="4838" spans="8:9" ht="12" customHeight="1">
      <c r="H4838" s="133">
        <v>2.5695456402944088</v>
      </c>
      <c r="I4838" s="133">
        <v>0.96276830306017602</v>
      </c>
    </row>
    <row r="4839" spans="8:9" ht="12" customHeight="1">
      <c r="H4839" s="133">
        <v>2.5811113028281283</v>
      </c>
      <c r="I4839" s="133">
        <v>0.96367481053299675</v>
      </c>
    </row>
    <row r="4840" spans="8:9" ht="12" customHeight="1">
      <c r="H4840" s="133">
        <v>2.5817278376049457</v>
      </c>
      <c r="I4840" s="133">
        <v>0.96372253310167688</v>
      </c>
    </row>
    <row r="4841" spans="8:9" ht="12" customHeight="1">
      <c r="H4841" s="133">
        <v>2.5844333711238971</v>
      </c>
      <c r="I4841" s="133">
        <v>0.96393124114950024</v>
      </c>
    </row>
    <row r="4842" spans="8:9" ht="12" customHeight="1">
      <c r="H4842" s="133">
        <v>2.596001379810831</v>
      </c>
      <c r="I4842" s="133">
        <v>0.96481064487822132</v>
      </c>
    </row>
    <row r="4843" spans="8:9" ht="12" customHeight="1">
      <c r="H4843" s="133">
        <v>2.6000938005302561</v>
      </c>
      <c r="I4843" s="133">
        <v>0.96511677721505906</v>
      </c>
    </row>
    <row r="4844" spans="8:9" ht="12" customHeight="1">
      <c r="H4844" s="133">
        <v>2.6001546124625396</v>
      </c>
      <c r="I4844" s="133">
        <v>0.96512130682294983</v>
      </c>
    </row>
    <row r="4845" spans="8:9" ht="12" customHeight="1">
      <c r="H4845" s="133">
        <v>2.6068192914099577</v>
      </c>
      <c r="I4845" s="133">
        <v>0.96561430745228749</v>
      </c>
    </row>
    <row r="4846" spans="8:9" ht="12" customHeight="1">
      <c r="H4846" s="133">
        <v>2.6348975662189709</v>
      </c>
      <c r="I4846" s="133">
        <v>0.96761847594571182</v>
      </c>
    </row>
    <row r="4847" spans="8:9" ht="12" customHeight="1">
      <c r="H4847" s="133">
        <v>2.6545214277390961</v>
      </c>
      <c r="I4847" s="133">
        <v>0.96895166589156345</v>
      </c>
    </row>
    <row r="4848" spans="8:9" ht="12" customHeight="1">
      <c r="H4848" s="133">
        <v>2.6574112709665116</v>
      </c>
      <c r="I4848" s="133">
        <v>0.96914345125342038</v>
      </c>
    </row>
    <row r="4849" spans="8:9" ht="12" customHeight="1">
      <c r="H4849" s="133">
        <v>2.6587239114967978</v>
      </c>
      <c r="I4849" s="133">
        <v>0.96923018579550413</v>
      </c>
    </row>
    <row r="4850" spans="8:9" ht="12" customHeight="1">
      <c r="H4850" s="133">
        <v>2.667692573530148</v>
      </c>
      <c r="I4850" s="133">
        <v>0.96981651654743917</v>
      </c>
    </row>
    <row r="4851" spans="8:9" ht="12" customHeight="1">
      <c r="H4851" s="133">
        <v>2.6720408381134093</v>
      </c>
      <c r="I4851" s="133">
        <v>0.97009687616275653</v>
      </c>
    </row>
    <row r="4852" spans="8:9" ht="12" customHeight="1">
      <c r="H4852" s="133">
        <v>2.674167992301498</v>
      </c>
      <c r="I4852" s="133">
        <v>0.9702331060906525</v>
      </c>
    </row>
    <row r="4853" spans="8:9" ht="12" customHeight="1">
      <c r="H4853" s="133">
        <v>2.6773521031699703</v>
      </c>
      <c r="I4853" s="133">
        <v>0.97043590337531893</v>
      </c>
    </row>
    <row r="4854" spans="8:9" ht="12" customHeight="1">
      <c r="H4854" s="133">
        <v>2.6988004588609882</v>
      </c>
      <c r="I4854" s="133">
        <v>0.97176745856314872</v>
      </c>
    </row>
    <row r="4855" spans="8:9" ht="12" customHeight="1">
      <c r="H4855" s="133">
        <v>2.7421320517631234</v>
      </c>
      <c r="I4855" s="133">
        <v>0.97428217574593579</v>
      </c>
    </row>
    <row r="4856" spans="8:9" ht="12" customHeight="1">
      <c r="H4856" s="133">
        <v>2.7843015262953408</v>
      </c>
      <c r="I4856" s="133">
        <v>0.9765194159207371</v>
      </c>
    </row>
    <row r="4857" spans="8:9" ht="12" customHeight="1">
      <c r="H4857" s="133">
        <v>2.8293182462185937</v>
      </c>
      <c r="I4857" s="133">
        <v>0.97869805245579333</v>
      </c>
    </row>
    <row r="4858" spans="8:9" ht="12" customHeight="1">
      <c r="H4858" s="133">
        <v>2.8765874287951378</v>
      </c>
      <c r="I4858" s="133">
        <v>0.98077275244350548</v>
      </c>
    </row>
    <row r="4859" spans="8:9" ht="12" customHeight="1">
      <c r="H4859" s="133">
        <v>2.8808257473706846</v>
      </c>
      <c r="I4859" s="133">
        <v>0.98094879790086331</v>
      </c>
    </row>
    <row r="4860" spans="8:9" ht="12" customHeight="1">
      <c r="H4860" s="133">
        <v>2.9166595124251651</v>
      </c>
      <c r="I4860" s="133">
        <v>0.98237536393190072</v>
      </c>
    </row>
    <row r="4861" spans="8:9" ht="12" customHeight="1">
      <c r="H4861" s="133">
        <v>2.9401951645860143</v>
      </c>
      <c r="I4861" s="133">
        <v>0.98325470242750979</v>
      </c>
    </row>
    <row r="4862" spans="8:9" ht="12" customHeight="1">
      <c r="H4862" s="133">
        <v>2.9441483492941001</v>
      </c>
      <c r="I4862" s="133">
        <v>0.98339811060032434</v>
      </c>
    </row>
    <row r="4863" spans="8:9" ht="12" customHeight="1">
      <c r="H4863" s="133">
        <v>2.9609226380780598</v>
      </c>
      <c r="I4863" s="133">
        <v>0.9839933091357207</v>
      </c>
    </row>
    <row r="4864" spans="8:9" ht="12" customHeight="1">
      <c r="H4864" s="133">
        <v>2.9693746080736365</v>
      </c>
      <c r="I4864" s="133">
        <v>0.9842852053602017</v>
      </c>
    </row>
    <row r="4865" spans="8:9" ht="12" customHeight="1">
      <c r="H4865" s="133">
        <v>2.9928948402621165</v>
      </c>
      <c r="I4865" s="133">
        <v>0.98507020327089623</v>
      </c>
    </row>
    <row r="4866" spans="8:9" ht="12" customHeight="1">
      <c r="H4866" s="133">
        <v>3.1606801978117129</v>
      </c>
      <c r="I4866" s="133">
        <v>0.98965236212139307</v>
      </c>
    </row>
    <row r="4867" spans="8:9" ht="12" customHeight="1">
      <c r="H4867" s="133">
        <v>3.1814223809707887</v>
      </c>
      <c r="I4867" s="133">
        <v>0.99011193546820442</v>
      </c>
    </row>
    <row r="4868" spans="8:9" ht="12" customHeight="1">
      <c r="H4868" s="133">
        <v>3.3025971919894501</v>
      </c>
      <c r="I4868" s="133">
        <v>0.99241975563769824</v>
      </c>
    </row>
    <row r="4869" spans="8:9" ht="12" customHeight="1">
      <c r="H4869" s="133">
        <v>3.3147887969489758</v>
      </c>
      <c r="I4869" s="133">
        <v>0.9926200114943261</v>
      </c>
    </row>
    <row r="4870" spans="8:9" ht="12" customHeight="1">
      <c r="H4870" s="133">
        <v>3.4135621053608332</v>
      </c>
      <c r="I4870" s="133">
        <v>0.99406019505639664</v>
      </c>
    </row>
    <row r="4871" spans="8:9" ht="12" customHeight="1">
      <c r="H4871" s="133">
        <v>3.6163278083539372</v>
      </c>
      <c r="I4871" s="133">
        <v>0.9961992938718488</v>
      </c>
    </row>
    <row r="4872" spans="8:9" ht="12" customHeight="1">
      <c r="H4872" s="133">
        <v>3.6764566818724678</v>
      </c>
      <c r="I4872" s="133">
        <v>0.99667117490978119</v>
      </c>
    </row>
    <row r="4873" spans="8:9" ht="12" customHeight="1">
      <c r="H4873" s="133">
        <v>3.7196694457038975</v>
      </c>
      <c r="I4873" s="133">
        <v>0.99697379148160037</v>
      </c>
    </row>
    <row r="4874" spans="8:9" ht="12" customHeight="1">
      <c r="H4874" s="127">
        <v>99</v>
      </c>
      <c r="I4874" s="127">
        <v>1</v>
      </c>
    </row>
  </sheetData>
  <conditionalFormatting sqref="E19">
    <cfRule type="cellIs" dxfId="1" priority="1" stopIfTrue="1" operator="greaterThanOrEqual">
      <formula>0</formula>
    </cfRule>
  </conditionalFormatting>
  <conditionalFormatting sqref="F20">
    <cfRule type="cellIs" dxfId="0" priority="2" stopIfTrue="1" operator="greaterThanOrEqual">
      <formula>0.5</formula>
    </cfRule>
  </conditionalFormatting>
  <pageMargins left="0.75" right="0.75" top="1" bottom="1"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H1000"/>
  <sheetViews>
    <sheetView workbookViewId="0"/>
  </sheetViews>
  <sheetFormatPr baseColWidth="10" defaultColWidth="14.42578125" defaultRowHeight="15" customHeight="1"/>
  <cols>
    <col min="1" max="26" width="10.85546875" customWidth="1"/>
  </cols>
  <sheetData>
    <row r="1" spans="1:8" ht="12" customHeight="1">
      <c r="A1" s="127" t="s">
        <v>423</v>
      </c>
      <c r="G1" s="127" t="s">
        <v>419</v>
      </c>
      <c r="H1" s="127" t="s">
        <v>424</v>
      </c>
    </row>
    <row r="2" spans="1:8" ht="12" customHeight="1">
      <c r="B2" s="127" t="s">
        <v>425</v>
      </c>
      <c r="G2" s="127">
        <v>-99</v>
      </c>
      <c r="H2" s="127">
        <v>1</v>
      </c>
    </row>
    <row r="3" spans="1:8" ht="12" customHeight="1">
      <c r="B3" s="127">
        <v>1</v>
      </c>
      <c r="C3" s="127" t="s">
        <v>426</v>
      </c>
      <c r="D3" s="127" t="s">
        <v>427</v>
      </c>
      <c r="G3" s="127">
        <v>-4.3037200000000002</v>
      </c>
      <c r="H3" s="127">
        <v>1</v>
      </c>
    </row>
    <row r="4" spans="1:8" ht="12" customHeight="1">
      <c r="A4" s="127" t="s">
        <v>5</v>
      </c>
      <c r="B4" s="127">
        <v>-0.77099009426771503</v>
      </c>
      <c r="C4" s="136">
        <f>+A</f>
        <v>1</v>
      </c>
      <c r="D4" s="127">
        <f t="shared" ref="D4:D26" si="0">+C4*B4</f>
        <v>-0.77099009426771503</v>
      </c>
      <c r="G4" s="127">
        <v>-3.3108</v>
      </c>
      <c r="H4" s="127">
        <v>0.99999000000000005</v>
      </c>
    </row>
    <row r="5" spans="1:8" ht="12" customHeight="1">
      <c r="A5" s="127" t="s">
        <v>8</v>
      </c>
      <c r="B5" s="127">
        <v>-7.5019521633137798E-2</v>
      </c>
      <c r="C5" s="136">
        <f>+B</f>
        <v>1</v>
      </c>
      <c r="D5" s="127">
        <f t="shared" si="0"/>
        <v>-7.5019521633137798E-2</v>
      </c>
      <c r="G5" s="127">
        <v>-3.1210200000000001</v>
      </c>
      <c r="H5" s="127">
        <v>0.99997999999999998</v>
      </c>
    </row>
    <row r="6" spans="1:8" ht="12" customHeight="1">
      <c r="A6" s="127" t="s">
        <v>11</v>
      </c>
      <c r="B6" s="127">
        <v>8.3509889676735338E-2</v>
      </c>
      <c r="C6" s="136">
        <f>+C_</f>
        <v>1</v>
      </c>
      <c r="D6" s="127">
        <f t="shared" si="0"/>
        <v>8.3509889676735338E-2</v>
      </c>
      <c r="G6" s="127">
        <v>-2.7505799999999998</v>
      </c>
      <c r="H6" s="127">
        <v>0.99990999999999997</v>
      </c>
    </row>
    <row r="7" spans="1:8" ht="12" customHeight="1">
      <c r="A7" s="127" t="s">
        <v>14</v>
      </c>
      <c r="B7" s="127">
        <v>0.5344727871238043</v>
      </c>
      <c r="C7" s="136">
        <f>+E</f>
        <v>1</v>
      </c>
      <c r="D7" s="127">
        <f t="shared" si="0"/>
        <v>0.5344727871238043</v>
      </c>
      <c r="G7" s="127">
        <v>-2.6401500000000002</v>
      </c>
      <c r="H7" s="127">
        <v>0.99987000000000004</v>
      </c>
    </row>
    <row r="8" spans="1:8" ht="12" customHeight="1">
      <c r="A8" s="127" t="s">
        <v>17</v>
      </c>
      <c r="B8" s="127">
        <v>0.14631371245482752</v>
      </c>
      <c r="C8" s="136">
        <f>+_F</f>
        <v>1</v>
      </c>
      <c r="D8" s="127">
        <f t="shared" si="0"/>
        <v>0.14631371245482752</v>
      </c>
      <c r="G8" s="127">
        <v>-2.62398</v>
      </c>
      <c r="H8" s="127">
        <v>0.99987000000000004</v>
      </c>
    </row>
    <row r="9" spans="1:8" ht="12" customHeight="1">
      <c r="A9" s="127" t="s">
        <v>20</v>
      </c>
      <c r="B9" s="127">
        <v>-0.74267718994828025</v>
      </c>
      <c r="C9" s="136">
        <f>+G</f>
        <v>1</v>
      </c>
      <c r="D9" s="127">
        <f t="shared" si="0"/>
        <v>-0.74267718994828025</v>
      </c>
      <c r="G9" s="127">
        <v>-2.5335000000000001</v>
      </c>
      <c r="H9" s="127">
        <v>0.99982000000000004</v>
      </c>
    </row>
    <row r="10" spans="1:8" ht="12" customHeight="1">
      <c r="A10" s="127" t="s">
        <v>23</v>
      </c>
      <c r="B10" s="127">
        <v>0.52151599341235977</v>
      </c>
      <c r="C10" s="136">
        <f>+H</f>
        <v>1</v>
      </c>
      <c r="D10" s="127">
        <f t="shared" si="0"/>
        <v>0.52151599341235977</v>
      </c>
      <c r="G10" s="127">
        <v>-2.3660800000000002</v>
      </c>
      <c r="H10" s="127">
        <v>0.99966999999999995</v>
      </c>
    </row>
    <row r="11" spans="1:8" ht="12" customHeight="1">
      <c r="A11" s="127" t="s">
        <v>26</v>
      </c>
      <c r="B11" s="127">
        <v>0.25233693943837443</v>
      </c>
      <c r="C11" s="136">
        <f>+I</f>
        <v>1</v>
      </c>
      <c r="D11" s="127">
        <f t="shared" si="0"/>
        <v>0.25233693943837443</v>
      </c>
      <c r="G11" s="127">
        <v>-2.2371500000000002</v>
      </c>
      <c r="H11" s="127">
        <v>0.99948000000000004</v>
      </c>
    </row>
    <row r="12" spans="1:8" ht="12" customHeight="1">
      <c r="A12" s="127" t="s">
        <v>29</v>
      </c>
      <c r="B12" s="127">
        <v>-0.45824551482578901</v>
      </c>
      <c r="C12" s="136">
        <f>+'PTI-16'!F15</f>
        <v>1</v>
      </c>
      <c r="D12" s="127">
        <f t="shared" si="0"/>
        <v>-0.45824551482578901</v>
      </c>
      <c r="G12" s="127">
        <v>-2.0141900000000001</v>
      </c>
      <c r="H12" s="127">
        <v>0.99887000000000004</v>
      </c>
    </row>
    <row r="13" spans="1:8" ht="12" customHeight="1">
      <c r="A13" s="127" t="s">
        <v>32</v>
      </c>
      <c r="B13" s="127">
        <v>0.87491811719984036</v>
      </c>
      <c r="C13" s="136">
        <f>+M</f>
        <v>1</v>
      </c>
      <c r="D13" s="127">
        <f t="shared" si="0"/>
        <v>0.87491811719984036</v>
      </c>
      <c r="G13" s="127">
        <v>-2.0056600000000002</v>
      </c>
      <c r="H13" s="127">
        <v>0.99883999999999995</v>
      </c>
    </row>
    <row r="14" spans="1:8" ht="12" customHeight="1">
      <c r="A14" s="127" t="s">
        <v>35</v>
      </c>
      <c r="B14" s="127">
        <v>-0.92454577336018395</v>
      </c>
      <c r="C14" s="136">
        <f>+N</f>
        <v>1</v>
      </c>
      <c r="D14" s="127">
        <f t="shared" si="0"/>
        <v>-0.92454577336018395</v>
      </c>
      <c r="G14" s="127">
        <v>-1.9793499999999999</v>
      </c>
      <c r="H14" s="127">
        <v>0.99873000000000001</v>
      </c>
    </row>
    <row r="15" spans="1:8" ht="12" customHeight="1">
      <c r="A15" s="127" t="s">
        <v>38</v>
      </c>
      <c r="B15" s="127">
        <v>-0.10408536536595021</v>
      </c>
      <c r="C15" s="136">
        <f>+O</f>
        <v>2</v>
      </c>
      <c r="D15" s="127">
        <f t="shared" si="0"/>
        <v>-0.20817073073190043</v>
      </c>
      <c r="G15" s="127">
        <v>-1.89676</v>
      </c>
      <c r="H15" s="127">
        <v>0.99831000000000003</v>
      </c>
    </row>
    <row r="16" spans="1:8" ht="12" customHeight="1">
      <c r="A16" s="127" t="s">
        <v>41</v>
      </c>
      <c r="B16" s="127">
        <v>0.17417704518258786</v>
      </c>
      <c r="C16" s="136">
        <f>+Q1_</f>
        <v>1</v>
      </c>
      <c r="D16" s="127">
        <f t="shared" si="0"/>
        <v>0.17417704518258786</v>
      </c>
      <c r="G16" s="127">
        <v>-1.83528</v>
      </c>
      <c r="H16" s="127">
        <v>0.99790000000000001</v>
      </c>
    </row>
    <row r="17" spans="1:8" ht="12" customHeight="1">
      <c r="A17" s="127" t="s">
        <v>44</v>
      </c>
      <c r="B17" s="127">
        <v>0.18307930854771262</v>
      </c>
      <c r="C17" s="136">
        <f>+Q2_</f>
        <v>1</v>
      </c>
      <c r="D17" s="127">
        <f t="shared" si="0"/>
        <v>0.18307930854771262</v>
      </c>
      <c r="G17" s="127">
        <v>-1.7298800000000001</v>
      </c>
      <c r="H17" s="127">
        <v>0.99697000000000002</v>
      </c>
    </row>
    <row r="18" spans="1:8" ht="12" customHeight="1">
      <c r="A18" s="127" t="s">
        <v>47</v>
      </c>
      <c r="B18" s="127">
        <v>-0.9278336603955033</v>
      </c>
      <c r="C18" s="136">
        <f>+Q3_</f>
        <v>1</v>
      </c>
      <c r="D18" s="127">
        <f t="shared" si="0"/>
        <v>-0.9278336603955033</v>
      </c>
      <c r="G18" s="127">
        <v>-1.48655</v>
      </c>
      <c r="H18" s="127">
        <v>0.99295999999999995</v>
      </c>
    </row>
    <row r="19" spans="1:8" ht="12" customHeight="1">
      <c r="A19" s="127" t="s">
        <v>50</v>
      </c>
      <c r="B19" s="127">
        <v>-0.25047744354655122</v>
      </c>
      <c r="C19" s="136">
        <f>+Q4_</f>
        <v>2</v>
      </c>
      <c r="D19" s="127">
        <f t="shared" si="0"/>
        <v>-0.50095488709310243</v>
      </c>
      <c r="G19" s="127">
        <v>-1.47445</v>
      </c>
      <c r="H19" s="127">
        <v>0.99265999999999999</v>
      </c>
    </row>
    <row r="20" spans="1:8" ht="12" customHeight="1">
      <c r="A20" s="127" t="s">
        <v>198</v>
      </c>
      <c r="B20" s="127">
        <v>0.17721376966981062</v>
      </c>
      <c r="C20" s="136">
        <f>+'PTI-16'!F25</f>
        <v>5.3100000000000005</v>
      </c>
      <c r="D20" s="127">
        <f t="shared" si="0"/>
        <v>0.94100511694669442</v>
      </c>
      <c r="G20" s="127">
        <v>-1.4733400000000001</v>
      </c>
      <c r="H20" s="127">
        <v>0.99263000000000001</v>
      </c>
    </row>
    <row r="21" spans="1:8" ht="12" customHeight="1">
      <c r="A21" s="127" t="s">
        <v>202</v>
      </c>
      <c r="B21" s="127">
        <v>0.49491002220970831</v>
      </c>
      <c r="C21" s="136">
        <f>+'PTI-16'!F26</f>
        <v>1.2400000000000002</v>
      </c>
      <c r="D21" s="127">
        <f t="shared" si="0"/>
        <v>0.61368842754003838</v>
      </c>
      <c r="G21" s="127">
        <v>-0.95028999999999997</v>
      </c>
      <c r="H21" s="127">
        <v>0.95603000000000005</v>
      </c>
    </row>
    <row r="22" spans="1:8" ht="12" customHeight="1">
      <c r="A22" s="127" t="s">
        <v>279</v>
      </c>
      <c r="B22" s="127">
        <v>2.278000381328396</v>
      </c>
      <c r="C22" s="136">
        <f>+'PTI-16'!F27</f>
        <v>3.0100000000000002</v>
      </c>
      <c r="D22" s="127">
        <f t="shared" si="0"/>
        <v>6.8567811477984728</v>
      </c>
      <c r="G22" s="127">
        <v>-0.89031000000000005</v>
      </c>
      <c r="H22" s="127">
        <v>0.94635000000000002</v>
      </c>
    </row>
    <row r="23" spans="1:8" ht="12" customHeight="1">
      <c r="A23" s="127" t="s">
        <v>207</v>
      </c>
      <c r="B23" s="127">
        <v>-0.42698962385839018</v>
      </c>
      <c r="C23" s="136">
        <f>+'PTI-16'!F28</f>
        <v>1</v>
      </c>
      <c r="D23" s="127">
        <f t="shared" si="0"/>
        <v>-0.42698962385839018</v>
      </c>
      <c r="G23" s="127">
        <v>-0.86773</v>
      </c>
      <c r="H23" s="127">
        <v>0.94220999999999999</v>
      </c>
    </row>
    <row r="24" spans="1:8" ht="12" customHeight="1">
      <c r="A24" s="127" t="s">
        <v>428</v>
      </c>
      <c r="B24" s="127">
        <v>-0.86561530213065685</v>
      </c>
      <c r="C24" s="136">
        <f>+'PTI-16'!F31</f>
        <v>1.8200000000000003</v>
      </c>
      <c r="D24" s="127">
        <f t="shared" si="0"/>
        <v>-1.5754198498777958</v>
      </c>
      <c r="G24" s="127">
        <v>-0.62995000000000001</v>
      </c>
      <c r="H24" s="127">
        <v>0.87680000000000002</v>
      </c>
    </row>
    <row r="25" spans="1:8" ht="12" customHeight="1">
      <c r="A25" s="127" t="s">
        <v>223</v>
      </c>
      <c r="B25" s="127">
        <v>0.35002244709039732</v>
      </c>
      <c r="C25" s="136">
        <f>+'PTI-16'!F35</f>
        <v>1.99</v>
      </c>
      <c r="D25" s="127">
        <f t="shared" si="0"/>
        <v>0.69654466970989071</v>
      </c>
      <c r="G25" s="127">
        <v>-0.11112</v>
      </c>
      <c r="H25" s="127">
        <v>0.53834000000000004</v>
      </c>
    </row>
    <row r="26" spans="1:8" ht="12" customHeight="1">
      <c r="A26" s="127" t="s">
        <v>242</v>
      </c>
      <c r="B26" s="127">
        <v>-0.22757216513480513</v>
      </c>
      <c r="C26" s="136">
        <f>+'PTI-16'!F36</f>
        <v>5.68</v>
      </c>
      <c r="D26" s="127">
        <f t="shared" si="0"/>
        <v>-1.292609897965693</v>
      </c>
      <c r="G26" s="127">
        <v>-8.6720000000000005E-2</v>
      </c>
      <c r="H26" s="127">
        <v>0.51714000000000004</v>
      </c>
    </row>
    <row r="27" spans="1:8" ht="12" customHeight="1">
      <c r="A27" s="127" t="s">
        <v>429</v>
      </c>
      <c r="B27" s="127">
        <v>-2.9535101174251479</v>
      </c>
      <c r="D27" s="127">
        <f>+SUM(D4:D26)+B27</f>
        <v>1.0213762936486992</v>
      </c>
      <c r="E27" s="127">
        <f>+VLOOKUP(D27,G2:H55,2,TRUE)</f>
        <v>2.7720000000000002E-2</v>
      </c>
      <c r="G27" s="127">
        <v>-7.825E-2</v>
      </c>
      <c r="H27" s="127">
        <v>0.50975999999999999</v>
      </c>
    </row>
    <row r="28" spans="1:8" ht="12" customHeight="1">
      <c r="A28" s="127" t="s">
        <v>430</v>
      </c>
      <c r="E28" s="127">
        <f>+INT(E27*10)</f>
        <v>0</v>
      </c>
      <c r="G28" s="127">
        <v>3.049E-2</v>
      </c>
      <c r="H28" s="127">
        <v>0.4158</v>
      </c>
    </row>
    <row r="29" spans="1:8" ht="12" customHeight="1">
      <c r="E29" s="127">
        <f>+IF(E28&gt;10,10,E28)</f>
        <v>0</v>
      </c>
      <c r="G29" s="127">
        <v>0.24893000000000001</v>
      </c>
      <c r="H29" s="127">
        <v>0.24944</v>
      </c>
    </row>
    <row r="30" spans="1:8" ht="12" customHeight="1">
      <c r="E30" s="137">
        <f>+IF(E29&lt;1,1,E29)</f>
        <v>1</v>
      </c>
      <c r="G30" s="127">
        <v>0.59004999999999996</v>
      </c>
      <c r="H30" s="127">
        <v>9.1880000000000003E-2</v>
      </c>
    </row>
    <row r="31" spans="1:8" ht="12" customHeight="1">
      <c r="G31" s="127">
        <v>0.65515999999999996</v>
      </c>
      <c r="H31" s="127">
        <v>7.4620000000000006E-2</v>
      </c>
    </row>
    <row r="32" spans="1:8" ht="12" customHeight="1">
      <c r="G32" s="127">
        <v>0.73072999999999999</v>
      </c>
      <c r="H32" s="127">
        <v>5.8340000000000003E-2</v>
      </c>
    </row>
    <row r="33" spans="7:8" ht="12" customHeight="1">
      <c r="G33" s="127">
        <v>0.95340999999999998</v>
      </c>
      <c r="H33" s="127">
        <v>2.7720000000000002E-2</v>
      </c>
    </row>
    <row r="34" spans="7:8" ht="12" customHeight="1">
      <c r="G34" s="127">
        <v>1.1833899999999999</v>
      </c>
      <c r="H34" s="127">
        <v>1.2619999999999999E-2</v>
      </c>
    </row>
    <row r="35" spans="7:8" ht="12" customHeight="1">
      <c r="G35" s="127">
        <v>1.2887200000000001</v>
      </c>
      <c r="H35" s="127">
        <v>8.7799999999999996E-3</v>
      </c>
    </row>
    <row r="36" spans="7:8" ht="12" customHeight="1">
      <c r="G36" s="127">
        <v>1.3178700000000001</v>
      </c>
      <c r="H36" s="127">
        <v>7.9399999999999991E-3</v>
      </c>
    </row>
    <row r="37" spans="7:8" ht="12" customHeight="1">
      <c r="G37" s="127">
        <v>1.3721000000000001</v>
      </c>
      <c r="H37" s="127">
        <v>6.5799999999999999E-3</v>
      </c>
    </row>
    <row r="38" spans="7:8" ht="12" customHeight="1">
      <c r="G38" s="127">
        <v>1.4460999999999999</v>
      </c>
      <c r="H38" s="127">
        <v>5.0899999999999999E-3</v>
      </c>
    </row>
    <row r="39" spans="7:8" ht="12" customHeight="1">
      <c r="G39" s="127">
        <v>1.4692799999999999</v>
      </c>
      <c r="H39" s="127">
        <v>4.7000000000000002E-3</v>
      </c>
    </row>
    <row r="40" spans="7:8" ht="12" customHeight="1">
      <c r="G40" s="127">
        <v>1.49333</v>
      </c>
      <c r="H40" s="127">
        <v>4.3200000000000001E-3</v>
      </c>
    </row>
    <row r="41" spans="7:8" ht="12" customHeight="1">
      <c r="G41" s="127">
        <v>1.5468</v>
      </c>
      <c r="H41" s="127">
        <v>3.5899999999999999E-3</v>
      </c>
    </row>
    <row r="42" spans="7:8" ht="12" customHeight="1">
      <c r="G42" s="127">
        <v>1.6660299999999999</v>
      </c>
      <c r="H42" s="127">
        <v>2.3700000000000001E-3</v>
      </c>
    </row>
    <row r="43" spans="7:8" ht="12" customHeight="1">
      <c r="G43" s="127">
        <v>1.67778</v>
      </c>
      <c r="H43" s="127">
        <v>2.2799999999999999E-3</v>
      </c>
    </row>
    <row r="44" spans="7:8" ht="12" customHeight="1">
      <c r="G44" s="127">
        <v>1.77267</v>
      </c>
      <c r="H44" s="127">
        <v>1.64E-3</v>
      </c>
    </row>
    <row r="45" spans="7:8" ht="12" customHeight="1">
      <c r="G45" s="127">
        <v>1.82168</v>
      </c>
      <c r="H45" s="127">
        <v>1.3799999999999999E-3</v>
      </c>
    </row>
    <row r="46" spans="7:8" ht="12" customHeight="1">
      <c r="G46" s="127">
        <v>1.88503</v>
      </c>
      <c r="H46" s="127">
        <v>1.1100000000000001E-3</v>
      </c>
    </row>
    <row r="47" spans="7:8" ht="12" customHeight="1">
      <c r="G47" s="127">
        <v>1.9855100000000001</v>
      </c>
      <c r="H47" s="127">
        <v>7.7999999999999999E-4</v>
      </c>
    </row>
    <row r="48" spans="7:8" ht="12" customHeight="1">
      <c r="G48" s="127">
        <v>2.0829300000000002</v>
      </c>
      <c r="H48" s="127">
        <v>5.5999999999999995E-4</v>
      </c>
    </row>
    <row r="49" spans="7:8" ht="12" customHeight="1">
      <c r="G49" s="127">
        <v>2.2393100000000001</v>
      </c>
      <c r="H49" s="127">
        <v>3.2000000000000003E-4</v>
      </c>
    </row>
    <row r="50" spans="7:8" ht="12" customHeight="1">
      <c r="G50" s="127">
        <v>2.3264499999999999</v>
      </c>
      <c r="H50" s="127">
        <v>2.4000000000000001E-4</v>
      </c>
    </row>
    <row r="51" spans="7:8" ht="12" customHeight="1">
      <c r="G51" s="127">
        <v>3.1543100000000002</v>
      </c>
      <c r="H51" s="127">
        <v>1.0000000000000001E-5</v>
      </c>
    </row>
    <row r="52" spans="7:8" ht="12" customHeight="1">
      <c r="G52" s="127">
        <v>3.2830400000000002</v>
      </c>
      <c r="H52" s="127">
        <v>1.0000000000000001E-5</v>
      </c>
    </row>
    <row r="53" spans="7:8" ht="12" customHeight="1">
      <c r="G53" s="127">
        <v>3.3612799999999998</v>
      </c>
      <c r="H53" s="127">
        <v>1.0000000000000001E-5</v>
      </c>
    </row>
    <row r="54" spans="7:8" ht="12" customHeight="1">
      <c r="G54" s="127">
        <v>3.8144300000000002</v>
      </c>
      <c r="H54" s="127">
        <v>0</v>
      </c>
    </row>
    <row r="55" spans="7:8" ht="12" customHeight="1">
      <c r="G55" s="127">
        <v>99</v>
      </c>
      <c r="H55" s="127">
        <v>0</v>
      </c>
    </row>
    <row r="56" spans="7:8" ht="12" customHeight="1"/>
    <row r="57" spans="7:8" ht="12" customHeight="1"/>
    <row r="58" spans="7:8" ht="12" customHeight="1"/>
    <row r="59" spans="7:8" ht="12" customHeight="1"/>
    <row r="60" spans="7:8" ht="12" customHeight="1"/>
    <row r="61" spans="7:8" ht="12" customHeight="1"/>
    <row r="62" spans="7:8" ht="12" customHeight="1"/>
    <row r="63" spans="7:8" ht="12" customHeight="1"/>
    <row r="64" spans="7:8"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H1000"/>
  <sheetViews>
    <sheetView workbookViewId="0"/>
  </sheetViews>
  <sheetFormatPr baseColWidth="10" defaultColWidth="14.42578125" defaultRowHeight="15" customHeight="1"/>
  <cols>
    <col min="1" max="26" width="10.85546875" customWidth="1"/>
  </cols>
  <sheetData>
    <row r="1" spans="1:8" ht="12" customHeight="1">
      <c r="A1" s="240" t="s">
        <v>431</v>
      </c>
      <c r="B1" s="238"/>
      <c r="C1" s="238"/>
      <c r="D1" s="138" t="s">
        <v>426</v>
      </c>
      <c r="E1" s="139"/>
      <c r="F1" s="140"/>
      <c r="G1" s="141" t="s">
        <v>432</v>
      </c>
      <c r="H1" s="142" t="s">
        <v>433</v>
      </c>
    </row>
    <row r="2" spans="1:8" ht="12" customHeight="1">
      <c r="A2" s="140"/>
      <c r="B2" s="140" t="s">
        <v>5</v>
      </c>
      <c r="C2" s="139">
        <v>-0.69514929999999997</v>
      </c>
      <c r="D2" s="140">
        <f>+A</f>
        <v>1</v>
      </c>
      <c r="E2" s="139">
        <f t="shared" ref="E2:E28" si="0">+D2*C2</f>
        <v>-0.69514929999999997</v>
      </c>
      <c r="F2" s="140"/>
      <c r="G2" s="143">
        <v>-3.2274928822406799</v>
      </c>
      <c r="H2" s="144">
        <v>2.3800355394937044E-5</v>
      </c>
    </row>
    <row r="3" spans="1:8" ht="12" customHeight="1">
      <c r="A3" s="140"/>
      <c r="B3" s="140" t="s">
        <v>8</v>
      </c>
      <c r="C3" s="139">
        <v>1.8574189999999999</v>
      </c>
      <c r="D3" s="140">
        <f>+B</f>
        <v>1</v>
      </c>
      <c r="E3" s="139">
        <f t="shared" si="0"/>
        <v>1.8574189999999999</v>
      </c>
      <c r="F3" s="140"/>
      <c r="G3" s="143">
        <v>-2.7200657099636842</v>
      </c>
      <c r="H3" s="144">
        <v>1.2689124398892663E-4</v>
      </c>
    </row>
    <row r="4" spans="1:8" ht="12" customHeight="1">
      <c r="A4" s="140"/>
      <c r="B4" s="140" t="s">
        <v>11</v>
      </c>
      <c r="C4" s="139">
        <v>-0.19801769999999999</v>
      </c>
      <c r="D4" s="140">
        <f>+C_</f>
        <v>1</v>
      </c>
      <c r="E4" s="139">
        <f t="shared" si="0"/>
        <v>-0.19801769999999999</v>
      </c>
      <c r="F4" s="140"/>
      <c r="G4" s="143">
        <v>-2.7193405108060578</v>
      </c>
      <c r="H4" s="144">
        <v>1.2719509849482566E-4</v>
      </c>
    </row>
    <row r="5" spans="1:8" ht="12" customHeight="1">
      <c r="A5" s="140"/>
      <c r="B5" s="140" t="s">
        <v>14</v>
      </c>
      <c r="C5" s="139">
        <v>0.16047210000000001</v>
      </c>
      <c r="D5" s="140">
        <f>+E</f>
        <v>1</v>
      </c>
      <c r="E5" s="139">
        <f t="shared" si="0"/>
        <v>0.16047210000000001</v>
      </c>
      <c r="F5" s="140"/>
      <c r="G5" s="143">
        <v>-2.4858099721305558</v>
      </c>
      <c r="H5" s="144">
        <v>2.7475171808594867E-4</v>
      </c>
    </row>
    <row r="6" spans="1:8" ht="12" customHeight="1">
      <c r="A6" s="140"/>
      <c r="B6" s="140" t="s">
        <v>17</v>
      </c>
      <c r="C6" s="139">
        <v>5.7259320000000002E-2</v>
      </c>
      <c r="D6" s="140">
        <f>+_F</f>
        <v>1</v>
      </c>
      <c r="E6" s="139">
        <f t="shared" si="0"/>
        <v>5.7259320000000002E-2</v>
      </c>
      <c r="F6" s="140"/>
      <c r="G6" s="143">
        <v>-2.3789263475111042</v>
      </c>
      <c r="H6" s="144">
        <v>3.9084226867634698E-4</v>
      </c>
    </row>
    <row r="7" spans="1:8" ht="12" customHeight="1">
      <c r="A7" s="140"/>
      <c r="B7" s="140" t="s">
        <v>20</v>
      </c>
      <c r="C7" s="139">
        <v>0.2475299</v>
      </c>
      <c r="D7" s="140">
        <f>+G</f>
        <v>1</v>
      </c>
      <c r="E7" s="139">
        <f t="shared" si="0"/>
        <v>0.2475299</v>
      </c>
      <c r="F7" s="140"/>
      <c r="G7" s="143">
        <v>-2.2998988683310944</v>
      </c>
      <c r="H7" s="144">
        <v>5.071756550932713E-4</v>
      </c>
    </row>
    <row r="8" spans="1:8" ht="12" customHeight="1">
      <c r="A8" s="140"/>
      <c r="B8" s="140" t="s">
        <v>23</v>
      </c>
      <c r="C8" s="139">
        <v>0.4317568</v>
      </c>
      <c r="D8" s="140">
        <f>+H</f>
        <v>1</v>
      </c>
      <c r="E8" s="139">
        <f t="shared" si="0"/>
        <v>0.4317568</v>
      </c>
      <c r="F8" s="140"/>
      <c r="G8" s="143">
        <v>-2.2100648030410635</v>
      </c>
      <c r="H8" s="144">
        <v>6.8197800392222417E-4</v>
      </c>
    </row>
    <row r="9" spans="1:8" ht="12" customHeight="1">
      <c r="A9" s="140"/>
      <c r="B9" s="140" t="s">
        <v>26</v>
      </c>
      <c r="C9" s="139">
        <v>0.79149840000000005</v>
      </c>
      <c r="D9" s="140">
        <f>+I</f>
        <v>1</v>
      </c>
      <c r="E9" s="139">
        <f t="shared" si="0"/>
        <v>0.79149840000000005</v>
      </c>
      <c r="F9" s="140"/>
      <c r="G9" s="143">
        <v>-2.2051255420187199</v>
      </c>
      <c r="H9" s="144">
        <v>6.93172027432061E-4</v>
      </c>
    </row>
    <row r="10" spans="1:8" ht="12" customHeight="1">
      <c r="A10" s="140"/>
      <c r="B10" s="140" t="s">
        <v>29</v>
      </c>
      <c r="C10" s="139">
        <v>0.32860149999999999</v>
      </c>
      <c r="D10" s="140">
        <f>+'PTI-16'!F15</f>
        <v>1</v>
      </c>
      <c r="E10" s="139">
        <f t="shared" si="0"/>
        <v>0.32860149999999999</v>
      </c>
      <c r="F10" s="140"/>
      <c r="G10" s="143">
        <v>-2.175268057632687</v>
      </c>
      <c r="H10" s="144">
        <v>7.6485820360739233E-4</v>
      </c>
    </row>
    <row r="11" spans="1:8" ht="12" customHeight="1">
      <c r="A11" s="140"/>
      <c r="B11" s="140" t="s">
        <v>32</v>
      </c>
      <c r="C11" s="139">
        <v>-3.7999669999999999E-2</v>
      </c>
      <c r="D11" s="140">
        <f>+M</f>
        <v>1</v>
      </c>
      <c r="E11" s="139">
        <f t="shared" si="0"/>
        <v>-3.7999669999999999E-2</v>
      </c>
      <c r="F11" s="140"/>
      <c r="G11" s="143">
        <v>-2.1589526017600091</v>
      </c>
      <c r="H11" s="144">
        <v>8.0711342032412385E-4</v>
      </c>
    </row>
    <row r="12" spans="1:8" ht="12" customHeight="1">
      <c r="A12" s="140"/>
      <c r="B12" s="140" t="s">
        <v>35</v>
      </c>
      <c r="C12" s="139">
        <v>0.3481552</v>
      </c>
      <c r="D12" s="140">
        <f>+N</f>
        <v>1</v>
      </c>
      <c r="E12" s="139">
        <f t="shared" si="0"/>
        <v>0.3481552</v>
      </c>
      <c r="F12" s="140"/>
      <c r="G12" s="143">
        <v>-2.0404380015864434</v>
      </c>
      <c r="H12" s="144">
        <v>1.1927239213962357E-3</v>
      </c>
    </row>
    <row r="13" spans="1:8" ht="12" customHeight="1">
      <c r="A13" s="140"/>
      <c r="B13" s="140" t="s">
        <v>38</v>
      </c>
      <c r="C13" s="139">
        <v>0.12937689999999999</v>
      </c>
      <c r="D13" s="140">
        <f>+O</f>
        <v>2</v>
      </c>
      <c r="E13" s="139">
        <f t="shared" si="0"/>
        <v>0.25875379999999998</v>
      </c>
      <c r="F13" s="140"/>
      <c r="G13" s="143">
        <v>-1.994999245359703</v>
      </c>
      <c r="H13" s="144">
        <v>1.3853117544014386E-3</v>
      </c>
    </row>
    <row r="14" spans="1:8" ht="12" customHeight="1">
      <c r="A14" s="140"/>
      <c r="B14" s="140" t="s">
        <v>41</v>
      </c>
      <c r="C14" s="139">
        <v>-0.32755810000000002</v>
      </c>
      <c r="D14" s="140">
        <f>+Q1_</f>
        <v>1</v>
      </c>
      <c r="E14" s="139">
        <f t="shared" si="0"/>
        <v>-0.32755810000000002</v>
      </c>
      <c r="F14" s="140"/>
      <c r="G14" s="143">
        <v>-1.9078806776230506</v>
      </c>
      <c r="H14" s="144">
        <v>1.8456325509029388E-3</v>
      </c>
    </row>
    <row r="15" spans="1:8" ht="12" customHeight="1">
      <c r="A15" s="140"/>
      <c r="B15" s="140" t="s">
        <v>44</v>
      </c>
      <c r="C15" s="139">
        <v>1.013069</v>
      </c>
      <c r="D15" s="140">
        <f>+Q2_</f>
        <v>1</v>
      </c>
      <c r="E15" s="139">
        <f t="shared" si="0"/>
        <v>1.013069</v>
      </c>
      <c r="F15" s="140"/>
      <c r="G15" s="143">
        <v>-1.8679286113843971</v>
      </c>
      <c r="H15" s="144">
        <v>2.1050575174617653E-3</v>
      </c>
    </row>
    <row r="16" spans="1:8" ht="12" customHeight="1">
      <c r="A16" s="140"/>
      <c r="B16" s="140" t="s">
        <v>47</v>
      </c>
      <c r="C16" s="139">
        <v>1.3310690000000001</v>
      </c>
      <c r="D16" s="140">
        <f>+Q3_</f>
        <v>1</v>
      </c>
      <c r="E16" s="139">
        <f t="shared" si="0"/>
        <v>1.3310690000000001</v>
      </c>
      <c r="F16" s="140"/>
      <c r="G16" s="143">
        <v>-1.7559441412216552</v>
      </c>
      <c r="H16" s="144">
        <v>3.0428055308311728E-3</v>
      </c>
    </row>
    <row r="17" spans="1:8" ht="12" customHeight="1">
      <c r="A17" s="140"/>
      <c r="B17" s="140" t="s">
        <v>50</v>
      </c>
      <c r="C17" s="139">
        <v>-1.036346</v>
      </c>
      <c r="D17" s="140">
        <f>+Q4_</f>
        <v>2</v>
      </c>
      <c r="E17" s="139">
        <f t="shared" si="0"/>
        <v>-2.072692</v>
      </c>
      <c r="F17" s="140"/>
      <c r="G17" s="143">
        <v>-1.5701909184407792</v>
      </c>
      <c r="H17" s="144">
        <v>5.6008151715533265E-3</v>
      </c>
    </row>
    <row r="18" spans="1:8" ht="12" customHeight="1">
      <c r="A18" s="140"/>
      <c r="B18" s="140" t="s">
        <v>198</v>
      </c>
      <c r="C18" s="139">
        <v>5.8264400000000001E-2</v>
      </c>
      <c r="D18" s="140">
        <f>+'PTI-16'!F25</f>
        <v>5.3100000000000005</v>
      </c>
      <c r="E18" s="139">
        <f t="shared" si="0"/>
        <v>0.30938396400000001</v>
      </c>
      <c r="F18" s="140"/>
      <c r="G18" s="143">
        <v>-1.5016218074107734</v>
      </c>
      <c r="H18" s="144">
        <v>7.012293518964932E-3</v>
      </c>
    </row>
    <row r="19" spans="1:8" ht="12" customHeight="1">
      <c r="A19" s="140"/>
      <c r="B19" s="140" t="s">
        <v>202</v>
      </c>
      <c r="C19" s="139">
        <v>0.19479579999999999</v>
      </c>
      <c r="D19" s="140">
        <f>+'PTI-16'!F26</f>
        <v>1.2400000000000002</v>
      </c>
      <c r="E19" s="139">
        <f t="shared" si="0"/>
        <v>0.24154679200000004</v>
      </c>
      <c r="F19" s="140"/>
      <c r="G19" s="143">
        <v>-1.4440289981339283</v>
      </c>
      <c r="H19" s="144">
        <v>8.4669213520010087E-3</v>
      </c>
    </row>
    <row r="20" spans="1:8" ht="12" customHeight="1">
      <c r="A20" s="140"/>
      <c r="B20" s="140" t="s">
        <v>279</v>
      </c>
      <c r="C20" s="139">
        <v>-1.75159</v>
      </c>
      <c r="D20" s="140">
        <f>+'PTI-16'!F27</f>
        <v>3.0100000000000002</v>
      </c>
      <c r="E20" s="139">
        <f t="shared" si="0"/>
        <v>-5.2722859</v>
      </c>
      <c r="F20" s="140"/>
      <c r="G20" s="143">
        <v>-1.4335257730692261</v>
      </c>
      <c r="H20" s="144">
        <v>8.7627790938866676E-3</v>
      </c>
    </row>
    <row r="21" spans="1:8" ht="12" customHeight="1">
      <c r="A21" s="140"/>
      <c r="B21" s="140" t="s">
        <v>207</v>
      </c>
      <c r="C21" s="139">
        <v>0.44357239999999998</v>
      </c>
      <c r="D21" s="140">
        <f>+'PTI-16'!F28</f>
        <v>1</v>
      </c>
      <c r="E21" s="139">
        <f t="shared" si="0"/>
        <v>0.44357239999999998</v>
      </c>
      <c r="F21" s="140"/>
      <c r="G21" s="143">
        <v>-1.4068291420174448</v>
      </c>
      <c r="H21" s="144">
        <v>9.5616931542724156E-3</v>
      </c>
    </row>
    <row r="22" spans="1:8" ht="12" customHeight="1">
      <c r="A22" s="140"/>
      <c r="B22" s="140" t="s">
        <v>428</v>
      </c>
      <c r="C22" s="139">
        <v>-0.48833710000000002</v>
      </c>
      <c r="D22" s="140">
        <f>+'PTI-16'!F31</f>
        <v>1.8200000000000003</v>
      </c>
      <c r="E22" s="139">
        <f t="shared" si="0"/>
        <v>-0.88877352200000015</v>
      </c>
      <c r="F22" s="140"/>
      <c r="G22" s="143">
        <v>-1.3882483206819147</v>
      </c>
      <c r="H22" s="144">
        <v>1.0159903264879389E-2</v>
      </c>
    </row>
    <row r="23" spans="1:8" ht="12" customHeight="1">
      <c r="A23" s="140"/>
      <c r="B23" s="140" t="s">
        <v>211</v>
      </c>
      <c r="C23" s="139">
        <v>-2.4338649999999999</v>
      </c>
      <c r="D23" s="140">
        <f>+'PTI-16'!F32</f>
        <v>1.8099999999999998</v>
      </c>
      <c r="E23" s="139">
        <f t="shared" si="0"/>
        <v>-4.4052956499999993</v>
      </c>
      <c r="F23" s="140"/>
      <c r="G23" s="143">
        <v>-1.3406165115542104</v>
      </c>
      <c r="H23" s="144">
        <v>1.1867861149838805E-2</v>
      </c>
    </row>
    <row r="24" spans="1:8" ht="12" customHeight="1">
      <c r="A24" s="140"/>
      <c r="B24" s="140" t="s">
        <v>216</v>
      </c>
      <c r="C24" s="139">
        <v>-3.2763880000000002E-2</v>
      </c>
      <c r="D24" s="140">
        <f>+'PTI-16'!F33</f>
        <v>6.7399999999999993</v>
      </c>
      <c r="E24" s="139">
        <f t="shared" si="0"/>
        <v>-0.2208285512</v>
      </c>
      <c r="F24" s="140"/>
      <c r="G24" s="143">
        <v>-0.69256583832842045</v>
      </c>
      <c r="H24" s="144">
        <v>9.2422612268971902E-2</v>
      </c>
    </row>
    <row r="25" spans="1:8" ht="12" customHeight="1">
      <c r="A25" s="140"/>
      <c r="B25" s="140" t="s">
        <v>221</v>
      </c>
      <c r="C25" s="139">
        <v>1.8349059999999999</v>
      </c>
      <c r="D25" s="140">
        <f>+'PTI-16'!F34</f>
        <v>5.7999999999999989</v>
      </c>
      <c r="E25" s="139">
        <f t="shared" si="0"/>
        <v>10.642454799999998</v>
      </c>
      <c r="F25" s="140"/>
      <c r="G25" s="143">
        <v>-0.57408190994997055</v>
      </c>
      <c r="H25" s="144">
        <v>0.1308355035051269</v>
      </c>
    </row>
    <row r="26" spans="1:8" ht="12" customHeight="1">
      <c r="A26" s="140"/>
      <c r="B26" s="140" t="s">
        <v>223</v>
      </c>
      <c r="C26" s="139">
        <v>-1.215808</v>
      </c>
      <c r="D26" s="140">
        <f>+'PTI-16'!F35</f>
        <v>1.99</v>
      </c>
      <c r="E26" s="139">
        <f t="shared" si="0"/>
        <v>-2.4194579200000002</v>
      </c>
      <c r="F26" s="140"/>
      <c r="G26" s="143">
        <v>-0.56403383788795014</v>
      </c>
      <c r="H26" s="144">
        <v>0.13465080653336725</v>
      </c>
    </row>
    <row r="27" spans="1:8" ht="12" customHeight="1">
      <c r="A27" s="140"/>
      <c r="B27" s="140" t="s">
        <v>242</v>
      </c>
      <c r="C27" s="139">
        <v>1.4705710000000001</v>
      </c>
      <c r="D27" s="140">
        <f>+'PTI-16'!F36</f>
        <v>5.68</v>
      </c>
      <c r="E27" s="139">
        <f t="shared" si="0"/>
        <v>8.3528432800000001</v>
      </c>
      <c r="F27" s="140"/>
      <c r="G27" s="143">
        <v>-0.55018909430693019</v>
      </c>
      <c r="H27" s="144">
        <v>0.14006118887549326</v>
      </c>
    </row>
    <row r="28" spans="1:8" ht="12" customHeight="1">
      <c r="A28" s="140"/>
      <c r="B28" s="140" t="s">
        <v>434</v>
      </c>
      <c r="C28" s="139">
        <v>-1.7207170000000001E-2</v>
      </c>
      <c r="D28" s="140">
        <f>+'PTI-16'!G4</f>
        <v>0</v>
      </c>
      <c r="E28" s="139">
        <f t="shared" si="0"/>
        <v>0</v>
      </c>
      <c r="F28" s="140"/>
      <c r="G28" s="143">
        <v>-0.16990779865545469</v>
      </c>
      <c r="H28" s="144">
        <v>0.3634466622436468</v>
      </c>
    </row>
    <row r="29" spans="1:8" ht="12" customHeight="1">
      <c r="A29" s="140"/>
      <c r="B29" s="140" t="s">
        <v>435</v>
      </c>
      <c r="C29" s="139">
        <v>-12.1303</v>
      </c>
      <c r="D29" s="140"/>
      <c r="E29" s="139">
        <f>+C29</f>
        <v>-12.1303</v>
      </c>
      <c r="F29" s="140"/>
      <c r="G29" s="143">
        <v>-0.15684069972299611</v>
      </c>
      <c r="H29" s="144">
        <v>0.37347578950741511</v>
      </c>
    </row>
    <row r="30" spans="1:8" ht="12" customHeight="1">
      <c r="A30" s="140"/>
      <c r="B30" s="140"/>
      <c r="C30" s="139"/>
      <c r="D30" s="145" t="s">
        <v>436</v>
      </c>
      <c r="E30" s="146">
        <f>+SUM(E2:E29)</f>
        <v>-1.8529730572000016</v>
      </c>
      <c r="F30" s="140"/>
      <c r="G30" s="143">
        <v>9.3135479058262666E-2</v>
      </c>
      <c r="H30" s="144">
        <v>0.57620276993860053</v>
      </c>
    </row>
    <row r="31" spans="1:8" ht="12" customHeight="1">
      <c r="A31" s="140"/>
      <c r="B31" s="140"/>
      <c r="C31" s="139"/>
      <c r="D31" s="140" t="s">
        <v>437</v>
      </c>
      <c r="E31" s="139" t="str">
        <f>+IF(E30&gt;0,"Médico", "Control")</f>
        <v>Control</v>
      </c>
      <c r="F31" s="140"/>
      <c r="G31" s="143">
        <v>0.12238451846448432</v>
      </c>
      <c r="H31" s="144">
        <v>0.59957187678969803</v>
      </c>
    </row>
    <row r="32" spans="1:8" ht="12" customHeight="1">
      <c r="A32" s="140"/>
      <c r="B32" s="140"/>
      <c r="C32" s="139"/>
      <c r="D32" s="140" t="s">
        <v>420</v>
      </c>
      <c r="E32" s="139">
        <f>+VLOOKUP(E30,G2:H57,2,TRUE)</f>
        <v>2.1050575174617653E-3</v>
      </c>
      <c r="F32" s="140"/>
      <c r="G32" s="143">
        <v>0.15058057685471501</v>
      </c>
      <c r="H32" s="144">
        <v>0.62168007525886881</v>
      </c>
    </row>
    <row r="33" spans="1:8" ht="12" customHeight="1">
      <c r="A33" s="140"/>
      <c r="B33" s="140"/>
      <c r="C33" s="139"/>
      <c r="D33" s="140"/>
      <c r="E33" s="139">
        <f>+INT(E32*10)</f>
        <v>0</v>
      </c>
      <c r="F33" s="140"/>
      <c r="G33" s="143">
        <v>0.36550749351600137</v>
      </c>
      <c r="H33" s="144">
        <v>0.76952219916839182</v>
      </c>
    </row>
    <row r="34" spans="1:8" ht="12" customHeight="1">
      <c r="A34" s="140"/>
      <c r="B34" s="140"/>
      <c r="C34" s="139"/>
      <c r="D34" s="140" t="s">
        <v>438</v>
      </c>
      <c r="E34" s="147">
        <f>+IF(E33&lt;1,1,E33)</f>
        <v>1</v>
      </c>
      <c r="F34" s="140"/>
      <c r="G34" s="143">
        <v>0.51007048747803019</v>
      </c>
      <c r="H34" s="144">
        <v>0.84322892392298998</v>
      </c>
    </row>
    <row r="35" spans="1:8" ht="12" customHeight="1">
      <c r="A35" s="140"/>
      <c r="B35" s="140"/>
      <c r="C35" s="139"/>
      <c r="D35" s="140" t="s">
        <v>439</v>
      </c>
      <c r="E35" s="148">
        <f>+IF(E34&gt;10,10,E34)</f>
        <v>1</v>
      </c>
      <c r="F35" s="140"/>
      <c r="G35" s="143">
        <v>0.51384386134893578</v>
      </c>
      <c r="H35" s="144">
        <v>0.84486723665177765</v>
      </c>
    </row>
    <row r="36" spans="1:8" ht="12" customHeight="1">
      <c r="A36" s="140"/>
      <c r="B36" s="140"/>
      <c r="C36" s="139"/>
      <c r="D36" s="140"/>
      <c r="E36" s="139"/>
      <c r="F36" s="140"/>
      <c r="G36" s="143">
        <v>0.60540547944101308</v>
      </c>
      <c r="H36" s="144">
        <v>0.88047241304464918</v>
      </c>
    </row>
    <row r="37" spans="1:8" ht="12" customHeight="1">
      <c r="A37" s="140"/>
      <c r="B37" s="140"/>
      <c r="C37" s="139"/>
      <c r="D37" s="140"/>
      <c r="E37" s="139"/>
      <c r="F37" s="140"/>
      <c r="G37" s="143">
        <v>0.7045555514609948</v>
      </c>
      <c r="H37" s="144">
        <v>0.91084163449024835</v>
      </c>
    </row>
    <row r="38" spans="1:8" ht="12" customHeight="1">
      <c r="A38" s="140"/>
      <c r="B38" s="140"/>
      <c r="C38" s="139"/>
      <c r="D38" s="140"/>
      <c r="E38" s="139"/>
      <c r="F38" s="140"/>
      <c r="G38" s="143">
        <v>0.83707041329981247</v>
      </c>
      <c r="H38" s="144">
        <v>0.94053444723289914</v>
      </c>
    </row>
    <row r="39" spans="1:8" ht="12" customHeight="1">
      <c r="A39" s="140"/>
      <c r="B39" s="140"/>
      <c r="C39" s="139"/>
      <c r="D39" s="140"/>
      <c r="E39" s="139"/>
      <c r="F39" s="140"/>
      <c r="G39" s="143">
        <v>1.2374158484954163</v>
      </c>
      <c r="H39" s="144">
        <v>0.98339942781071499</v>
      </c>
    </row>
    <row r="40" spans="1:8" ht="12" customHeight="1">
      <c r="A40" s="140"/>
      <c r="B40" s="140"/>
      <c r="C40" s="139"/>
      <c r="D40" s="140"/>
      <c r="E40" s="139"/>
      <c r="F40" s="140"/>
      <c r="G40" s="143">
        <v>1.2575016263862633</v>
      </c>
      <c r="H40" s="144">
        <v>0.98444706147522543</v>
      </c>
    </row>
    <row r="41" spans="1:8" ht="12" customHeight="1">
      <c r="A41" s="140"/>
      <c r="B41" s="140"/>
      <c r="C41" s="139"/>
      <c r="D41" s="140"/>
      <c r="E41" s="139"/>
      <c r="F41" s="140"/>
      <c r="G41" s="143">
        <v>1.2988251954114989</v>
      </c>
      <c r="H41" s="144">
        <v>0.98640191683068645</v>
      </c>
    </row>
    <row r="42" spans="1:8" ht="12" customHeight="1">
      <c r="A42" s="140"/>
      <c r="B42" s="140"/>
      <c r="C42" s="139"/>
      <c r="D42" s="140"/>
      <c r="E42" s="139"/>
      <c r="F42" s="140"/>
      <c r="G42" s="143">
        <v>1.6347732967630777</v>
      </c>
      <c r="H42" s="144">
        <v>0.99546890186498305</v>
      </c>
    </row>
    <row r="43" spans="1:8" ht="12" customHeight="1">
      <c r="A43" s="140"/>
      <c r="B43" s="140"/>
      <c r="C43" s="139"/>
      <c r="D43" s="140"/>
      <c r="E43" s="139"/>
      <c r="F43" s="140"/>
      <c r="G43" s="143">
        <v>1.7395677990188845</v>
      </c>
      <c r="H43" s="144">
        <v>0.99678885376694004</v>
      </c>
    </row>
    <row r="44" spans="1:8" ht="12" customHeight="1">
      <c r="A44" s="140"/>
      <c r="B44" s="140"/>
      <c r="C44" s="139"/>
      <c r="D44" s="140"/>
      <c r="E44" s="139"/>
      <c r="F44" s="140"/>
      <c r="G44" s="143">
        <v>1.7421379436507667</v>
      </c>
      <c r="H44" s="144">
        <v>0.99681587501887658</v>
      </c>
    </row>
    <row r="45" spans="1:8" ht="12" customHeight="1">
      <c r="A45" s="140"/>
      <c r="B45" s="140"/>
      <c r="C45" s="139"/>
      <c r="D45" s="140"/>
      <c r="E45" s="139"/>
      <c r="F45" s="140"/>
      <c r="G45" s="143">
        <v>1.7836940355633171</v>
      </c>
      <c r="H45" s="144">
        <v>0.99722260352129</v>
      </c>
    </row>
    <row r="46" spans="1:8" ht="12" customHeight="1">
      <c r="A46" s="140"/>
      <c r="B46" s="140"/>
      <c r="C46" s="139"/>
      <c r="D46" s="140"/>
      <c r="E46" s="139"/>
      <c r="F46" s="140"/>
      <c r="G46" s="143">
        <v>1.8649738265007225</v>
      </c>
      <c r="H46" s="144">
        <v>0.99787436954792608</v>
      </c>
    </row>
    <row r="47" spans="1:8" ht="12" customHeight="1">
      <c r="A47" s="140"/>
      <c r="B47" s="140"/>
      <c r="C47" s="139"/>
      <c r="D47" s="140"/>
      <c r="E47" s="139"/>
      <c r="F47" s="140"/>
      <c r="G47" s="143">
        <v>1.9035810890439728</v>
      </c>
      <c r="H47" s="144">
        <v>0.9981280554352977</v>
      </c>
    </row>
    <row r="48" spans="1:8" ht="12" customHeight="1">
      <c r="A48" s="140"/>
      <c r="B48" s="140"/>
      <c r="C48" s="139"/>
      <c r="D48" s="140"/>
      <c r="E48" s="139"/>
      <c r="F48" s="140"/>
      <c r="G48" s="143">
        <v>2.1480178782679888</v>
      </c>
      <c r="H48" s="144">
        <v>0.99916326918469356</v>
      </c>
    </row>
    <row r="49" spans="1:8" ht="12" customHeight="1">
      <c r="A49" s="140"/>
      <c r="B49" s="140"/>
      <c r="C49" s="139"/>
      <c r="D49" s="140"/>
      <c r="E49" s="139"/>
      <c r="F49" s="140"/>
      <c r="G49" s="143">
        <v>2.1820931311962757</v>
      </c>
      <c r="H49" s="144">
        <v>0.99925215540728773</v>
      </c>
    </row>
    <row r="50" spans="1:8" ht="12" customHeight="1">
      <c r="A50" s="140"/>
      <c r="B50" s="140"/>
      <c r="C50" s="139"/>
      <c r="D50" s="140"/>
      <c r="E50" s="139"/>
      <c r="F50" s="140"/>
      <c r="G50" s="143">
        <v>2.3151283594526775</v>
      </c>
      <c r="H50" s="144">
        <v>0.99951766049052726</v>
      </c>
    </row>
    <row r="51" spans="1:8" ht="12" customHeight="1">
      <c r="A51" s="140"/>
      <c r="B51" s="140"/>
      <c r="C51" s="139"/>
      <c r="D51" s="140"/>
      <c r="E51" s="139"/>
      <c r="F51" s="140"/>
      <c r="G51" s="143">
        <v>2.713019200401563</v>
      </c>
      <c r="H51" s="144">
        <v>0.9998701253071054</v>
      </c>
    </row>
    <row r="52" spans="1:8" ht="12" customHeight="1">
      <c r="A52" s="140"/>
      <c r="B52" s="140"/>
      <c r="C52" s="139"/>
      <c r="D52" s="140"/>
      <c r="E52" s="139"/>
      <c r="F52" s="140"/>
      <c r="G52" s="143">
        <v>2.7350789591802336</v>
      </c>
      <c r="H52" s="144">
        <v>0.99987923871305096</v>
      </c>
    </row>
    <row r="53" spans="1:8" ht="12" customHeight="1">
      <c r="A53" s="140"/>
      <c r="B53" s="140"/>
      <c r="C53" s="139"/>
      <c r="D53" s="140"/>
      <c r="E53" s="139"/>
      <c r="F53" s="140"/>
      <c r="G53" s="143">
        <v>2.9247561648791613</v>
      </c>
      <c r="H53" s="144">
        <v>0.99993539915544549</v>
      </c>
    </row>
    <row r="54" spans="1:8" ht="12" customHeight="1">
      <c r="A54" s="140"/>
      <c r="B54" s="140"/>
      <c r="C54" s="139"/>
      <c r="D54" s="140"/>
      <c r="E54" s="139"/>
      <c r="F54" s="140"/>
      <c r="G54" s="143">
        <v>3.0679964863234539</v>
      </c>
      <c r="H54" s="144">
        <v>0.99995972310400327</v>
      </c>
    </row>
    <row r="55" spans="1:8" ht="12" customHeight="1">
      <c r="A55" s="140"/>
      <c r="B55" s="140"/>
      <c r="C55" s="139"/>
      <c r="D55" s="140"/>
      <c r="E55" s="139"/>
      <c r="F55" s="140"/>
      <c r="G55" s="143">
        <v>3.2009808209942321</v>
      </c>
      <c r="H55" s="144">
        <v>0.99997402466176</v>
      </c>
    </row>
    <row r="56" spans="1:8" ht="12" customHeight="1">
      <c r="A56" s="140"/>
      <c r="B56" s="140"/>
      <c r="C56" s="139"/>
      <c r="D56" s="140"/>
      <c r="E56" s="139"/>
      <c r="F56" s="140"/>
      <c r="G56" s="143">
        <v>3.6313827402074428</v>
      </c>
      <c r="H56" s="144">
        <v>0.99999371918512758</v>
      </c>
    </row>
    <row r="57" spans="1:8" ht="12" customHeight="1">
      <c r="A57" s="140"/>
      <c r="B57" s="140"/>
      <c r="C57" s="139"/>
      <c r="D57" s="140"/>
      <c r="E57" s="139"/>
      <c r="F57" s="140"/>
      <c r="G57" s="143">
        <v>3.6573383601115568</v>
      </c>
      <c r="H57" s="144">
        <v>0.9999942345314331</v>
      </c>
    </row>
    <row r="58" spans="1:8" ht="12" customHeight="1"/>
    <row r="59" spans="1:8" ht="12" customHeight="1"/>
    <row r="60" spans="1:8" ht="12" customHeight="1"/>
    <row r="61" spans="1:8" ht="12" customHeight="1"/>
    <row r="62" spans="1:8" ht="12" customHeight="1"/>
    <row r="63" spans="1:8" ht="12" customHeight="1"/>
    <row r="64" spans="1:8"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1:C1"/>
  </mergeCells>
  <pageMargins left="0.75" right="0.75" top="1" bottom="1"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I1000"/>
  <sheetViews>
    <sheetView workbookViewId="0"/>
  </sheetViews>
  <sheetFormatPr baseColWidth="10" defaultColWidth="14.42578125" defaultRowHeight="15" customHeight="1"/>
  <cols>
    <col min="1" max="26" width="10.85546875" customWidth="1"/>
  </cols>
  <sheetData>
    <row r="1" spans="1:9" ht="12" customHeight="1">
      <c r="A1" s="127" t="s">
        <v>423</v>
      </c>
      <c r="H1" s="149" t="s">
        <v>440</v>
      </c>
      <c r="I1" s="149" t="s">
        <v>420</v>
      </c>
    </row>
    <row r="2" spans="1:9" ht="12" customHeight="1">
      <c r="B2" s="127" t="s">
        <v>425</v>
      </c>
      <c r="H2" s="127">
        <v>-99</v>
      </c>
      <c r="I2" s="127">
        <v>0</v>
      </c>
    </row>
    <row r="3" spans="1:9" ht="12" customHeight="1">
      <c r="B3" s="127">
        <v>1</v>
      </c>
      <c r="C3" s="127" t="s">
        <v>441</v>
      </c>
      <c r="D3" s="127" t="s">
        <v>442</v>
      </c>
      <c r="H3" s="150">
        <v>-3.1877152148664671</v>
      </c>
      <c r="I3" s="150">
        <v>9.152989584245725E-3</v>
      </c>
    </row>
    <row r="4" spans="1:9" ht="12" customHeight="1">
      <c r="A4" s="127" t="s">
        <v>5</v>
      </c>
      <c r="B4" s="127">
        <v>0.23639258214663242</v>
      </c>
      <c r="C4" s="136">
        <f>+A</f>
        <v>1</v>
      </c>
      <c r="D4" s="127">
        <f t="shared" ref="D4:D19" si="0">+C4*B4</f>
        <v>0.23639258214663242</v>
      </c>
      <c r="H4" s="150">
        <v>-2.7889120327403649</v>
      </c>
      <c r="I4" s="150">
        <v>1.6327828074564125E-2</v>
      </c>
    </row>
    <row r="5" spans="1:9" ht="12" customHeight="1">
      <c r="A5" s="127" t="s">
        <v>8</v>
      </c>
      <c r="B5" s="127">
        <v>-0.30423140819409294</v>
      </c>
      <c r="C5" s="136">
        <f>+B</f>
        <v>1</v>
      </c>
      <c r="D5" s="127">
        <f t="shared" si="0"/>
        <v>-0.30423140819409294</v>
      </c>
      <c r="H5" s="150">
        <v>-2.7412215625398262</v>
      </c>
      <c r="I5" s="150">
        <v>1.7492450067261352E-2</v>
      </c>
    </row>
    <row r="6" spans="1:9" ht="12" customHeight="1">
      <c r="A6" s="127" t="s">
        <v>11</v>
      </c>
      <c r="B6" s="127">
        <v>1.0537314695217728E-2</v>
      </c>
      <c r="C6" s="136">
        <f>+C_</f>
        <v>1</v>
      </c>
      <c r="D6" s="127">
        <f t="shared" si="0"/>
        <v>1.0537314695217728E-2</v>
      </c>
      <c r="H6" s="150">
        <v>-2.5488151370580394</v>
      </c>
      <c r="I6" s="150">
        <v>2.3076592739313173E-2</v>
      </c>
    </row>
    <row r="7" spans="1:9" ht="12" customHeight="1">
      <c r="A7" s="127" t="s">
        <v>14</v>
      </c>
      <c r="B7" s="127">
        <v>-0.1791203042661178</v>
      </c>
      <c r="C7" s="136">
        <f>+E</f>
        <v>1</v>
      </c>
      <c r="D7" s="127">
        <f t="shared" si="0"/>
        <v>-0.1791203042661178</v>
      </c>
      <c r="H7" s="150">
        <v>-2.4164479607731257</v>
      </c>
      <c r="I7" s="150">
        <v>2.7893534678790299E-2</v>
      </c>
    </row>
    <row r="8" spans="1:9" ht="12" customHeight="1">
      <c r="A8" s="127" t="s">
        <v>17</v>
      </c>
      <c r="B8" s="127">
        <v>0.12617381511544928</v>
      </c>
      <c r="C8" s="136">
        <f>+_F</f>
        <v>1</v>
      </c>
      <c r="D8" s="127">
        <f t="shared" si="0"/>
        <v>0.12617381511544928</v>
      </c>
      <c r="H8" s="150">
        <v>-2.1915065018246347</v>
      </c>
      <c r="I8" s="150">
        <v>3.8401163079875456E-2</v>
      </c>
    </row>
    <row r="9" spans="1:9" ht="12" customHeight="1">
      <c r="A9" s="127" t="s">
        <v>20</v>
      </c>
      <c r="B9" s="127">
        <v>-0.22617880004845645</v>
      </c>
      <c r="C9" s="136">
        <f>+G</f>
        <v>1</v>
      </c>
      <c r="D9" s="127">
        <f t="shared" si="0"/>
        <v>-0.22617880004845645</v>
      </c>
      <c r="H9" s="150">
        <v>-2.1892600470637746</v>
      </c>
      <c r="I9" s="150">
        <v>3.8523252978407259E-2</v>
      </c>
    </row>
    <row r="10" spans="1:9" ht="12" customHeight="1">
      <c r="A10" s="127" t="s">
        <v>23</v>
      </c>
      <c r="B10" s="127">
        <v>-7.2587134490708791E-2</v>
      </c>
      <c r="C10" s="136">
        <f>+H</f>
        <v>1</v>
      </c>
      <c r="D10" s="127">
        <f t="shared" si="0"/>
        <v>-7.2587134490708791E-2</v>
      </c>
      <c r="H10" s="150">
        <v>-2.1640195594773051</v>
      </c>
      <c r="I10" s="150">
        <v>3.992087220145283E-2</v>
      </c>
    </row>
    <row r="11" spans="1:9" ht="12" customHeight="1">
      <c r="A11" s="127" t="s">
        <v>26</v>
      </c>
      <c r="B11" s="127">
        <v>-0.17151081200432838</v>
      </c>
      <c r="C11" s="136">
        <f>+I</f>
        <v>1</v>
      </c>
      <c r="D11" s="127">
        <f t="shared" si="0"/>
        <v>-0.17151081200432838</v>
      </c>
      <c r="H11" s="150">
        <v>-2.0613190048272658</v>
      </c>
      <c r="I11" s="150">
        <v>4.6124289342485247E-2</v>
      </c>
    </row>
    <row r="12" spans="1:9" ht="12" customHeight="1">
      <c r="A12" s="127" t="s">
        <v>29</v>
      </c>
      <c r="B12" s="127">
        <v>0.14681290075071732</v>
      </c>
      <c r="C12" s="136">
        <f>+'PTI-16'!F15</f>
        <v>1</v>
      </c>
      <c r="D12" s="127">
        <f t="shared" si="0"/>
        <v>0.14681290075071732</v>
      </c>
      <c r="H12" s="150">
        <v>-2.0113708606595821</v>
      </c>
      <c r="I12" s="150">
        <v>4.9463439817526204E-2</v>
      </c>
    </row>
    <row r="13" spans="1:9" ht="12" customHeight="1">
      <c r="A13" s="127" t="s">
        <v>32</v>
      </c>
      <c r="B13" s="127">
        <v>-8.496135043312843E-3</v>
      </c>
      <c r="C13" s="136">
        <f>+M</f>
        <v>1</v>
      </c>
      <c r="D13" s="127">
        <f t="shared" si="0"/>
        <v>-8.496135043312843E-3</v>
      </c>
      <c r="H13" s="150">
        <v>-1.7851414611903904</v>
      </c>
      <c r="I13" s="150">
        <v>6.7651361382936093E-2</v>
      </c>
    </row>
    <row r="14" spans="1:9" ht="12" customHeight="1">
      <c r="A14" s="127" t="s">
        <v>35</v>
      </c>
      <c r="B14" s="127">
        <v>7.1212034155581264E-2</v>
      </c>
      <c r="C14" s="136">
        <f>+N</f>
        <v>1</v>
      </c>
      <c r="D14" s="127">
        <f t="shared" si="0"/>
        <v>7.1212034155581264E-2</v>
      </c>
      <c r="H14" s="150">
        <v>-1.7569653283589297</v>
      </c>
      <c r="I14" s="150">
        <v>7.0310249275298803E-2</v>
      </c>
    </row>
    <row r="15" spans="1:9" ht="12" customHeight="1">
      <c r="A15" s="127" t="s">
        <v>38</v>
      </c>
      <c r="B15" s="127">
        <v>0.27030118696646027</v>
      </c>
      <c r="C15" s="136">
        <f>+O</f>
        <v>2</v>
      </c>
      <c r="D15" s="127">
        <f t="shared" si="0"/>
        <v>0.54060237393292054</v>
      </c>
      <c r="H15" s="150">
        <v>-1.7173672253197589</v>
      </c>
      <c r="I15" s="150">
        <v>7.4210427378315541E-2</v>
      </c>
    </row>
    <row r="16" spans="1:9" ht="12" customHeight="1">
      <c r="A16" s="127" t="s">
        <v>41</v>
      </c>
      <c r="B16" s="127">
        <v>-7.7169092376398758E-3</v>
      </c>
      <c r="C16" s="136">
        <f>+Q1_</f>
        <v>1</v>
      </c>
      <c r="D16" s="127">
        <f t="shared" si="0"/>
        <v>-7.7169092376398758E-3</v>
      </c>
      <c r="H16" s="150">
        <v>-1.6987581850005657</v>
      </c>
      <c r="I16" s="150">
        <v>7.6111252783167188E-2</v>
      </c>
    </row>
    <row r="17" spans="1:9" ht="12" customHeight="1">
      <c r="A17" s="127" t="s">
        <v>44</v>
      </c>
      <c r="B17" s="127">
        <v>0.11035353183466612</v>
      </c>
      <c r="C17" s="136">
        <f>+Q2_</f>
        <v>1</v>
      </c>
      <c r="D17" s="127">
        <f t="shared" si="0"/>
        <v>0.11035353183466612</v>
      </c>
      <c r="H17" s="150">
        <v>-1.5048248217043358</v>
      </c>
      <c r="I17" s="150">
        <v>9.8731210365134395E-2</v>
      </c>
    </row>
    <row r="18" spans="1:9" ht="12" customHeight="1">
      <c r="A18" s="127" t="s">
        <v>47</v>
      </c>
      <c r="B18" s="127">
        <v>8.2554310016381471E-2</v>
      </c>
      <c r="C18" s="136">
        <f>+Q3_</f>
        <v>1</v>
      </c>
      <c r="D18" s="127">
        <f t="shared" si="0"/>
        <v>8.2554310016381471E-2</v>
      </c>
      <c r="H18" s="150">
        <v>-1.4405981027203063</v>
      </c>
      <c r="I18" s="150">
        <v>0.10745367417535096</v>
      </c>
    </row>
    <row r="19" spans="1:9" ht="12" customHeight="1">
      <c r="A19" s="127" t="s">
        <v>50</v>
      </c>
      <c r="B19" s="127">
        <v>0.21611060549001729</v>
      </c>
      <c r="C19" s="136">
        <f>+Q4_</f>
        <v>2</v>
      </c>
      <c r="D19" s="127">
        <f t="shared" si="0"/>
        <v>0.43222121098003458</v>
      </c>
      <c r="H19" s="150">
        <v>-1.4204514782072664</v>
      </c>
      <c r="I19" s="150">
        <v>0.11032631237684599</v>
      </c>
    </row>
    <row r="20" spans="1:9" ht="12" customHeight="1">
      <c r="A20" s="127" t="s">
        <v>429</v>
      </c>
      <c r="B20" s="127">
        <v>-2.2908453572526182</v>
      </c>
      <c r="D20" s="127">
        <f>+B20+SUM(D4:D19)</f>
        <v>-1.5038267869096746</v>
      </c>
      <c r="H20" s="150">
        <v>-1.3439597749490788</v>
      </c>
      <c r="I20" s="150">
        <v>0.12185236128063233</v>
      </c>
    </row>
    <row r="21" spans="1:9" ht="12" customHeight="1">
      <c r="A21" s="127" t="s">
        <v>430</v>
      </c>
      <c r="D21" s="151">
        <f>+VLOOKUP(D20,H2:I127,2,TRUE)</f>
        <v>9.8731210365134395E-2</v>
      </c>
      <c r="H21" s="150">
        <v>-1.3155931220432742</v>
      </c>
      <c r="I21" s="150">
        <v>0.12638371577230109</v>
      </c>
    </row>
    <row r="22" spans="1:9" ht="12" customHeight="1">
      <c r="D22" s="127">
        <f>+INT(D21*10)</f>
        <v>0</v>
      </c>
      <c r="H22" s="150">
        <v>-1.2643189338899037</v>
      </c>
      <c r="I22" s="150">
        <v>0.13493995036221682</v>
      </c>
    </row>
    <row r="23" spans="1:9" ht="12" customHeight="1">
      <c r="D23" s="127" t="s">
        <v>443</v>
      </c>
      <c r="H23" s="150">
        <v>-1.2524186554056222</v>
      </c>
      <c r="I23" s="150">
        <v>0.13699440290346052</v>
      </c>
    </row>
    <row r="24" spans="1:9" ht="12" customHeight="1">
      <c r="D24" s="127">
        <f>11-D22</f>
        <v>11</v>
      </c>
      <c r="H24" s="150">
        <v>-1.2277174008732099</v>
      </c>
      <c r="I24" s="150">
        <v>0.14134280470667548</v>
      </c>
    </row>
    <row r="25" spans="1:9" ht="12" customHeight="1">
      <c r="C25" s="127" t="s">
        <v>444</v>
      </c>
      <c r="D25" s="127">
        <f>+IF(D24&lt;1,1,D24)</f>
        <v>11</v>
      </c>
      <c r="H25" s="150">
        <v>-1.1631386967471264</v>
      </c>
      <c r="I25" s="150">
        <v>0.1532570604748876</v>
      </c>
    </row>
    <row r="26" spans="1:9" ht="12" customHeight="1">
      <c r="C26" s="127" t="s">
        <v>445</v>
      </c>
      <c r="D26" s="137">
        <f>+IF(D25&gt;10,10,D25)</f>
        <v>10</v>
      </c>
      <c r="H26" s="150">
        <v>-1.1020523881004576</v>
      </c>
      <c r="I26" s="150">
        <v>0.16527223113440376</v>
      </c>
    </row>
    <row r="27" spans="1:9" ht="12" customHeight="1">
      <c r="H27" s="150">
        <v>-0.9656591654585267</v>
      </c>
      <c r="I27" s="150">
        <v>0.19480645428483942</v>
      </c>
    </row>
    <row r="28" spans="1:9" ht="12" customHeight="1">
      <c r="H28" s="150">
        <v>-0.95663352423210879</v>
      </c>
      <c r="I28" s="150">
        <v>0.19689535936590793</v>
      </c>
    </row>
    <row r="29" spans="1:9" ht="12" customHeight="1">
      <c r="H29" s="150">
        <v>-0.94609135928794152</v>
      </c>
      <c r="I29" s="150">
        <v>0.19935660335915545</v>
      </c>
    </row>
    <row r="30" spans="1:9" ht="12" customHeight="1">
      <c r="H30" s="150">
        <v>-0.91938564084380026</v>
      </c>
      <c r="I30" s="150">
        <v>0.2056946301975843</v>
      </c>
    </row>
    <row r="31" spans="1:9" ht="12" customHeight="1">
      <c r="H31" s="150">
        <v>-0.90582254545315555</v>
      </c>
      <c r="I31" s="150">
        <v>0.20897023648688565</v>
      </c>
    </row>
    <row r="32" spans="1:9" ht="12" customHeight="1">
      <c r="H32" s="150">
        <v>-0.88831345960358354</v>
      </c>
      <c r="I32" s="150">
        <v>0.21325535450331698</v>
      </c>
    </row>
    <row r="33" spans="8:9" ht="12" customHeight="1">
      <c r="H33" s="150">
        <v>-0.88364622815658911</v>
      </c>
      <c r="I33" s="150">
        <v>0.21440835149098819</v>
      </c>
    </row>
    <row r="34" spans="8:9" ht="12" customHeight="1">
      <c r="H34" s="150">
        <v>-0.87655692282941755</v>
      </c>
      <c r="I34" s="150">
        <v>0.21616835776454255</v>
      </c>
    </row>
    <row r="35" spans="8:9" ht="12" customHeight="1">
      <c r="H35" s="150">
        <v>-0.85207079518051132</v>
      </c>
      <c r="I35" s="150">
        <v>0.22232760831022511</v>
      </c>
    </row>
    <row r="36" spans="8:9" ht="12" customHeight="1">
      <c r="H36" s="150">
        <v>-0.83867858236041193</v>
      </c>
      <c r="I36" s="150">
        <v>0.2257488988876819</v>
      </c>
    </row>
    <row r="37" spans="8:9" ht="12" customHeight="1">
      <c r="H37" s="150">
        <v>-0.6947850401728729</v>
      </c>
      <c r="I37" s="150">
        <v>0.26482965933497765</v>
      </c>
    </row>
    <row r="38" spans="8:9" ht="12" customHeight="1">
      <c r="H38" s="150">
        <v>-0.65777581238174387</v>
      </c>
      <c r="I38" s="150">
        <v>0.27555296152069869</v>
      </c>
    </row>
    <row r="39" spans="8:9" ht="12" customHeight="1">
      <c r="H39" s="150">
        <v>-0.63967864692857412</v>
      </c>
      <c r="I39" s="150">
        <v>0.28089341906487558</v>
      </c>
    </row>
    <row r="40" spans="8:9" ht="12" customHeight="1">
      <c r="H40" s="150">
        <v>-0.59880608906657729</v>
      </c>
      <c r="I40" s="150">
        <v>0.29318392136727162</v>
      </c>
    </row>
    <row r="41" spans="8:9" ht="12" customHeight="1">
      <c r="H41" s="150">
        <v>-0.55173591489748774</v>
      </c>
      <c r="I41" s="150">
        <v>0.30772030507427361</v>
      </c>
    </row>
    <row r="42" spans="8:9" ht="12" customHeight="1">
      <c r="H42" s="150">
        <v>-0.51346301123073856</v>
      </c>
      <c r="I42" s="150">
        <v>0.31982956332067258</v>
      </c>
    </row>
    <row r="43" spans="8:9" ht="12" customHeight="1">
      <c r="H43" s="150">
        <v>-0.47995269208574665</v>
      </c>
      <c r="I43" s="150">
        <v>0.33063590444173663</v>
      </c>
    </row>
    <row r="44" spans="8:9" ht="12" customHeight="1">
      <c r="H44" s="150">
        <v>-0.46823671560730351</v>
      </c>
      <c r="I44" s="150">
        <v>0.33445737245616086</v>
      </c>
    </row>
    <row r="45" spans="8:9" ht="12" customHeight="1">
      <c r="H45" s="150">
        <v>-0.46774027062870938</v>
      </c>
      <c r="I45" s="150">
        <v>0.33461978592509695</v>
      </c>
    </row>
    <row r="46" spans="8:9" ht="12" customHeight="1">
      <c r="H46" s="150">
        <v>-0.45097044193949448</v>
      </c>
      <c r="I46" s="150">
        <v>0.34012892238053388</v>
      </c>
    </row>
    <row r="47" spans="8:9" ht="12" customHeight="1">
      <c r="H47" s="150">
        <v>-0.43373939063669664</v>
      </c>
      <c r="I47" s="150">
        <v>0.34583496030927724</v>
      </c>
    </row>
    <row r="48" spans="8:9" ht="12" customHeight="1">
      <c r="H48" s="150">
        <v>-0.3942607258243912</v>
      </c>
      <c r="I48" s="150">
        <v>0.35907469916329571</v>
      </c>
    </row>
    <row r="49" spans="8:9" ht="12" customHeight="1">
      <c r="H49" s="150">
        <v>-0.38466885348149416</v>
      </c>
      <c r="I49" s="150">
        <v>0.36232507662047631</v>
      </c>
    </row>
    <row r="50" spans="8:9" ht="12" customHeight="1">
      <c r="H50" s="150">
        <v>-0.31939373353806705</v>
      </c>
      <c r="I50" s="150">
        <v>0.38476718380921709</v>
      </c>
    </row>
    <row r="51" spans="8:9" ht="12" customHeight="1">
      <c r="H51" s="150">
        <v>-0.30631605457796529</v>
      </c>
      <c r="I51" s="150">
        <v>0.38932649744747899</v>
      </c>
    </row>
    <row r="52" spans="8:9" ht="12" customHeight="1">
      <c r="H52" s="150">
        <v>-0.25827048687603527</v>
      </c>
      <c r="I52" s="150">
        <v>0.40623804567701627</v>
      </c>
    </row>
    <row r="53" spans="8:9" ht="12" customHeight="1">
      <c r="H53" s="150">
        <v>-0.25364124392083276</v>
      </c>
      <c r="I53" s="150">
        <v>0.40787999669629649</v>
      </c>
    </row>
    <row r="54" spans="8:9" ht="12" customHeight="1">
      <c r="H54" s="150">
        <v>-0.22002230643673373</v>
      </c>
      <c r="I54" s="150">
        <v>0.41986395465953252</v>
      </c>
    </row>
    <row r="55" spans="8:9" ht="12" customHeight="1">
      <c r="H55" s="150">
        <v>-0.20107012130627008</v>
      </c>
      <c r="I55" s="150">
        <v>0.4266625909136319</v>
      </c>
    </row>
    <row r="56" spans="8:9" ht="12" customHeight="1">
      <c r="H56" s="150">
        <v>-0.14966101027853473</v>
      </c>
      <c r="I56" s="150">
        <v>0.44523730016687829</v>
      </c>
    </row>
    <row r="57" spans="8:9" ht="12" customHeight="1">
      <c r="H57" s="150">
        <v>-5.7661990856512663E-2</v>
      </c>
      <c r="I57" s="150">
        <v>0.47882849546268935</v>
      </c>
    </row>
    <row r="58" spans="8:9" ht="12" customHeight="1">
      <c r="H58" s="150">
        <v>-5.3659638444543661E-2</v>
      </c>
      <c r="I58" s="150">
        <v>0.48029644336421057</v>
      </c>
    </row>
    <row r="59" spans="8:9" ht="12" customHeight="1">
      <c r="H59" s="150">
        <v>-3.3010531744247118E-2</v>
      </c>
      <c r="I59" s="150">
        <v>0.48787479167775999</v>
      </c>
    </row>
    <row r="60" spans="8:9" ht="12" customHeight="1">
      <c r="H60" s="150">
        <v>-2.6253853036258518E-2</v>
      </c>
      <c r="I60" s="150">
        <v>0.49035591503371839</v>
      </c>
    </row>
    <row r="61" spans="8:9" ht="12" customHeight="1">
      <c r="H61" s="150">
        <v>3.4890970893889761E-2</v>
      </c>
      <c r="I61" s="150">
        <v>0.51281562428589633</v>
      </c>
    </row>
    <row r="62" spans="8:9" ht="12" customHeight="1">
      <c r="H62" s="150">
        <v>0.12050717608252245</v>
      </c>
      <c r="I62" s="150">
        <v>0.54415723121564286</v>
      </c>
    </row>
    <row r="63" spans="8:9" ht="12" customHeight="1">
      <c r="H63" s="150">
        <v>0.13067949065591974</v>
      </c>
      <c r="I63" s="150">
        <v>0.54786272791854362</v>
      </c>
    </row>
    <row r="64" spans="8:9" ht="12" customHeight="1">
      <c r="H64" s="150">
        <v>0.16534307348978686</v>
      </c>
      <c r="I64" s="150">
        <v>0.56044752202905423</v>
      </c>
    </row>
    <row r="65" spans="8:9" ht="12" customHeight="1">
      <c r="H65" s="150">
        <v>0.16666228978112621</v>
      </c>
      <c r="I65" s="150">
        <v>0.56092504305734392</v>
      </c>
    </row>
    <row r="66" spans="8:9" ht="12" customHeight="1">
      <c r="H66" s="150">
        <v>0.18785509880893267</v>
      </c>
      <c r="I66" s="150">
        <v>0.5685802257479442</v>
      </c>
    </row>
    <row r="67" spans="8:9" ht="12" customHeight="1">
      <c r="H67" s="150">
        <v>0.18883950066328231</v>
      </c>
      <c r="I67" s="150">
        <v>0.56893504150459995</v>
      </c>
    </row>
    <row r="68" spans="8:9" ht="12" customHeight="1">
      <c r="H68" s="150">
        <v>0.19422025943750018</v>
      </c>
      <c r="I68" s="150">
        <v>0.57087321136847013</v>
      </c>
    </row>
    <row r="69" spans="8:9" ht="12" customHeight="1">
      <c r="H69" s="150">
        <v>0.23471248683264731</v>
      </c>
      <c r="I69" s="150">
        <v>0.58538508562122404</v>
      </c>
    </row>
    <row r="70" spans="8:9" ht="12" customHeight="1">
      <c r="H70" s="150">
        <v>0.25454133732893536</v>
      </c>
      <c r="I70" s="150">
        <v>0.59243942070939626</v>
      </c>
    </row>
    <row r="71" spans="8:9" ht="12" customHeight="1">
      <c r="H71" s="150">
        <v>0.26138424432835938</v>
      </c>
      <c r="I71" s="150">
        <v>0.59486520075329408</v>
      </c>
    </row>
    <row r="72" spans="8:9" ht="12" customHeight="1">
      <c r="H72" s="150">
        <v>0.26424971173251444</v>
      </c>
      <c r="I72" s="150">
        <v>0.59587962898218783</v>
      </c>
    </row>
    <row r="73" spans="8:9" ht="12" customHeight="1">
      <c r="H73" s="150">
        <v>0.31716924809777702</v>
      </c>
      <c r="I73" s="150">
        <v>0.61445868928930092</v>
      </c>
    </row>
    <row r="74" spans="8:9" ht="12" customHeight="1">
      <c r="H74" s="150">
        <v>0.33813635119833363</v>
      </c>
      <c r="I74" s="150">
        <v>0.6217318084927157</v>
      </c>
    </row>
    <row r="75" spans="8:9" ht="12" customHeight="1">
      <c r="H75" s="150">
        <v>0.35243615802174943</v>
      </c>
      <c r="I75" s="150">
        <v>0.62666115592078742</v>
      </c>
    </row>
    <row r="76" spans="8:9" ht="12" customHeight="1">
      <c r="H76" s="150">
        <v>0.41437719464595191</v>
      </c>
      <c r="I76" s="150">
        <v>0.64769998079987501</v>
      </c>
    </row>
    <row r="77" spans="8:9" ht="12" customHeight="1">
      <c r="H77" s="150">
        <v>0.44488470982922679</v>
      </c>
      <c r="I77" s="150">
        <v>0.65786098620922961</v>
      </c>
    </row>
    <row r="78" spans="8:9" ht="12" customHeight="1">
      <c r="H78" s="150">
        <v>0.46038782682719137</v>
      </c>
      <c r="I78" s="150">
        <v>0.6629702667763373</v>
      </c>
    </row>
    <row r="79" spans="8:9" ht="12" customHeight="1">
      <c r="H79" s="150">
        <v>0.50522887591796362</v>
      </c>
      <c r="I79" s="150">
        <v>0.67753241272227616</v>
      </c>
    </row>
    <row r="80" spans="8:9" ht="12" customHeight="1">
      <c r="H80" s="150">
        <v>0.51999740336547684</v>
      </c>
      <c r="I80" s="150">
        <v>0.6822557404647015</v>
      </c>
    </row>
    <row r="81" spans="8:9" ht="12" customHeight="1">
      <c r="H81" s="150">
        <v>0.52119110159137505</v>
      </c>
      <c r="I81" s="150">
        <v>0.68263589690970883</v>
      </c>
    </row>
    <row r="82" spans="8:9" ht="12" customHeight="1">
      <c r="H82" s="150">
        <v>0.5639828296150966</v>
      </c>
      <c r="I82" s="150">
        <v>0.69610031895530711</v>
      </c>
    </row>
    <row r="83" spans="8:9" ht="12" customHeight="1">
      <c r="H83" s="150">
        <v>0.59308660583492867</v>
      </c>
      <c r="I83" s="150">
        <v>0.70507130848179922</v>
      </c>
    </row>
    <row r="84" spans="8:9" ht="12" customHeight="1">
      <c r="H84" s="150">
        <v>0.59887037298853985</v>
      </c>
      <c r="I84" s="150">
        <v>0.70683565455739195</v>
      </c>
    </row>
    <row r="85" spans="8:9" ht="12" customHeight="1">
      <c r="H85" s="150">
        <v>0.60797279108478297</v>
      </c>
      <c r="I85" s="150">
        <v>0.70959980608936413</v>
      </c>
    </row>
    <row r="86" spans="8:9" ht="12" customHeight="1">
      <c r="H86" s="150">
        <v>0.64130842472835459</v>
      </c>
      <c r="I86" s="150">
        <v>0.71959010379368338</v>
      </c>
    </row>
    <row r="87" spans="8:9" ht="12" customHeight="1">
      <c r="H87" s="150">
        <v>0.71066743007515809</v>
      </c>
      <c r="I87" s="150">
        <v>0.73968947684831388</v>
      </c>
    </row>
    <row r="88" spans="8:9" ht="12" customHeight="1">
      <c r="H88" s="150">
        <v>0.72609973399311967</v>
      </c>
      <c r="I88" s="150">
        <v>0.7440323877684808</v>
      </c>
    </row>
    <row r="89" spans="8:9" ht="12" customHeight="1">
      <c r="H89" s="150">
        <v>0.73869475286176023</v>
      </c>
      <c r="I89" s="150">
        <v>0.7475414250421295</v>
      </c>
    </row>
    <row r="90" spans="8:9" ht="12" customHeight="1">
      <c r="H90" s="150">
        <v>0.76449784756514538</v>
      </c>
      <c r="I90" s="150">
        <v>0.75463018061937781</v>
      </c>
    </row>
    <row r="91" spans="8:9" ht="12" customHeight="1">
      <c r="H91" s="150">
        <v>0.77037085765415592</v>
      </c>
      <c r="I91" s="150">
        <v>0.75622474419498154</v>
      </c>
    </row>
    <row r="92" spans="8:9" ht="12" customHeight="1">
      <c r="H92" s="150">
        <v>0.81375746358921019</v>
      </c>
      <c r="I92" s="150">
        <v>0.76778575422831963</v>
      </c>
    </row>
    <row r="93" spans="8:9" ht="12" customHeight="1">
      <c r="H93" s="150">
        <v>0.81442340463961027</v>
      </c>
      <c r="I93" s="150">
        <v>0.76796018885460149</v>
      </c>
    </row>
    <row r="94" spans="8:9" ht="12" customHeight="1">
      <c r="H94" s="150">
        <v>0.84635921033577444</v>
      </c>
      <c r="I94" s="150">
        <v>0.77621780588218536</v>
      </c>
    </row>
    <row r="95" spans="8:9" ht="12" customHeight="1">
      <c r="H95" s="150">
        <v>0.85555265657034307</v>
      </c>
      <c r="I95" s="150">
        <v>0.77855580888241205</v>
      </c>
    </row>
    <row r="96" spans="8:9" ht="12" customHeight="1">
      <c r="H96" s="150">
        <v>0.85756762617109772</v>
      </c>
      <c r="I96" s="150">
        <v>0.77906589791842518</v>
      </c>
    </row>
    <row r="97" spans="8:9" ht="12" customHeight="1">
      <c r="H97" s="150">
        <v>0.85863670508562673</v>
      </c>
      <c r="I97" s="150">
        <v>0.77933619297042955</v>
      </c>
    </row>
    <row r="98" spans="8:9" ht="12" customHeight="1">
      <c r="H98" s="150">
        <v>0.90577958366551825</v>
      </c>
      <c r="I98" s="150">
        <v>0.79101932714430812</v>
      </c>
    </row>
    <row r="99" spans="8:9" ht="12" customHeight="1">
      <c r="H99" s="150">
        <v>0.92338209530736992</v>
      </c>
      <c r="I99" s="150">
        <v>0.79526326039064366</v>
      </c>
    </row>
    <row r="100" spans="8:9" ht="12" customHeight="1">
      <c r="H100" s="150">
        <v>0.95241840942305489</v>
      </c>
      <c r="I100" s="150">
        <v>0.80212331390125702</v>
      </c>
    </row>
    <row r="101" spans="8:9" ht="12" customHeight="1">
      <c r="H101" s="150">
        <v>0.96974508893724898</v>
      </c>
      <c r="I101" s="150">
        <v>0.80613365700051953</v>
      </c>
    </row>
    <row r="102" spans="8:9" ht="12" customHeight="1">
      <c r="H102" s="150">
        <v>0.99215719453729434</v>
      </c>
      <c r="I102" s="150">
        <v>0.81122905583306271</v>
      </c>
    </row>
    <row r="103" spans="8:9" ht="12" customHeight="1">
      <c r="H103" s="150">
        <v>1.0070161829958699</v>
      </c>
      <c r="I103" s="150">
        <v>0.81455022593910031</v>
      </c>
    </row>
    <row r="104" spans="8:9" ht="12" customHeight="1">
      <c r="H104" s="150">
        <v>1.0465046974110017</v>
      </c>
      <c r="I104" s="150">
        <v>0.82315662132935608</v>
      </c>
    </row>
    <row r="105" spans="8:9" ht="12" customHeight="1">
      <c r="H105" s="150">
        <v>1.0866902704527259</v>
      </c>
      <c r="I105" s="150">
        <v>0.83158976605812585</v>
      </c>
    </row>
    <row r="106" spans="8:9" ht="12" customHeight="1">
      <c r="H106" s="150">
        <v>1.1470978918479939</v>
      </c>
      <c r="I106" s="150">
        <v>0.84365887009461837</v>
      </c>
    </row>
    <row r="107" spans="8:9" ht="12" customHeight="1">
      <c r="H107" s="150">
        <v>1.1714296684142314</v>
      </c>
      <c r="I107" s="150">
        <v>0.84831736858481066</v>
      </c>
    </row>
    <row r="108" spans="8:9" ht="12" customHeight="1">
      <c r="H108" s="150">
        <v>1.1857382827660579</v>
      </c>
      <c r="I108" s="150">
        <v>0.85100326040163876</v>
      </c>
    </row>
    <row r="109" spans="8:9" ht="12" customHeight="1">
      <c r="H109" s="150">
        <v>1.2523989991220477</v>
      </c>
      <c r="I109" s="150">
        <v>0.86300218199017475</v>
      </c>
    </row>
    <row r="110" spans="8:9" ht="12" customHeight="1">
      <c r="H110" s="150">
        <v>1.3442230518177121</v>
      </c>
      <c r="I110" s="150">
        <v>0.87818903225153933</v>
      </c>
    </row>
    <row r="111" spans="8:9" ht="12" customHeight="1">
      <c r="H111" s="150">
        <v>1.4000101910468392</v>
      </c>
      <c r="I111" s="150">
        <v>0.88669050035795505</v>
      </c>
    </row>
    <row r="112" spans="8:9" ht="12" customHeight="1">
      <c r="H112" s="150">
        <v>1.4293783501636508</v>
      </c>
      <c r="I112" s="150">
        <v>0.89095475030142479</v>
      </c>
    </row>
    <row r="113" spans="8:9" ht="12" customHeight="1">
      <c r="H113" s="150">
        <v>1.4392098831865323</v>
      </c>
      <c r="I113" s="150">
        <v>0.89235051360059192</v>
      </c>
    </row>
    <row r="114" spans="8:9" ht="12" customHeight="1">
      <c r="H114" s="150">
        <v>1.4671414201964368</v>
      </c>
      <c r="I114" s="150">
        <v>0.89623045953783409</v>
      </c>
    </row>
    <row r="115" spans="8:9" ht="12" customHeight="1">
      <c r="H115" s="150">
        <v>1.5018379786896776</v>
      </c>
      <c r="I115" s="150">
        <v>0.90087752741193383</v>
      </c>
    </row>
    <row r="116" spans="8:9" ht="12" customHeight="1">
      <c r="H116" s="150">
        <v>1.5779119254675709</v>
      </c>
      <c r="I116" s="150">
        <v>0.9104226914910396</v>
      </c>
    </row>
    <row r="117" spans="8:9" ht="12" customHeight="1">
      <c r="H117" s="150">
        <v>1.6843518853683035</v>
      </c>
      <c r="I117" s="150">
        <v>0.92238663834249701</v>
      </c>
    </row>
    <row r="118" spans="8:9" ht="12" customHeight="1">
      <c r="H118" s="150">
        <v>1.7091001499599621</v>
      </c>
      <c r="I118" s="150">
        <v>0.92495058037917677</v>
      </c>
    </row>
    <row r="119" spans="8:9" ht="12" customHeight="1">
      <c r="H119" s="150">
        <v>1.7458147476777659</v>
      </c>
      <c r="I119" s="150">
        <v>0.92861106508379743</v>
      </c>
    </row>
    <row r="120" spans="8:9" ht="12" customHeight="1">
      <c r="H120" s="150">
        <v>1.7488986543740965</v>
      </c>
      <c r="I120" s="150">
        <v>0.92891091526114211</v>
      </c>
    </row>
    <row r="121" spans="8:9" ht="12" customHeight="1">
      <c r="H121" s="150">
        <v>1.759512373504823</v>
      </c>
      <c r="I121" s="150">
        <v>0.9299340244343689</v>
      </c>
    </row>
    <row r="122" spans="8:9" ht="12" customHeight="1">
      <c r="H122" s="150">
        <v>2.0631093024061662</v>
      </c>
      <c r="I122" s="150">
        <v>0.95399132454434665</v>
      </c>
    </row>
    <row r="123" spans="8:9" ht="12" customHeight="1">
      <c r="H123" s="150">
        <v>2.0680289435192867</v>
      </c>
      <c r="I123" s="150">
        <v>0.95430760650931212</v>
      </c>
    </row>
    <row r="124" spans="8:9" ht="12" customHeight="1">
      <c r="H124" s="150">
        <v>2.5929944766449862</v>
      </c>
      <c r="I124" s="150">
        <v>0.97834260217586921</v>
      </c>
    </row>
    <row r="125" spans="8:9" ht="12" customHeight="1">
      <c r="H125" s="150">
        <v>2.7651163944862578</v>
      </c>
      <c r="I125" s="150">
        <v>0.98310092852269337</v>
      </c>
    </row>
    <row r="126" spans="8:9" ht="12" customHeight="1">
      <c r="H126" s="150">
        <v>3.1649849399307857</v>
      </c>
      <c r="I126" s="150">
        <v>0.99053905016043331</v>
      </c>
    </row>
    <row r="127" spans="8:9" ht="12" customHeight="1">
      <c r="H127" s="150">
        <v>99</v>
      </c>
      <c r="I127" s="150">
        <v>1</v>
      </c>
    </row>
    <row r="128" spans="8:9"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1:H1000"/>
  <sheetViews>
    <sheetView workbookViewId="0"/>
  </sheetViews>
  <sheetFormatPr baseColWidth="10" defaultColWidth="14.42578125" defaultRowHeight="15" customHeight="1"/>
  <cols>
    <col min="1" max="26" width="10.85546875" customWidth="1"/>
  </cols>
  <sheetData>
    <row r="1" spans="1:8" ht="12" customHeight="1">
      <c r="A1" s="127" t="s">
        <v>423</v>
      </c>
      <c r="G1" s="152" t="s">
        <v>446</v>
      </c>
      <c r="H1" s="152" t="s">
        <v>447</v>
      </c>
    </row>
    <row r="2" spans="1:8" ht="12" customHeight="1">
      <c r="B2" s="127" t="s">
        <v>425</v>
      </c>
      <c r="G2" s="153">
        <v>-3.4618509402173432</v>
      </c>
      <c r="H2" s="153">
        <v>0.97776380170094823</v>
      </c>
    </row>
    <row r="3" spans="1:8" ht="12" customHeight="1">
      <c r="B3" s="127">
        <v>1</v>
      </c>
      <c r="C3" s="127" t="s">
        <v>448</v>
      </c>
      <c r="D3" s="127" t="s">
        <v>442</v>
      </c>
      <c r="G3" s="153">
        <v>-3.1995607354397704</v>
      </c>
      <c r="H3" s="153">
        <v>0.97059894670429436</v>
      </c>
    </row>
    <row r="4" spans="1:8" ht="12" customHeight="1">
      <c r="A4" s="127" t="s">
        <v>5</v>
      </c>
      <c r="B4" s="127">
        <v>-1.5508428855918188E-2</v>
      </c>
      <c r="C4" s="136">
        <f>+A</f>
        <v>1</v>
      </c>
      <c r="D4" s="127">
        <f t="shared" ref="D4:D19" si="0">+C4*B4</f>
        <v>-1.5508428855918188E-2</v>
      </c>
      <c r="G4" s="153">
        <v>-3.132429612861884</v>
      </c>
      <c r="H4" s="153">
        <v>0.96843136375663985</v>
      </c>
    </row>
    <row r="5" spans="1:8" ht="12" customHeight="1">
      <c r="A5" s="127" t="s">
        <v>8</v>
      </c>
      <c r="B5" s="127">
        <v>9.4115694088351715E-2</v>
      </c>
      <c r="C5" s="136">
        <f>+B</f>
        <v>1</v>
      </c>
      <c r="D5" s="127">
        <f t="shared" si="0"/>
        <v>9.4115694088351715E-2</v>
      </c>
      <c r="G5" s="153">
        <v>-2.9043950051648162</v>
      </c>
      <c r="H5" s="153">
        <v>0.95985516351301758</v>
      </c>
    </row>
    <row r="6" spans="1:8" ht="12" customHeight="1">
      <c r="A6" s="127" t="s">
        <v>11</v>
      </c>
      <c r="B6" s="127">
        <v>8.3350401335302832E-2</v>
      </c>
      <c r="C6" s="136">
        <f>+C_</f>
        <v>1</v>
      </c>
      <c r="D6" s="127">
        <f t="shared" si="0"/>
        <v>8.3350401335302832E-2</v>
      </c>
      <c r="G6" s="153">
        <v>-2.8876213527829755</v>
      </c>
      <c r="H6" s="153">
        <v>0.95914277285113048</v>
      </c>
    </row>
    <row r="7" spans="1:8" ht="12" customHeight="1">
      <c r="A7" s="127" t="s">
        <v>14</v>
      </c>
      <c r="B7" s="127">
        <v>-0.230057536428626</v>
      </c>
      <c r="C7" s="136">
        <f>+E</f>
        <v>1</v>
      </c>
      <c r="D7" s="127">
        <f t="shared" si="0"/>
        <v>-0.230057536428626</v>
      </c>
      <c r="G7" s="153">
        <v>-2.8841778388951402</v>
      </c>
      <c r="H7" s="153">
        <v>0.9589950338011296</v>
      </c>
    </row>
    <row r="8" spans="1:8" ht="12" customHeight="1">
      <c r="A8" s="127" t="s">
        <v>17</v>
      </c>
      <c r="B8" s="127">
        <v>0.40962608098572006</v>
      </c>
      <c r="C8" s="136">
        <f>+_F</f>
        <v>1</v>
      </c>
      <c r="D8" s="127">
        <f t="shared" si="0"/>
        <v>0.40962608098572006</v>
      </c>
      <c r="G8" s="153">
        <v>-2.8450020290632279</v>
      </c>
      <c r="H8" s="153">
        <v>0.95727786184759889</v>
      </c>
    </row>
    <row r="9" spans="1:8" ht="12" customHeight="1">
      <c r="A9" s="127" t="s">
        <v>20</v>
      </c>
      <c r="B9" s="127">
        <v>-0.17767992234079449</v>
      </c>
      <c r="C9" s="136">
        <f>+G</f>
        <v>1</v>
      </c>
      <c r="D9" s="127">
        <f t="shared" si="0"/>
        <v>-0.17767992234079449</v>
      </c>
      <c r="G9" s="153">
        <v>-2.7751536886381585</v>
      </c>
      <c r="H9" s="153">
        <v>0.95404452681704099</v>
      </c>
    </row>
    <row r="10" spans="1:8" ht="12" customHeight="1">
      <c r="A10" s="127" t="s">
        <v>23</v>
      </c>
      <c r="B10" s="127">
        <v>-0.22330954416387547</v>
      </c>
      <c r="C10" s="136">
        <f>+H</f>
        <v>1</v>
      </c>
      <c r="D10" s="127">
        <f t="shared" si="0"/>
        <v>-0.22330954416387547</v>
      </c>
      <c r="G10" s="153">
        <v>-2.6818313896906889</v>
      </c>
      <c r="H10" s="153">
        <v>0.94935984308366284</v>
      </c>
    </row>
    <row r="11" spans="1:8" ht="12" customHeight="1">
      <c r="A11" s="127" t="s">
        <v>26</v>
      </c>
      <c r="B11" s="127">
        <v>0.12976453509352895</v>
      </c>
      <c r="C11" s="136">
        <f>+I</f>
        <v>1</v>
      </c>
      <c r="D11" s="127">
        <f t="shared" si="0"/>
        <v>0.12976453509352895</v>
      </c>
      <c r="G11" s="153">
        <v>-2.6016052443324202</v>
      </c>
      <c r="H11" s="153">
        <v>0.94497452959796446</v>
      </c>
    </row>
    <row r="12" spans="1:8" ht="12" customHeight="1">
      <c r="A12" s="127" t="s">
        <v>29</v>
      </c>
      <c r="B12" s="127">
        <v>-0.11381391104127804</v>
      </c>
      <c r="C12" s="136">
        <f>+'PTI-16'!F15</f>
        <v>1</v>
      </c>
      <c r="D12" s="127">
        <f t="shared" si="0"/>
        <v>-0.11381391104127804</v>
      </c>
      <c r="G12" s="153">
        <v>-2.5625792955593094</v>
      </c>
      <c r="H12" s="153">
        <v>0.9427141427725062</v>
      </c>
    </row>
    <row r="13" spans="1:8" ht="12" customHeight="1">
      <c r="A13" s="127" t="s">
        <v>32</v>
      </c>
      <c r="B13" s="127">
        <v>-0.12782546433813519</v>
      </c>
      <c r="C13" s="136">
        <f>+M</f>
        <v>1</v>
      </c>
      <c r="D13" s="127">
        <f t="shared" si="0"/>
        <v>-0.12782546433813519</v>
      </c>
      <c r="G13" s="153">
        <v>-2.5447702120386624</v>
      </c>
      <c r="H13" s="153">
        <v>0.94165390216582834</v>
      </c>
    </row>
    <row r="14" spans="1:8" ht="12" customHeight="1">
      <c r="A14" s="127" t="s">
        <v>35</v>
      </c>
      <c r="B14" s="127">
        <v>0.20566179315479352</v>
      </c>
      <c r="C14" s="136">
        <f>+N</f>
        <v>1</v>
      </c>
      <c r="D14" s="127">
        <f t="shared" si="0"/>
        <v>0.20566179315479352</v>
      </c>
      <c r="G14" s="153">
        <v>-2.5375416138362032</v>
      </c>
      <c r="H14" s="153">
        <v>0.94121832644554637</v>
      </c>
    </row>
    <row r="15" spans="1:8" ht="12" customHeight="1">
      <c r="A15" s="127" t="s">
        <v>38</v>
      </c>
      <c r="B15" s="127">
        <v>0.34181148400611788</v>
      </c>
      <c r="C15" s="136">
        <f>+O</f>
        <v>2</v>
      </c>
      <c r="D15" s="127">
        <f t="shared" si="0"/>
        <v>0.68362296801223577</v>
      </c>
      <c r="G15" s="153">
        <v>-2.3676029396686236</v>
      </c>
      <c r="H15" s="153">
        <v>0.93006021114931858</v>
      </c>
    </row>
    <row r="16" spans="1:8" ht="12" customHeight="1">
      <c r="A16" s="127" t="s">
        <v>41</v>
      </c>
      <c r="B16" s="127">
        <v>1.9193126535773474E-5</v>
      </c>
      <c r="C16" s="136">
        <f>+Q1_</f>
        <v>1</v>
      </c>
      <c r="D16" s="127">
        <f t="shared" si="0"/>
        <v>1.9193126535773474E-5</v>
      </c>
      <c r="G16" s="153">
        <v>-2.2551980428412928</v>
      </c>
      <c r="H16" s="153">
        <v>0.92163445991366855</v>
      </c>
    </row>
    <row r="17" spans="1:8" ht="12" customHeight="1">
      <c r="A17" s="127" t="s">
        <v>44</v>
      </c>
      <c r="B17" s="127">
        <v>7.4915803773859327E-2</v>
      </c>
      <c r="C17" s="136">
        <f>+Q2_</f>
        <v>1</v>
      </c>
      <c r="D17" s="127">
        <f t="shared" si="0"/>
        <v>7.4915803773859327E-2</v>
      </c>
      <c r="G17" s="153">
        <v>-2.2273298872339833</v>
      </c>
      <c r="H17" s="153">
        <v>0.91940621902074948</v>
      </c>
    </row>
    <row r="18" spans="1:8" ht="12" customHeight="1">
      <c r="A18" s="127" t="s">
        <v>47</v>
      </c>
      <c r="B18" s="127">
        <v>0.25032690414267134</v>
      </c>
      <c r="C18" s="136">
        <f>+Q3_</f>
        <v>1</v>
      </c>
      <c r="D18" s="127">
        <f t="shared" si="0"/>
        <v>0.25032690414267134</v>
      </c>
      <c r="G18" s="153">
        <v>-2.165722781147033</v>
      </c>
      <c r="H18" s="153">
        <v>0.91427403236536242</v>
      </c>
    </row>
    <row r="19" spans="1:8" ht="12" customHeight="1">
      <c r="A19" s="127" t="s">
        <v>50</v>
      </c>
      <c r="B19" s="127">
        <v>-2.577180029656791E-2</v>
      </c>
      <c r="C19" s="136">
        <f>+Q4_</f>
        <v>2</v>
      </c>
      <c r="D19" s="127">
        <f t="shared" si="0"/>
        <v>-5.154360059313582E-2</v>
      </c>
      <c r="G19" s="153">
        <v>-2.0352167490157105</v>
      </c>
      <c r="H19" s="153">
        <v>0.90241415657467794</v>
      </c>
    </row>
    <row r="20" spans="1:8" ht="12" customHeight="1">
      <c r="A20" s="127" t="s">
        <v>429</v>
      </c>
      <c r="B20" s="127">
        <v>-3.3530566617064448</v>
      </c>
      <c r="D20" s="127">
        <f>+B20+SUM(D4:D19)</f>
        <v>-2.3613916957552088</v>
      </c>
      <c r="G20" s="153">
        <v>-1.9939925349176393</v>
      </c>
      <c r="H20" s="153">
        <v>0.89837391468465089</v>
      </c>
    </row>
    <row r="21" spans="1:8" ht="12" customHeight="1">
      <c r="A21" s="127" t="s">
        <v>430</v>
      </c>
      <c r="D21" s="154">
        <f>+VLOOKUP(D20,G2:H319,2,TRUE)</f>
        <v>0.93006021114931858</v>
      </c>
      <c r="G21" s="153">
        <v>-1.9111599020092289</v>
      </c>
      <c r="H21" s="153">
        <v>0.88980552703066396</v>
      </c>
    </row>
    <row r="22" spans="1:8" ht="12" customHeight="1">
      <c r="C22" s="127" t="s">
        <v>420</v>
      </c>
      <c r="D22" s="127">
        <f>+INT(D21*10)</f>
        <v>9</v>
      </c>
      <c r="G22" s="153">
        <v>-1.8519339061539553</v>
      </c>
      <c r="H22" s="153">
        <v>0.88329672287466998</v>
      </c>
    </row>
    <row r="23" spans="1:8" ht="12" customHeight="1">
      <c r="C23" s="127" t="s">
        <v>449</v>
      </c>
      <c r="D23" s="127">
        <f>+IF(D22&lt;1,1,D22)</f>
        <v>9</v>
      </c>
      <c r="G23" s="153">
        <v>-1.8499412261677064</v>
      </c>
      <c r="H23" s="153">
        <v>0.88307203457010675</v>
      </c>
    </row>
    <row r="24" spans="1:8" ht="12" customHeight="1">
      <c r="C24" s="127" t="s">
        <v>450</v>
      </c>
      <c r="D24" s="137">
        <f>+IF(D23&gt;10,10,D23)</f>
        <v>9</v>
      </c>
      <c r="G24" s="153">
        <v>-1.750905538636901</v>
      </c>
      <c r="H24" s="153">
        <v>0.87142417432859509</v>
      </c>
    </row>
    <row r="25" spans="1:8" ht="12" customHeight="1">
      <c r="G25" s="153">
        <v>-1.7462849368623166</v>
      </c>
      <c r="H25" s="153">
        <v>0.87085729237735332</v>
      </c>
    </row>
    <row r="26" spans="1:8" ht="12" customHeight="1">
      <c r="G26" s="153">
        <v>-1.708341319924582</v>
      </c>
      <c r="H26" s="153">
        <v>0.86612126546630119</v>
      </c>
    </row>
    <row r="27" spans="1:8" ht="12" customHeight="1">
      <c r="G27" s="153">
        <v>-1.6684567589551753</v>
      </c>
      <c r="H27" s="153">
        <v>0.86098552568073572</v>
      </c>
    </row>
    <row r="28" spans="1:8" ht="12" customHeight="1">
      <c r="G28" s="153">
        <v>-1.6118691890351324</v>
      </c>
      <c r="H28" s="153">
        <v>0.85341664247649884</v>
      </c>
    </row>
    <row r="29" spans="1:8" ht="12" customHeight="1">
      <c r="G29" s="153">
        <v>-1.6085193559284767</v>
      </c>
      <c r="H29" s="153">
        <v>0.85295805575013228</v>
      </c>
    </row>
    <row r="30" spans="1:8" ht="12" customHeight="1">
      <c r="G30" s="153">
        <v>-1.6064487362666606</v>
      </c>
      <c r="H30" s="153">
        <v>0.85267399788509135</v>
      </c>
    </row>
    <row r="31" spans="1:8" ht="12" customHeight="1">
      <c r="G31" s="153">
        <v>-1.5811922183311597</v>
      </c>
      <c r="H31" s="153">
        <v>0.84917255243865986</v>
      </c>
    </row>
    <row r="32" spans="1:8" ht="12" customHeight="1">
      <c r="G32" s="153">
        <v>-1.4918074061266051</v>
      </c>
      <c r="H32" s="153">
        <v>0.83622921765437319</v>
      </c>
    </row>
    <row r="33" spans="7:8" ht="12" customHeight="1">
      <c r="G33" s="153">
        <v>-1.4593121488565159</v>
      </c>
      <c r="H33" s="153">
        <v>0.83130719671666042</v>
      </c>
    </row>
    <row r="34" spans="7:8" ht="12" customHeight="1">
      <c r="G34" s="153">
        <v>-1.4451608996891412</v>
      </c>
      <c r="H34" s="153">
        <v>0.82912714909957341</v>
      </c>
    </row>
    <row r="35" spans="7:8" ht="12" customHeight="1">
      <c r="G35" s="153">
        <v>-1.4366994395520767</v>
      </c>
      <c r="H35" s="153">
        <v>0.82781298074248255</v>
      </c>
    </row>
    <row r="36" spans="7:8" ht="12" customHeight="1">
      <c r="G36" s="153">
        <v>-1.4002322782241807</v>
      </c>
      <c r="H36" s="153">
        <v>0.82205753913500612</v>
      </c>
    </row>
    <row r="37" spans="7:8" ht="12" customHeight="1">
      <c r="G37" s="153">
        <v>-1.3822900134131728</v>
      </c>
      <c r="H37" s="153">
        <v>0.81917093495885362</v>
      </c>
    </row>
    <row r="38" spans="7:8" ht="12" customHeight="1">
      <c r="G38" s="153">
        <v>-1.3604016094381843</v>
      </c>
      <c r="H38" s="153">
        <v>0.81560021796830651</v>
      </c>
    </row>
    <row r="39" spans="7:8" ht="12" customHeight="1">
      <c r="G39" s="153">
        <v>-1.3367868784723063</v>
      </c>
      <c r="H39" s="153">
        <v>0.81168695407499192</v>
      </c>
    </row>
    <row r="40" spans="7:8" ht="12" customHeight="1">
      <c r="G40" s="153">
        <v>-1.2810585242356611</v>
      </c>
      <c r="H40" s="153">
        <v>0.80220008386708386</v>
      </c>
    </row>
    <row r="41" spans="7:8" ht="12" customHeight="1">
      <c r="G41" s="153">
        <v>-1.2735205737237869</v>
      </c>
      <c r="H41" s="153">
        <v>0.80088959619282374</v>
      </c>
    </row>
    <row r="42" spans="7:8" ht="12" customHeight="1">
      <c r="G42" s="153">
        <v>-1.1797682018193874</v>
      </c>
      <c r="H42" s="153">
        <v>0.7840454876601618</v>
      </c>
    </row>
    <row r="43" spans="7:8" ht="12" customHeight="1">
      <c r="G43" s="153">
        <v>-1.1791654172610169</v>
      </c>
      <c r="H43" s="153">
        <v>0.78393392017421715</v>
      </c>
    </row>
    <row r="44" spans="7:8" ht="12" customHeight="1">
      <c r="G44" s="153">
        <v>-1.1741455354494106</v>
      </c>
      <c r="H44" s="153">
        <v>0.78300318477861097</v>
      </c>
    </row>
    <row r="45" spans="7:8" ht="12" customHeight="1">
      <c r="G45" s="153">
        <v>-1.1680179912613791</v>
      </c>
      <c r="H45" s="153">
        <v>0.78186315467311074</v>
      </c>
    </row>
    <row r="46" spans="7:8" ht="12" customHeight="1">
      <c r="G46" s="153">
        <v>-1.1629632322075054</v>
      </c>
      <c r="H46" s="153">
        <v>0.78091947056783462</v>
      </c>
    </row>
    <row r="47" spans="7:8" ht="12" customHeight="1">
      <c r="G47" s="153">
        <v>-1.1026556210788014</v>
      </c>
      <c r="H47" s="153">
        <v>0.76943451128207585</v>
      </c>
    </row>
    <row r="48" spans="7:8" ht="12" customHeight="1">
      <c r="G48" s="153">
        <v>-1.0948234516858133</v>
      </c>
      <c r="H48" s="153">
        <v>0.76791242631637158</v>
      </c>
    </row>
    <row r="49" spans="7:8" ht="12" customHeight="1">
      <c r="G49" s="153">
        <v>-1.0430855271415582</v>
      </c>
      <c r="H49" s="153">
        <v>0.75768243093467336</v>
      </c>
    </row>
    <row r="50" spans="7:8" ht="12" customHeight="1">
      <c r="G50" s="153">
        <v>-1.0199549917873221</v>
      </c>
      <c r="H50" s="153">
        <v>0.75301085312406024</v>
      </c>
    </row>
    <row r="51" spans="7:8" ht="12" customHeight="1">
      <c r="G51" s="153">
        <v>-0.98823276743373711</v>
      </c>
      <c r="H51" s="153">
        <v>0.74650632236004266</v>
      </c>
    </row>
    <row r="52" spans="7:8" ht="12" customHeight="1">
      <c r="G52" s="153">
        <v>-0.98327895182294989</v>
      </c>
      <c r="H52" s="153">
        <v>0.74548041031503187</v>
      </c>
    </row>
    <row r="53" spans="7:8" ht="12" customHeight="1">
      <c r="G53" s="153">
        <v>-0.96892519871595673</v>
      </c>
      <c r="H53" s="153">
        <v>0.7424924116405125</v>
      </c>
    </row>
    <row r="54" spans="7:8" ht="12" customHeight="1">
      <c r="G54" s="153">
        <v>-0.94415326870027116</v>
      </c>
      <c r="H54" s="153">
        <v>0.73728206576409416</v>
      </c>
    </row>
    <row r="55" spans="7:8" ht="12" customHeight="1">
      <c r="G55" s="153">
        <v>-0.94339362549343841</v>
      </c>
      <c r="H55" s="153">
        <v>0.73712122011669601</v>
      </c>
    </row>
    <row r="56" spans="7:8" ht="12" customHeight="1">
      <c r="G56" s="153">
        <v>-0.92444411624361245</v>
      </c>
      <c r="H56" s="153">
        <v>0.73308843057754491</v>
      </c>
    </row>
    <row r="57" spans="7:8" ht="12" customHeight="1">
      <c r="G57" s="153">
        <v>-0.90651562266305197</v>
      </c>
      <c r="H57" s="153">
        <v>0.72923690835883159</v>
      </c>
    </row>
    <row r="58" spans="7:8" ht="12" customHeight="1">
      <c r="G58" s="153">
        <v>-0.88993899716075719</v>
      </c>
      <c r="H58" s="153">
        <v>0.72564487428086821</v>
      </c>
    </row>
    <row r="59" spans="7:8" ht="12" customHeight="1">
      <c r="G59" s="153">
        <v>-0.88907335617516625</v>
      </c>
      <c r="H59" s="153">
        <v>0.72545648402500118</v>
      </c>
    </row>
    <row r="60" spans="7:8" ht="12" customHeight="1">
      <c r="G60" s="153">
        <v>-0.86850766133801582</v>
      </c>
      <c r="H60" s="153">
        <v>0.72095718671887499</v>
      </c>
    </row>
    <row r="61" spans="7:8" ht="12" customHeight="1">
      <c r="G61" s="153">
        <v>-0.86021133514922776</v>
      </c>
      <c r="H61" s="153">
        <v>0.71912940280041837</v>
      </c>
    </row>
    <row r="62" spans="7:8" ht="12" customHeight="1">
      <c r="G62" s="153">
        <v>-0.84348223465547134</v>
      </c>
      <c r="H62" s="153">
        <v>0.71542167380987642</v>
      </c>
    </row>
    <row r="63" spans="7:8" ht="12" customHeight="1">
      <c r="G63" s="153">
        <v>-0.84155763807728445</v>
      </c>
      <c r="H63" s="153">
        <v>0.71499323281146721</v>
      </c>
    </row>
    <row r="64" spans="7:8" ht="12" customHeight="1">
      <c r="G64" s="153">
        <v>-0.83623426798411571</v>
      </c>
      <c r="H64" s="153">
        <v>0.71380616142862352</v>
      </c>
    </row>
    <row r="65" spans="7:8" ht="12" customHeight="1">
      <c r="G65" s="153">
        <v>-0.83315275725521754</v>
      </c>
      <c r="H65" s="153">
        <v>0.71311765594240173</v>
      </c>
    </row>
    <row r="66" spans="7:8" ht="12" customHeight="1">
      <c r="G66" s="153">
        <v>-0.82136702564844755</v>
      </c>
      <c r="H66" s="153">
        <v>0.71047524654681415</v>
      </c>
    </row>
    <row r="67" spans="7:8" ht="12" customHeight="1">
      <c r="G67" s="153">
        <v>-0.81236787126947974</v>
      </c>
      <c r="H67" s="153">
        <v>0.70844792078165497</v>
      </c>
    </row>
    <row r="68" spans="7:8" ht="12" customHeight="1">
      <c r="G68" s="153">
        <v>-0.81142846625847942</v>
      </c>
      <c r="H68" s="153">
        <v>0.70823581105370792</v>
      </c>
    </row>
    <row r="69" spans="7:8" ht="12" customHeight="1">
      <c r="G69" s="153">
        <v>-0.79842577885271426</v>
      </c>
      <c r="H69" s="153">
        <v>0.7052906200270479</v>
      </c>
    </row>
    <row r="70" spans="7:8" ht="12" customHeight="1">
      <c r="G70" s="153">
        <v>-0.77997620062106254</v>
      </c>
      <c r="H70" s="153">
        <v>0.70108213346555659</v>
      </c>
    </row>
    <row r="71" spans="7:8" ht="12" customHeight="1">
      <c r="G71" s="153">
        <v>-0.75770844162132855</v>
      </c>
      <c r="H71" s="153">
        <v>0.69595709639415637</v>
      </c>
    </row>
    <row r="72" spans="7:8" ht="12" customHeight="1">
      <c r="G72" s="153">
        <v>-0.74742111587688509</v>
      </c>
      <c r="H72" s="153">
        <v>0.69357278011307166</v>
      </c>
    </row>
    <row r="73" spans="7:8" ht="12" customHeight="1">
      <c r="G73" s="153">
        <v>-0.74425694377160467</v>
      </c>
      <c r="H73" s="153">
        <v>0.69283731751576128</v>
      </c>
    </row>
    <row r="74" spans="7:8" ht="12" customHeight="1">
      <c r="G74" s="153">
        <v>-0.73869362881567469</v>
      </c>
      <c r="H74" s="153">
        <v>0.69154183287635151</v>
      </c>
    </row>
    <row r="75" spans="7:8" ht="12" customHeight="1">
      <c r="G75" s="153">
        <v>-0.70672118904751158</v>
      </c>
      <c r="H75" s="153">
        <v>0.68403851554752304</v>
      </c>
    </row>
    <row r="76" spans="7:8" ht="12" customHeight="1">
      <c r="G76" s="153">
        <v>-0.69609210458853543</v>
      </c>
      <c r="H76" s="153">
        <v>0.6815224272442626</v>
      </c>
    </row>
    <row r="77" spans="7:8" ht="12" customHeight="1">
      <c r="G77" s="153">
        <v>-0.68958479349755442</v>
      </c>
      <c r="H77" s="153">
        <v>0.67997677958883151</v>
      </c>
    </row>
    <row r="78" spans="7:8" ht="12" customHeight="1">
      <c r="G78" s="153">
        <v>-0.68311816747450715</v>
      </c>
      <c r="H78" s="153">
        <v>0.67843687077269843</v>
      </c>
    </row>
    <row r="79" spans="7:8" ht="12" customHeight="1">
      <c r="G79" s="153">
        <v>-0.67797170627395753</v>
      </c>
      <c r="H79" s="153">
        <v>0.67720855488155507</v>
      </c>
    </row>
    <row r="80" spans="7:8" ht="12" customHeight="1">
      <c r="G80" s="153">
        <v>-0.66867343984164385</v>
      </c>
      <c r="H80" s="153">
        <v>0.67498311317542237</v>
      </c>
    </row>
    <row r="81" spans="7:8" ht="12" customHeight="1">
      <c r="G81" s="153">
        <v>-0.63549566708613958</v>
      </c>
      <c r="H81" s="153">
        <v>0.66697826140663119</v>
      </c>
    </row>
    <row r="82" spans="7:8" ht="12" customHeight="1">
      <c r="G82" s="153">
        <v>-0.63409852790427612</v>
      </c>
      <c r="H82" s="153">
        <v>0.6666390071368159</v>
      </c>
    </row>
    <row r="83" spans="7:8" ht="12" customHeight="1">
      <c r="G83" s="153">
        <v>-0.62909138598355274</v>
      </c>
      <c r="H83" s="153">
        <v>0.66542175297806405</v>
      </c>
    </row>
    <row r="84" spans="7:8" ht="12" customHeight="1">
      <c r="G84" s="153">
        <v>-0.62120228638796604</v>
      </c>
      <c r="H84" s="153">
        <v>0.66349941369445076</v>
      </c>
    </row>
    <row r="85" spans="7:8" ht="12" customHeight="1">
      <c r="G85" s="153">
        <v>-0.61052165323632135</v>
      </c>
      <c r="H85" s="153">
        <v>0.66088822163360805</v>
      </c>
    </row>
    <row r="86" spans="7:8" ht="12" customHeight="1">
      <c r="G86" s="153">
        <v>-0.59551093293981106</v>
      </c>
      <c r="H86" s="153">
        <v>0.65720183231034734</v>
      </c>
    </row>
    <row r="87" spans="7:8" ht="12" customHeight="1">
      <c r="G87" s="153">
        <v>-0.59550715073801597</v>
      </c>
      <c r="H87" s="153">
        <v>0.6572009010460339</v>
      </c>
    </row>
    <row r="88" spans="7:8" ht="12" customHeight="1">
      <c r="G88" s="153">
        <v>-0.5852304113730924</v>
      </c>
      <c r="H88" s="153">
        <v>0.6546660829498121</v>
      </c>
    </row>
    <row r="89" spans="7:8" ht="12" customHeight="1">
      <c r="G89" s="153">
        <v>-0.57026140747570386</v>
      </c>
      <c r="H89" s="153">
        <v>0.65095813784006828</v>
      </c>
    </row>
    <row r="90" spans="7:8" ht="12" customHeight="1">
      <c r="G90" s="153">
        <v>-0.5676171694302703</v>
      </c>
      <c r="H90" s="153">
        <v>0.65030121999843682</v>
      </c>
    </row>
    <row r="91" spans="7:8" ht="12" customHeight="1">
      <c r="G91" s="153">
        <v>-0.56669814911877758</v>
      </c>
      <c r="H91" s="153">
        <v>0.65007277058216162</v>
      </c>
    </row>
    <row r="92" spans="7:8" ht="12" customHeight="1">
      <c r="G92" s="153">
        <v>-0.55848233258980606</v>
      </c>
      <c r="H92" s="153">
        <v>0.64802743829190423</v>
      </c>
    </row>
    <row r="93" spans="7:8" ht="12" customHeight="1">
      <c r="G93" s="153">
        <v>-0.55779497961268931</v>
      </c>
      <c r="H93" s="153">
        <v>0.64785607372668463</v>
      </c>
    </row>
    <row r="94" spans="7:8" ht="12" customHeight="1">
      <c r="G94" s="153">
        <v>-0.54543289875567713</v>
      </c>
      <c r="H94" s="153">
        <v>0.6447676074603812</v>
      </c>
    </row>
    <row r="95" spans="7:8" ht="12" customHeight="1">
      <c r="G95" s="153">
        <v>-0.5434760856148394</v>
      </c>
      <c r="H95" s="153">
        <v>0.64427761412988727</v>
      </c>
    </row>
    <row r="96" spans="7:8" ht="12" customHeight="1">
      <c r="G96" s="153">
        <v>-0.52755657791112009</v>
      </c>
      <c r="H96" s="153">
        <v>0.64028014445762171</v>
      </c>
    </row>
    <row r="97" spans="7:8" ht="12" customHeight="1">
      <c r="G97" s="153">
        <v>-0.50847453664026621</v>
      </c>
      <c r="H97" s="153">
        <v>0.63546281179006125</v>
      </c>
    </row>
    <row r="98" spans="7:8" ht="12" customHeight="1">
      <c r="G98" s="153">
        <v>-0.49946293332959624</v>
      </c>
      <c r="H98" s="153">
        <v>0.63317825969039376</v>
      </c>
    </row>
    <row r="99" spans="7:8" ht="12" customHeight="1">
      <c r="G99" s="153">
        <v>-0.49570550092439536</v>
      </c>
      <c r="H99" s="153">
        <v>0.63222392670029703</v>
      </c>
    </row>
    <row r="100" spans="7:8" ht="12" customHeight="1">
      <c r="G100" s="153">
        <v>-0.48527717995146979</v>
      </c>
      <c r="H100" s="153">
        <v>0.62956987252204977</v>
      </c>
    </row>
    <row r="101" spans="7:8" ht="12" customHeight="1">
      <c r="G101" s="153">
        <v>-0.48425788979346523</v>
      </c>
      <c r="H101" s="153">
        <v>0.62931003525465035</v>
      </c>
    </row>
    <row r="102" spans="7:8" ht="12" customHeight="1">
      <c r="G102" s="153">
        <v>-0.47938344044268555</v>
      </c>
      <c r="H102" s="153">
        <v>0.6280664085801938</v>
      </c>
    </row>
    <row r="103" spans="7:8" ht="12" customHeight="1">
      <c r="G103" s="153">
        <v>-0.47376723607290944</v>
      </c>
      <c r="H103" s="153">
        <v>0.62663143217765882</v>
      </c>
    </row>
    <row r="104" spans="7:8" ht="12" customHeight="1">
      <c r="G104" s="153">
        <v>-0.47243419007859144</v>
      </c>
      <c r="H104" s="153">
        <v>0.62629050168752365</v>
      </c>
    </row>
    <row r="105" spans="7:8" ht="12" customHeight="1">
      <c r="G105" s="153">
        <v>-0.46655851686123095</v>
      </c>
      <c r="H105" s="153">
        <v>0.62478628923105328</v>
      </c>
    </row>
    <row r="106" spans="7:8" ht="12" customHeight="1">
      <c r="G106" s="153">
        <v>-0.4643608074091633</v>
      </c>
      <c r="H106" s="153">
        <v>0.62422303926786848</v>
      </c>
    </row>
    <row r="107" spans="7:8" ht="12" customHeight="1">
      <c r="G107" s="153">
        <v>-0.45469450575516268</v>
      </c>
      <c r="H107" s="153">
        <v>0.62174169346095864</v>
      </c>
    </row>
    <row r="108" spans="7:8" ht="12" customHeight="1">
      <c r="G108" s="153">
        <v>-0.44991154810096096</v>
      </c>
      <c r="H108" s="153">
        <v>0.62051153457670971</v>
      </c>
    </row>
    <row r="109" spans="7:8" ht="12" customHeight="1">
      <c r="G109" s="153">
        <v>-0.44667828223468853</v>
      </c>
      <c r="H109" s="153">
        <v>0.619679071241789</v>
      </c>
    </row>
    <row r="110" spans="7:8" ht="12" customHeight="1">
      <c r="G110" s="153">
        <v>-0.43372588748999763</v>
      </c>
      <c r="H110" s="153">
        <v>0.61633722101792654</v>
      </c>
    </row>
    <row r="111" spans="7:8" ht="12" customHeight="1">
      <c r="G111" s="153">
        <v>-0.42156192160512274</v>
      </c>
      <c r="H111" s="153">
        <v>0.61318874937538559</v>
      </c>
    </row>
    <row r="112" spans="7:8" ht="12" customHeight="1">
      <c r="G112" s="153">
        <v>-0.42120210910568917</v>
      </c>
      <c r="H112" s="153">
        <v>0.61309547130100595</v>
      </c>
    </row>
    <row r="113" spans="7:8" ht="12" customHeight="1">
      <c r="G113" s="153">
        <v>-0.41781474452676126</v>
      </c>
      <c r="H113" s="153">
        <v>0.61221692234539848</v>
      </c>
    </row>
    <row r="114" spans="7:8" ht="12" customHeight="1">
      <c r="G114" s="153">
        <v>-0.41327795898077624</v>
      </c>
      <c r="H114" s="153">
        <v>0.61103911574853664</v>
      </c>
    </row>
    <row r="115" spans="7:8" ht="12" customHeight="1">
      <c r="G115" s="153">
        <v>-0.4047100233755786</v>
      </c>
      <c r="H115" s="153">
        <v>0.60881124244031171</v>
      </c>
    </row>
    <row r="116" spans="7:8" ht="12" customHeight="1">
      <c r="G116" s="153">
        <v>-0.39770231425174729</v>
      </c>
      <c r="H116" s="153">
        <v>0.60698568384682716</v>
      </c>
    </row>
    <row r="117" spans="7:8" ht="12" customHeight="1">
      <c r="G117" s="153">
        <v>-0.39231135407841589</v>
      </c>
      <c r="H117" s="153">
        <v>0.60557925989498118</v>
      </c>
    </row>
    <row r="118" spans="7:8" ht="12" customHeight="1">
      <c r="G118" s="153">
        <v>-0.38026160540712906</v>
      </c>
      <c r="H118" s="153">
        <v>0.60242935502223482</v>
      </c>
    </row>
    <row r="119" spans="7:8" ht="12" customHeight="1">
      <c r="G119" s="153">
        <v>-0.34579761642320561</v>
      </c>
      <c r="H119" s="153">
        <v>0.59337403126697708</v>
      </c>
    </row>
    <row r="120" spans="7:8" ht="12" customHeight="1">
      <c r="G120" s="153">
        <v>-0.33633197529671099</v>
      </c>
      <c r="H120" s="153">
        <v>0.59087552610742045</v>
      </c>
    </row>
    <row r="121" spans="7:8" ht="12" customHeight="1">
      <c r="G121" s="153">
        <v>-0.33500515867483371</v>
      </c>
      <c r="H121" s="153">
        <v>0.59052492744968454</v>
      </c>
    </row>
    <row r="122" spans="7:8" ht="12" customHeight="1">
      <c r="G122" s="153">
        <v>-0.33385869181939326</v>
      </c>
      <c r="H122" s="153">
        <v>0.59022191034855787</v>
      </c>
    </row>
    <row r="123" spans="7:8" ht="12" customHeight="1">
      <c r="G123" s="153">
        <v>-0.33275699256819979</v>
      </c>
      <c r="H123" s="153">
        <v>0.58993066099560199</v>
      </c>
    </row>
    <row r="124" spans="7:8" ht="12" customHeight="1">
      <c r="G124" s="153">
        <v>-0.32998581989254316</v>
      </c>
      <c r="H124" s="153">
        <v>0.58919778490505292</v>
      </c>
    </row>
    <row r="125" spans="7:8" ht="12" customHeight="1">
      <c r="G125" s="153">
        <v>-0.32646837138283902</v>
      </c>
      <c r="H125" s="153">
        <v>0.58826697549004792</v>
      </c>
    </row>
    <row r="126" spans="7:8" ht="12" customHeight="1">
      <c r="G126" s="153">
        <v>-0.31797265258433571</v>
      </c>
      <c r="H126" s="153">
        <v>0.58601619062962573</v>
      </c>
    </row>
    <row r="127" spans="7:8" ht="12" customHeight="1">
      <c r="G127" s="153">
        <v>-0.31619616840965115</v>
      </c>
      <c r="H127" s="153">
        <v>0.58554508592773902</v>
      </c>
    </row>
    <row r="128" spans="7:8" ht="12" customHeight="1">
      <c r="G128" s="153">
        <v>-0.31182079588040279</v>
      </c>
      <c r="H128" s="153">
        <v>0.58438411789651468</v>
      </c>
    </row>
    <row r="129" spans="7:8" ht="12" customHeight="1">
      <c r="G129" s="153">
        <v>-0.30412537740218271</v>
      </c>
      <c r="H129" s="153">
        <v>0.58233993721942634</v>
      </c>
    </row>
    <row r="130" spans="7:8" ht="12" customHeight="1">
      <c r="G130" s="153">
        <v>-0.2995494052462121</v>
      </c>
      <c r="H130" s="153">
        <v>0.5811230464531052</v>
      </c>
    </row>
    <row r="131" spans="7:8" ht="12" customHeight="1">
      <c r="G131" s="153">
        <v>-0.26401488574955245</v>
      </c>
      <c r="H131" s="153">
        <v>0.57164079633488407</v>
      </c>
    </row>
    <row r="132" spans="7:8" ht="12" customHeight="1">
      <c r="G132" s="153">
        <v>-0.25871224998014941</v>
      </c>
      <c r="H132" s="153">
        <v>0.57022110812899851</v>
      </c>
    </row>
    <row r="133" spans="7:8" ht="12" customHeight="1">
      <c r="G133" s="153">
        <v>-0.2504946594414138</v>
      </c>
      <c r="H133" s="153">
        <v>0.56801871594931908</v>
      </c>
    </row>
    <row r="134" spans="7:8" ht="12" customHeight="1">
      <c r="G134" s="153">
        <v>-0.23743574919349505</v>
      </c>
      <c r="H134" s="153">
        <v>0.56451329906932257</v>
      </c>
    </row>
    <row r="135" spans="7:8" ht="12" customHeight="1">
      <c r="G135" s="153">
        <v>-0.23636001566082562</v>
      </c>
      <c r="H135" s="153">
        <v>0.56422424612491218</v>
      </c>
    </row>
    <row r="136" spans="7:8" ht="12" customHeight="1">
      <c r="G136" s="153">
        <v>-0.21598588293212623</v>
      </c>
      <c r="H136" s="153">
        <v>0.55874162511340197</v>
      </c>
    </row>
    <row r="137" spans="7:8" ht="12" customHeight="1">
      <c r="G137" s="153">
        <v>-0.21038617630578457</v>
      </c>
      <c r="H137" s="153">
        <v>0.55723218881641357</v>
      </c>
    </row>
    <row r="138" spans="7:8" ht="12" customHeight="1">
      <c r="G138" s="153">
        <v>-0.20787673105609486</v>
      </c>
      <c r="H138" s="153">
        <v>0.55655540714453433</v>
      </c>
    </row>
    <row r="139" spans="7:8" ht="12" customHeight="1">
      <c r="G139" s="153">
        <v>-0.20481566085390687</v>
      </c>
      <c r="H139" s="153">
        <v>0.55572957162322745</v>
      </c>
    </row>
    <row r="140" spans="7:8" ht="12" customHeight="1">
      <c r="G140" s="153">
        <v>-0.20118530980533395</v>
      </c>
      <c r="H140" s="153">
        <v>0.55474975290365947</v>
      </c>
    </row>
    <row r="141" spans="7:8" ht="12" customHeight="1">
      <c r="G141" s="153">
        <v>-0.19175444535881656</v>
      </c>
      <c r="H141" s="153">
        <v>0.55220242521305329</v>
      </c>
    </row>
    <row r="142" spans="7:8" ht="12" customHeight="1">
      <c r="G142" s="153">
        <v>-0.18645110949324603</v>
      </c>
      <c r="H142" s="153">
        <v>0.55076875218949073</v>
      </c>
    </row>
    <row r="143" spans="7:8" ht="12" customHeight="1">
      <c r="G143" s="153">
        <v>-0.1862225387212334</v>
      </c>
      <c r="H143" s="153">
        <v>0.55070694255494357</v>
      </c>
    </row>
    <row r="144" spans="7:8" ht="12" customHeight="1">
      <c r="G144" s="153">
        <v>-0.18093863081875944</v>
      </c>
      <c r="H144" s="153">
        <v>0.54927764645520183</v>
      </c>
    </row>
    <row r="145" spans="7:8" ht="12" customHeight="1">
      <c r="G145" s="153">
        <v>-0.17176488312743352</v>
      </c>
      <c r="H145" s="153">
        <v>0.54679423017788142</v>
      </c>
    </row>
    <row r="146" spans="7:8" ht="12" customHeight="1">
      <c r="G146" s="153">
        <v>-0.16992344584513414</v>
      </c>
      <c r="H146" s="153">
        <v>0.5462954516311892</v>
      </c>
    </row>
    <row r="147" spans="7:8" ht="12" customHeight="1">
      <c r="G147" s="153">
        <v>-0.16725421888470168</v>
      </c>
      <c r="H147" s="153">
        <v>0.54557229013372566</v>
      </c>
    </row>
    <row r="148" spans="7:8" ht="12" customHeight="1">
      <c r="G148" s="153">
        <v>-0.14531290584564807</v>
      </c>
      <c r="H148" s="153">
        <v>0.53962081688653729</v>
      </c>
    </row>
    <row r="149" spans="7:8" ht="12" customHeight="1">
      <c r="G149" s="153">
        <v>-0.11962502269461489</v>
      </c>
      <c r="H149" s="153">
        <v>0.53263884306896103</v>
      </c>
    </row>
    <row r="150" spans="7:8" ht="12" customHeight="1">
      <c r="G150" s="153">
        <v>-0.10518744455256168</v>
      </c>
      <c r="H150" s="153">
        <v>0.52870890929294079</v>
      </c>
    </row>
    <row r="151" spans="7:8" ht="12" customHeight="1">
      <c r="G151" s="153">
        <v>-9.7410893047963604E-2</v>
      </c>
      <c r="H151" s="153">
        <v>0.52659061155141351</v>
      </c>
    </row>
    <row r="152" spans="7:8" ht="12" customHeight="1">
      <c r="G152" s="153">
        <v>-9.4166692188635576E-2</v>
      </c>
      <c r="H152" s="153">
        <v>0.52570661833774235</v>
      </c>
    </row>
    <row r="153" spans="7:8" ht="12" customHeight="1">
      <c r="G153" s="153">
        <v>-7.6524625690676862E-2</v>
      </c>
      <c r="H153" s="153">
        <v>0.52089675714149619</v>
      </c>
    </row>
    <row r="154" spans="7:8" ht="12" customHeight="1">
      <c r="G154" s="153">
        <v>-5.1272126385832395E-2</v>
      </c>
      <c r="H154" s="153">
        <v>0.51400549423909458</v>
      </c>
    </row>
    <row r="155" spans="7:8" ht="12" customHeight="1">
      <c r="G155" s="153">
        <v>-4.4858883829293206E-2</v>
      </c>
      <c r="H155" s="153">
        <v>0.51225440463898175</v>
      </c>
    </row>
    <row r="156" spans="7:8" ht="12" customHeight="1">
      <c r="G156" s="153">
        <v>-4.4145782152263058E-2</v>
      </c>
      <c r="H156" s="153">
        <v>0.51205967800087071</v>
      </c>
    </row>
    <row r="157" spans="7:8" ht="12" customHeight="1">
      <c r="G157" s="153">
        <v>-3.7522992108332653E-2</v>
      </c>
      <c r="H157" s="153">
        <v>0.51025102599457406</v>
      </c>
    </row>
    <row r="158" spans="7:8" ht="12" customHeight="1">
      <c r="G158" s="153">
        <v>-2.925635459768483E-2</v>
      </c>
      <c r="H158" s="153">
        <v>0.50799307604616462</v>
      </c>
    </row>
    <row r="159" spans="7:8" ht="12" customHeight="1">
      <c r="G159" s="153">
        <v>-2.553386835033758E-2</v>
      </c>
      <c r="H159" s="153">
        <v>0.50697620388412923</v>
      </c>
    </row>
    <row r="160" spans="7:8" ht="12" customHeight="1">
      <c r="G160" s="153">
        <v>-1.6078540911747791E-2</v>
      </c>
      <c r="H160" s="153">
        <v>0.50439305047205452</v>
      </c>
    </row>
    <row r="161" spans="7:8" ht="12" customHeight="1">
      <c r="G161" s="153">
        <v>-6.2327423949994909E-3</v>
      </c>
      <c r="H161" s="153">
        <v>0.50170297483964887</v>
      </c>
    </row>
    <row r="162" spans="7:8" ht="12" customHeight="1">
      <c r="G162" s="153">
        <v>5.2313364475372048E-3</v>
      </c>
      <c r="H162" s="153">
        <v>0.49857063809736007</v>
      </c>
    </row>
    <row r="163" spans="7:8" ht="12" customHeight="1">
      <c r="G163" s="153">
        <v>2.759470961988908E-2</v>
      </c>
      <c r="H163" s="153">
        <v>0.49246082810687619</v>
      </c>
    </row>
    <row r="164" spans="7:8" ht="12" customHeight="1">
      <c r="G164" s="153">
        <v>4.3308399786118862E-2</v>
      </c>
      <c r="H164" s="153">
        <v>0.48816899062721603</v>
      </c>
    </row>
    <row r="165" spans="7:8" ht="12" customHeight="1">
      <c r="G165" s="153">
        <v>4.9859304838959645E-2</v>
      </c>
      <c r="H165" s="153">
        <v>0.48638023846438361</v>
      </c>
    </row>
    <row r="166" spans="7:8" ht="12" customHeight="1">
      <c r="G166" s="153">
        <v>6.3821630487913367E-2</v>
      </c>
      <c r="H166" s="153">
        <v>0.48256898829846523</v>
      </c>
    </row>
    <row r="167" spans="7:8" ht="12" customHeight="1">
      <c r="G167" s="153">
        <v>7.8731061168987843E-2</v>
      </c>
      <c r="H167" s="153">
        <v>0.47850145887299472</v>
      </c>
    </row>
    <row r="168" spans="7:8" ht="12" customHeight="1">
      <c r="G168" s="153">
        <v>8.9917872697292317E-2</v>
      </c>
      <c r="H168" s="153">
        <v>0.47545136038618369</v>
      </c>
    </row>
    <row r="169" spans="7:8" ht="12" customHeight="1">
      <c r="G169" s="153">
        <v>9.9599415924513407E-2</v>
      </c>
      <c r="H169" s="153">
        <v>0.472813144525635</v>
      </c>
    </row>
    <row r="170" spans="7:8" ht="12" customHeight="1">
      <c r="G170" s="153">
        <v>0.10128895722988285</v>
      </c>
      <c r="H170" s="153">
        <v>0.47235289671805386</v>
      </c>
    </row>
    <row r="171" spans="7:8" ht="12" customHeight="1">
      <c r="G171" s="153">
        <v>0.10710096887779333</v>
      </c>
      <c r="H171" s="153">
        <v>0.47077001078635045</v>
      </c>
    </row>
    <row r="172" spans="7:8" ht="12" customHeight="1">
      <c r="G172" s="153">
        <v>0.10855423985898643</v>
      </c>
      <c r="H172" s="153">
        <v>0.47037430690685217</v>
      </c>
    </row>
    <row r="173" spans="7:8" ht="12" customHeight="1">
      <c r="G173" s="153">
        <v>0.12133306773372041</v>
      </c>
      <c r="H173" s="153">
        <v>0.46689648236090509</v>
      </c>
    </row>
    <row r="174" spans="7:8" ht="12" customHeight="1">
      <c r="G174" s="153">
        <v>0.13593996213202311</v>
      </c>
      <c r="H174" s="153">
        <v>0.4629250964240858</v>
      </c>
    </row>
    <row r="175" spans="7:8" ht="12" customHeight="1">
      <c r="G175" s="153">
        <v>0.14001362773025816</v>
      </c>
      <c r="H175" s="153">
        <v>0.46181834704561198</v>
      </c>
    </row>
    <row r="176" spans="7:8" ht="12" customHeight="1">
      <c r="G176" s="153">
        <v>0.14498558642112849</v>
      </c>
      <c r="H176" s="153">
        <v>0.46046805676570912</v>
      </c>
    </row>
    <row r="177" spans="7:8" ht="12" customHeight="1">
      <c r="G177" s="153">
        <v>0.14879513967605523</v>
      </c>
      <c r="H177" s="153">
        <v>0.45943384531766357</v>
      </c>
    </row>
    <row r="178" spans="7:8" ht="12" customHeight="1">
      <c r="G178" s="153">
        <v>0.15189142625049351</v>
      </c>
      <c r="H178" s="153">
        <v>0.45859352728779446</v>
      </c>
    </row>
    <row r="179" spans="7:8" ht="12" customHeight="1">
      <c r="G179" s="153">
        <v>0.15973632929191478</v>
      </c>
      <c r="H179" s="153">
        <v>0.45646552124796413</v>
      </c>
    </row>
    <row r="180" spans="7:8" ht="12" customHeight="1">
      <c r="G180" s="153">
        <v>0.18620353845927545</v>
      </c>
      <c r="H180" s="153">
        <v>0.44929819552704586</v>
      </c>
    </row>
    <row r="181" spans="7:8" ht="12" customHeight="1">
      <c r="G181" s="153">
        <v>0.19263008327597478</v>
      </c>
      <c r="H181" s="153">
        <v>0.44756094271752778</v>
      </c>
    </row>
    <row r="182" spans="7:8" ht="12" customHeight="1">
      <c r="G182" s="153">
        <v>0.22398341100256519</v>
      </c>
      <c r="H182" s="153">
        <v>0.43910447856901108</v>
      </c>
    </row>
    <row r="183" spans="7:8" ht="12" customHeight="1">
      <c r="G183" s="153">
        <v>0.23551890118302712</v>
      </c>
      <c r="H183" s="153">
        <v>0.43600179437121106</v>
      </c>
    </row>
    <row r="184" spans="7:8" ht="12" customHeight="1">
      <c r="G184" s="153">
        <v>0.25678898902305225</v>
      </c>
      <c r="H184" s="153">
        <v>0.43029409828354426</v>
      </c>
    </row>
    <row r="185" spans="7:8" ht="12" customHeight="1">
      <c r="G185" s="153">
        <v>0.28149307416609204</v>
      </c>
      <c r="H185" s="153">
        <v>0.42368818780025458</v>
      </c>
    </row>
    <row r="186" spans="7:8" ht="12" customHeight="1">
      <c r="G186" s="153">
        <v>0.28472399371652957</v>
      </c>
      <c r="H186" s="153">
        <v>0.42282619570711494</v>
      </c>
    </row>
    <row r="187" spans="7:8" ht="12" customHeight="1">
      <c r="G187" s="153">
        <v>0.28863150492661549</v>
      </c>
      <c r="H187" s="153">
        <v>0.42178432054688098</v>
      </c>
    </row>
    <row r="188" spans="7:8" ht="12" customHeight="1">
      <c r="G188" s="153">
        <v>0.30346567185309337</v>
      </c>
      <c r="H188" s="153">
        <v>0.41783543716181765</v>
      </c>
    </row>
    <row r="189" spans="7:8" ht="12" customHeight="1">
      <c r="G189" s="153">
        <v>0.33197425480582765</v>
      </c>
      <c r="H189" s="153">
        <v>0.41027630484163663</v>
      </c>
    </row>
    <row r="190" spans="7:8" ht="12" customHeight="1">
      <c r="G190" s="153">
        <v>0.33595845742148811</v>
      </c>
      <c r="H190" s="153">
        <v>0.40922316310490758</v>
      </c>
    </row>
    <row r="191" spans="7:8" ht="12" customHeight="1">
      <c r="G191" s="153">
        <v>0.33799455898432185</v>
      </c>
      <c r="H191" s="153">
        <v>0.40868528244551766</v>
      </c>
    </row>
    <row r="192" spans="7:8" ht="12" customHeight="1">
      <c r="G192" s="153">
        <v>0.35235690358040028</v>
      </c>
      <c r="H192" s="153">
        <v>0.40489743226862729</v>
      </c>
    </row>
    <row r="193" spans="7:8" ht="12" customHeight="1">
      <c r="G193" s="153">
        <v>0.35806547444898973</v>
      </c>
      <c r="H193" s="153">
        <v>0.40339499638107401</v>
      </c>
    </row>
    <row r="194" spans="7:8" ht="12" customHeight="1">
      <c r="G194" s="153">
        <v>0.36778929054007903</v>
      </c>
      <c r="H194" s="153">
        <v>0.40083997151137768</v>
      </c>
    </row>
    <row r="195" spans="7:8" ht="12" customHeight="1">
      <c r="G195" s="153">
        <v>0.37559767581777453</v>
      </c>
      <c r="H195" s="153">
        <v>0.39879213244937151</v>
      </c>
    </row>
    <row r="196" spans="7:8" ht="12" customHeight="1">
      <c r="G196" s="153">
        <v>0.38237442106731434</v>
      </c>
      <c r="H196" s="153">
        <v>0.39701771534420705</v>
      </c>
    </row>
    <row r="197" spans="7:8" ht="12" customHeight="1">
      <c r="G197" s="153">
        <v>0.39671943349863764</v>
      </c>
      <c r="H197" s="153">
        <v>0.39327060413833376</v>
      </c>
    </row>
    <row r="198" spans="7:8" ht="12" customHeight="1">
      <c r="G198" s="153">
        <v>0.40656854842436707</v>
      </c>
      <c r="H198" s="153">
        <v>0.39070510660931873</v>
      </c>
    </row>
    <row r="199" spans="7:8" ht="12" customHeight="1">
      <c r="G199" s="153">
        <v>0.4158240962232948</v>
      </c>
      <c r="H199" s="153">
        <v>0.38829971443022387</v>
      </c>
    </row>
    <row r="200" spans="7:8" ht="12" customHeight="1">
      <c r="G200" s="153">
        <v>0.42605585715500638</v>
      </c>
      <c r="H200" s="153">
        <v>0.38564694070785138</v>
      </c>
    </row>
    <row r="201" spans="7:8" ht="12" customHeight="1">
      <c r="G201" s="153">
        <v>0.43092390103060252</v>
      </c>
      <c r="H201" s="153">
        <v>0.38438718030348273</v>
      </c>
    </row>
    <row r="202" spans="7:8" ht="12" customHeight="1">
      <c r="G202" s="153">
        <v>0.43423624396237787</v>
      </c>
      <c r="H202" s="153">
        <v>0.38353089130361567</v>
      </c>
    </row>
    <row r="203" spans="7:8" ht="12" customHeight="1">
      <c r="G203" s="153">
        <v>0.46450704917450752</v>
      </c>
      <c r="H203" s="153">
        <v>0.37573947003936581</v>
      </c>
    </row>
    <row r="204" spans="7:8" ht="12" customHeight="1">
      <c r="G204" s="153">
        <v>0.46632086497752701</v>
      </c>
      <c r="H204" s="153">
        <v>0.37527460220967718</v>
      </c>
    </row>
    <row r="205" spans="7:8" ht="12" customHeight="1">
      <c r="G205" s="153">
        <v>0.48208608524438878</v>
      </c>
      <c r="H205" s="153">
        <v>0.37124385033382101</v>
      </c>
    </row>
    <row r="206" spans="7:8" ht="12" customHeight="1">
      <c r="G206" s="153">
        <v>0.50520937167115454</v>
      </c>
      <c r="H206" s="153">
        <v>0.36536424887219993</v>
      </c>
    </row>
    <row r="207" spans="7:8" ht="12" customHeight="1">
      <c r="G207" s="153">
        <v>0.52718603014707455</v>
      </c>
      <c r="H207" s="153">
        <v>0.35981313672292325</v>
      </c>
    </row>
    <row r="208" spans="7:8" ht="12" customHeight="1">
      <c r="G208" s="153">
        <v>0.53570102824684129</v>
      </c>
      <c r="H208" s="153">
        <v>0.35767226963747961</v>
      </c>
    </row>
    <row r="209" spans="7:8" ht="12" customHeight="1">
      <c r="G209" s="153">
        <v>0.54112648909741257</v>
      </c>
      <c r="H209" s="153">
        <v>0.3563111331967308</v>
      </c>
    </row>
    <row r="210" spans="7:8" ht="12" customHeight="1">
      <c r="G210" s="153">
        <v>0.54409440179433899</v>
      </c>
      <c r="H210" s="153">
        <v>0.3555675244576188</v>
      </c>
    </row>
    <row r="211" spans="7:8" ht="12" customHeight="1">
      <c r="G211" s="153">
        <v>0.54681383247110737</v>
      </c>
      <c r="H211" s="153">
        <v>0.3548867840773573</v>
      </c>
    </row>
    <row r="212" spans="7:8" ht="12" customHeight="1">
      <c r="G212" s="153">
        <v>0.55303897426264026</v>
      </c>
      <c r="H212" s="153">
        <v>0.35333069125501826</v>
      </c>
    </row>
    <row r="213" spans="7:8" ht="12" customHeight="1">
      <c r="G213" s="153">
        <v>0.58238557850582295</v>
      </c>
      <c r="H213" s="153">
        <v>0.34603717573556431</v>
      </c>
    </row>
    <row r="214" spans="7:8" ht="12" customHeight="1">
      <c r="G214" s="153">
        <v>0.58345141736142114</v>
      </c>
      <c r="H214" s="153">
        <v>0.34577361533396189</v>
      </c>
    </row>
    <row r="215" spans="7:8" ht="12" customHeight="1">
      <c r="G215" s="153">
        <v>0.61026003771452231</v>
      </c>
      <c r="H215" s="153">
        <v>0.33917586169983172</v>
      </c>
    </row>
    <row r="216" spans="7:8" ht="12" customHeight="1">
      <c r="G216" s="153">
        <v>0.6144216839229395</v>
      </c>
      <c r="H216" s="153">
        <v>0.33815715677900798</v>
      </c>
    </row>
    <row r="217" spans="7:8" ht="12" customHeight="1">
      <c r="G217" s="153">
        <v>0.62139585037410416</v>
      </c>
      <c r="H217" s="153">
        <v>0.33645335536135318</v>
      </c>
    </row>
    <row r="218" spans="7:8" ht="12" customHeight="1">
      <c r="G218" s="153">
        <v>0.64349801899652659</v>
      </c>
      <c r="H218" s="153">
        <v>0.33108194244033118</v>
      </c>
    </row>
    <row r="219" spans="7:8" ht="12" customHeight="1">
      <c r="G219" s="153">
        <v>0.65228915866439408</v>
      </c>
      <c r="H219" s="153">
        <v>0.32895754042059622</v>
      </c>
    </row>
    <row r="220" spans="7:8" ht="12" customHeight="1">
      <c r="G220" s="153">
        <v>0.65243100883309113</v>
      </c>
      <c r="H220" s="153">
        <v>0.32892331893089616</v>
      </c>
    </row>
    <row r="221" spans="7:8" ht="12" customHeight="1">
      <c r="G221" s="153">
        <v>0.65310930205854201</v>
      </c>
      <c r="H221" s="153">
        <v>0.32875970513482428</v>
      </c>
    </row>
    <row r="222" spans="7:8" ht="12" customHeight="1">
      <c r="G222" s="153">
        <v>0.66393522694230633</v>
      </c>
      <c r="H222" s="153">
        <v>0.32615398214826635</v>
      </c>
    </row>
    <row r="223" spans="7:8" ht="12" customHeight="1">
      <c r="G223" s="153">
        <v>0.67251464024480145</v>
      </c>
      <c r="H223" s="153">
        <v>0.32409657083128668</v>
      </c>
    </row>
    <row r="224" spans="7:8" ht="12" customHeight="1">
      <c r="G224" s="153">
        <v>0.70239608234465944</v>
      </c>
      <c r="H224" s="153">
        <v>0.31698402237541323</v>
      </c>
    </row>
    <row r="225" spans="7:8" ht="12" customHeight="1">
      <c r="G225" s="153">
        <v>0.71782475536806467</v>
      </c>
      <c r="H225" s="153">
        <v>0.31334454461975014</v>
      </c>
    </row>
    <row r="226" spans="7:8" ht="12" customHeight="1">
      <c r="G226" s="153">
        <v>0.71826261610438946</v>
      </c>
      <c r="H226" s="153">
        <v>0.3132415892645618</v>
      </c>
    </row>
    <row r="227" spans="7:8" ht="12" customHeight="1">
      <c r="G227" s="153">
        <v>0.75784912011239802</v>
      </c>
      <c r="H227" s="153">
        <v>0.3040103707132234</v>
      </c>
    </row>
    <row r="228" spans="7:8" ht="12" customHeight="1">
      <c r="G228" s="153">
        <v>0.76509607198695517</v>
      </c>
      <c r="H228" s="153">
        <v>0.30233711866816088</v>
      </c>
    </row>
    <row r="229" spans="7:8" ht="12" customHeight="1">
      <c r="G229" s="153">
        <v>0.78677591662428803</v>
      </c>
      <c r="H229" s="153">
        <v>0.2973627899953788</v>
      </c>
    </row>
    <row r="230" spans="7:8" ht="12" customHeight="1">
      <c r="G230" s="153">
        <v>0.78778201612541809</v>
      </c>
      <c r="H230" s="153">
        <v>0.29713309442243779</v>
      </c>
    </row>
    <row r="231" spans="7:8" ht="12" customHeight="1">
      <c r="G231" s="153">
        <v>0.79613321801998671</v>
      </c>
      <c r="H231" s="153">
        <v>0.29523045094587241</v>
      </c>
    </row>
    <row r="232" spans="7:8" ht="12" customHeight="1">
      <c r="G232" s="153">
        <v>0.80857898893296665</v>
      </c>
      <c r="H232" s="153">
        <v>0.29240813157987117</v>
      </c>
    </row>
    <row r="233" spans="7:8" ht="12" customHeight="1">
      <c r="G233" s="153">
        <v>0.81507605087387058</v>
      </c>
      <c r="H233" s="153">
        <v>0.29094110331964346</v>
      </c>
    </row>
    <row r="234" spans="7:8" ht="12" customHeight="1">
      <c r="G234" s="153">
        <v>0.81741267783897964</v>
      </c>
      <c r="H234" s="153">
        <v>0.29041455835599461</v>
      </c>
    </row>
    <row r="235" spans="7:8" ht="12" customHeight="1">
      <c r="G235" s="153">
        <v>0.85746688420988981</v>
      </c>
      <c r="H235" s="153">
        <v>0.28147683741019497</v>
      </c>
    </row>
    <row r="236" spans="7:8" ht="12" customHeight="1">
      <c r="G236" s="153">
        <v>0.85995201698175405</v>
      </c>
      <c r="H236" s="153">
        <v>0.28092784567981344</v>
      </c>
    </row>
    <row r="237" spans="7:8" ht="12" customHeight="1">
      <c r="G237" s="153">
        <v>0.86208391395812334</v>
      </c>
      <c r="H237" s="153">
        <v>0.28045740769853872</v>
      </c>
    </row>
    <row r="238" spans="7:8" ht="12" customHeight="1">
      <c r="G238" s="153">
        <v>0.88040706069893182</v>
      </c>
      <c r="H238" s="153">
        <v>0.27643399525479845</v>
      </c>
    </row>
    <row r="239" spans="7:8" ht="12" customHeight="1">
      <c r="G239" s="153">
        <v>0.93397177779555063</v>
      </c>
      <c r="H239" s="153">
        <v>0.26487900615562449</v>
      </c>
    </row>
    <row r="240" spans="7:8" ht="12" customHeight="1">
      <c r="G240" s="153">
        <v>0.93464148698203064</v>
      </c>
      <c r="H240" s="153">
        <v>0.26473650821366063</v>
      </c>
    </row>
    <row r="241" spans="7:8" ht="12" customHeight="1">
      <c r="G241" s="153">
        <v>0.94079951634895542</v>
      </c>
      <c r="H241" s="153">
        <v>0.26342852981947695</v>
      </c>
    </row>
    <row r="242" spans="7:8" ht="12" customHeight="1">
      <c r="G242" s="153">
        <v>0.95073775305643982</v>
      </c>
      <c r="H242" s="153">
        <v>0.26132640267621887</v>
      </c>
    </row>
    <row r="243" spans="7:8" ht="12" customHeight="1">
      <c r="G243" s="153">
        <v>0.95924082297172797</v>
      </c>
      <c r="H243" s="153">
        <v>0.25953646873487685</v>
      </c>
    </row>
    <row r="244" spans="7:8" ht="12" customHeight="1">
      <c r="G244" s="153">
        <v>0.97172717739606218</v>
      </c>
      <c r="H244" s="153">
        <v>0.25692250886607892</v>
      </c>
    </row>
    <row r="245" spans="7:8" ht="12" customHeight="1">
      <c r="G245" s="153">
        <v>0.97437172947857131</v>
      </c>
      <c r="H245" s="153">
        <v>0.25637109993771279</v>
      </c>
    </row>
    <row r="246" spans="7:8" ht="12" customHeight="1">
      <c r="G246" s="153">
        <v>0.97780914787239037</v>
      </c>
      <c r="H246" s="153">
        <v>0.25565553241683836</v>
      </c>
    </row>
    <row r="247" spans="7:8" ht="12" customHeight="1">
      <c r="G247" s="153">
        <v>0.9866862456070673</v>
      </c>
      <c r="H247" s="153">
        <v>0.25381366165642039</v>
      </c>
    </row>
    <row r="248" spans="7:8" ht="12" customHeight="1">
      <c r="G248" s="153">
        <v>0.99961315934035</v>
      </c>
      <c r="H248" s="153">
        <v>0.25114721598238127</v>
      </c>
    </row>
    <row r="249" spans="7:8" ht="12" customHeight="1">
      <c r="G249" s="153">
        <v>1.0051790066306145</v>
      </c>
      <c r="H249" s="153">
        <v>0.25000489393436154</v>
      </c>
    </row>
    <row r="250" spans="7:8" ht="12" customHeight="1">
      <c r="G250" s="153">
        <v>1.0098165082684674</v>
      </c>
      <c r="H250" s="153">
        <v>0.24905575263365065</v>
      </c>
    </row>
    <row r="251" spans="7:8" ht="12" customHeight="1">
      <c r="G251" s="153">
        <v>1.0147647220270195</v>
      </c>
      <c r="H251" s="153">
        <v>0.24804567813938824</v>
      </c>
    </row>
    <row r="252" spans="7:8" ht="12" customHeight="1">
      <c r="G252" s="153">
        <v>1.0270016256375778</v>
      </c>
      <c r="H252" s="153">
        <v>0.24555958165895142</v>
      </c>
    </row>
    <row r="253" spans="7:8" ht="12" customHeight="1">
      <c r="G253" s="153">
        <v>1.0330352164005385</v>
      </c>
      <c r="H253" s="153">
        <v>0.24433997786607939</v>
      </c>
    </row>
    <row r="254" spans="7:8" ht="12" customHeight="1">
      <c r="G254" s="153">
        <v>1.0346949570335331</v>
      </c>
      <c r="H254" s="153">
        <v>0.24400520484847196</v>
      </c>
    </row>
    <row r="255" spans="7:8" ht="12" customHeight="1">
      <c r="G255" s="153">
        <v>1.0404567709973049</v>
      </c>
      <c r="H255" s="153">
        <v>0.24284544818987711</v>
      </c>
    </row>
    <row r="256" spans="7:8" ht="12" customHeight="1">
      <c r="G256" s="153">
        <v>1.0577268267075137</v>
      </c>
      <c r="H256" s="153">
        <v>0.23939175882088187</v>
      </c>
    </row>
    <row r="257" spans="7:8" ht="12" customHeight="1">
      <c r="G257" s="153">
        <v>1.0662642904050905</v>
      </c>
      <c r="H257" s="153">
        <v>0.23769690640306335</v>
      </c>
    </row>
    <row r="258" spans="7:8" ht="12" customHeight="1">
      <c r="G258" s="153">
        <v>1.0833250966032539</v>
      </c>
      <c r="H258" s="153">
        <v>0.23433481104219245</v>
      </c>
    </row>
    <row r="259" spans="7:8" ht="12" customHeight="1">
      <c r="G259" s="153">
        <v>1.1098643201359342</v>
      </c>
      <c r="H259" s="153">
        <v>0.2291707578375777</v>
      </c>
    </row>
    <row r="260" spans="7:8" ht="12" customHeight="1">
      <c r="G260" s="153">
        <v>1.1280486276104984</v>
      </c>
      <c r="H260" s="153">
        <v>0.22567887760545455</v>
      </c>
    </row>
    <row r="261" spans="7:8" ht="12" customHeight="1">
      <c r="G261" s="153">
        <v>1.1622453873615457</v>
      </c>
      <c r="H261" s="153">
        <v>0.21921478337502553</v>
      </c>
    </row>
    <row r="262" spans="7:8" ht="12" customHeight="1">
      <c r="G262" s="153">
        <v>1.167390843749712</v>
      </c>
      <c r="H262" s="153">
        <v>0.21825376944393868</v>
      </c>
    </row>
    <row r="263" spans="7:8" ht="12" customHeight="1">
      <c r="G263" s="153">
        <v>1.1909514907385941</v>
      </c>
      <c r="H263" s="153">
        <v>0.21389220553391955</v>
      </c>
    </row>
    <row r="264" spans="7:8" ht="12" customHeight="1">
      <c r="G264" s="153">
        <v>1.1917611614565675</v>
      </c>
      <c r="H264" s="153">
        <v>0.21374345235686099</v>
      </c>
    </row>
    <row r="265" spans="7:8" ht="12" customHeight="1">
      <c r="G265" s="153">
        <v>1.2406628238515243</v>
      </c>
      <c r="H265" s="153">
        <v>0.20489890567363511</v>
      </c>
    </row>
    <row r="266" spans="7:8" ht="12" customHeight="1">
      <c r="G266" s="153">
        <v>1.2697238034370142</v>
      </c>
      <c r="H266" s="153">
        <v>0.19977294611050875</v>
      </c>
    </row>
    <row r="267" spans="7:8" ht="12" customHeight="1">
      <c r="G267" s="153">
        <v>1.2925537309943358</v>
      </c>
      <c r="H267" s="153">
        <v>0.19581398181999993</v>
      </c>
    </row>
    <row r="268" spans="7:8" ht="12" customHeight="1">
      <c r="G268" s="153">
        <v>1.3279059134387916</v>
      </c>
      <c r="H268" s="153">
        <v>0.18980114656888686</v>
      </c>
    </row>
    <row r="269" spans="7:8" ht="12" customHeight="1">
      <c r="G269" s="153">
        <v>1.3540120795202246</v>
      </c>
      <c r="H269" s="153">
        <v>0.18545235887073444</v>
      </c>
    </row>
    <row r="270" spans="7:8" ht="12" customHeight="1">
      <c r="G270" s="153">
        <v>1.3723071824583311</v>
      </c>
      <c r="H270" s="153">
        <v>0.18245086721694223</v>
      </c>
    </row>
    <row r="271" spans="7:8" ht="12" customHeight="1">
      <c r="G271" s="153">
        <v>1.3788886736496739</v>
      </c>
      <c r="H271" s="153">
        <v>0.18138037851150113</v>
      </c>
    </row>
    <row r="272" spans="7:8" ht="12" customHeight="1">
      <c r="G272" s="153">
        <v>1.3973981297854066</v>
      </c>
      <c r="H272" s="153">
        <v>0.17839601406740752</v>
      </c>
    </row>
    <row r="273" spans="7:8" ht="12" customHeight="1">
      <c r="G273" s="153">
        <v>1.4168694152172479</v>
      </c>
      <c r="H273" s="153">
        <v>0.17529820540540975</v>
      </c>
    </row>
    <row r="274" spans="7:8" ht="12" customHeight="1">
      <c r="G274" s="153">
        <v>1.4201324672846767</v>
      </c>
      <c r="H274" s="153">
        <v>0.17478323049941971</v>
      </c>
    </row>
    <row r="275" spans="7:8" ht="12" customHeight="1">
      <c r="G275" s="153">
        <v>1.4203533153033538</v>
      </c>
      <c r="H275" s="153">
        <v>0.17474841938335869</v>
      </c>
    </row>
    <row r="276" spans="7:8" ht="12" customHeight="1">
      <c r="G276" s="153">
        <v>1.4347047981124088</v>
      </c>
      <c r="H276" s="153">
        <v>0.17249797494276639</v>
      </c>
    </row>
    <row r="277" spans="7:8" ht="12" customHeight="1">
      <c r="G277" s="153">
        <v>1.4519152200265093</v>
      </c>
      <c r="H277" s="153">
        <v>0.16982954724844754</v>
      </c>
    </row>
    <row r="278" spans="7:8" ht="12" customHeight="1">
      <c r="G278" s="153">
        <v>1.4586520306353987</v>
      </c>
      <c r="H278" s="153">
        <v>0.16879400184543691</v>
      </c>
    </row>
    <row r="279" spans="7:8" ht="12" customHeight="1">
      <c r="G279" s="153">
        <v>1.5151804302238627</v>
      </c>
      <c r="H279" s="153">
        <v>0.16030237766078512</v>
      </c>
    </row>
    <row r="280" spans="7:8" ht="12" customHeight="1">
      <c r="G280" s="153">
        <v>1.5169949742251514</v>
      </c>
      <c r="H280" s="153">
        <v>0.16003561287570367</v>
      </c>
    </row>
    <row r="281" spans="7:8" ht="12" customHeight="1">
      <c r="G281" s="153">
        <v>1.5579982388035929</v>
      </c>
      <c r="H281" s="153">
        <v>0.15410296591226105</v>
      </c>
    </row>
    <row r="282" spans="7:8" ht="12" customHeight="1">
      <c r="G282" s="153">
        <v>1.5685814196849295</v>
      </c>
      <c r="H282" s="153">
        <v>0.15260121973823032</v>
      </c>
    </row>
    <row r="283" spans="7:8" ht="12" customHeight="1">
      <c r="G283" s="153">
        <v>1.5789832505173136</v>
      </c>
      <c r="H283" s="153">
        <v>0.15113692036527313</v>
      </c>
    </row>
    <row r="284" spans="7:8" ht="12" customHeight="1">
      <c r="G284" s="153">
        <v>1.5882641106009825</v>
      </c>
      <c r="H284" s="153">
        <v>0.14984019094992285</v>
      </c>
    </row>
    <row r="285" spans="7:8" ht="12" customHeight="1">
      <c r="G285" s="153">
        <v>1.6154217819670944</v>
      </c>
      <c r="H285" s="153">
        <v>0.14609830824607922</v>
      </c>
    </row>
    <row r="286" spans="7:8" ht="12" customHeight="1">
      <c r="G286" s="153">
        <v>1.6160547808494956</v>
      </c>
      <c r="H286" s="153">
        <v>0.14601202223477283</v>
      </c>
    </row>
    <row r="287" spans="7:8" ht="12" customHeight="1">
      <c r="G287" s="153">
        <v>1.6306504824479744</v>
      </c>
      <c r="H287" s="153">
        <v>0.14403413544600496</v>
      </c>
    </row>
    <row r="288" spans="7:8" ht="12" customHeight="1">
      <c r="G288" s="153">
        <v>1.6686098882401859</v>
      </c>
      <c r="H288" s="153">
        <v>0.13899444442697115</v>
      </c>
    </row>
    <row r="289" spans="7:8" ht="12" customHeight="1">
      <c r="G289" s="153">
        <v>1.7310489501520532</v>
      </c>
      <c r="H289" s="153">
        <v>0.13102704372712418</v>
      </c>
    </row>
    <row r="290" spans="7:8" ht="12" customHeight="1">
      <c r="G290" s="153">
        <v>1.7392649080771492</v>
      </c>
      <c r="H290" s="153">
        <v>0.13000803779122286</v>
      </c>
    </row>
    <row r="291" spans="7:8" ht="12" customHeight="1">
      <c r="G291" s="153">
        <v>1.7566175212168396</v>
      </c>
      <c r="H291" s="153">
        <v>0.12787798017991067</v>
      </c>
    </row>
    <row r="292" spans="7:8" ht="12" customHeight="1">
      <c r="G292" s="153">
        <v>1.8059357964920348</v>
      </c>
      <c r="H292" s="153">
        <v>0.12198623754429644</v>
      </c>
    </row>
    <row r="293" spans="7:8" ht="12" customHeight="1">
      <c r="G293" s="153">
        <v>1.8198002570053606</v>
      </c>
      <c r="H293" s="153">
        <v>0.12037255884692757</v>
      </c>
    </row>
    <row r="294" spans="7:8" ht="12" customHeight="1">
      <c r="G294" s="153">
        <v>1.8335703597816382</v>
      </c>
      <c r="H294" s="153">
        <v>0.11878813331060438</v>
      </c>
    </row>
    <row r="295" spans="7:8" ht="12" customHeight="1">
      <c r="G295" s="153">
        <v>1.8430924987657942</v>
      </c>
      <c r="H295" s="153">
        <v>0.11770306975498651</v>
      </c>
    </row>
    <row r="296" spans="7:8" ht="12" customHeight="1">
      <c r="G296" s="153">
        <v>1.8581519086370959</v>
      </c>
      <c r="H296" s="153">
        <v>0.11600456249977843</v>
      </c>
    </row>
    <row r="297" spans="7:8" ht="12" customHeight="1">
      <c r="G297" s="153">
        <v>1.8848593234017994</v>
      </c>
      <c r="H297" s="153">
        <v>0.11304466648712957</v>
      </c>
    </row>
    <row r="298" spans="7:8" ht="12" customHeight="1">
      <c r="G298" s="153">
        <v>1.9319476345701174</v>
      </c>
      <c r="H298" s="153">
        <v>0.10798644288180752</v>
      </c>
    </row>
    <row r="299" spans="7:8" ht="12" customHeight="1">
      <c r="G299" s="153">
        <v>1.94683810682312</v>
      </c>
      <c r="H299" s="153">
        <v>0.10642879784847782</v>
      </c>
    </row>
    <row r="300" spans="7:8" ht="12" customHeight="1">
      <c r="G300" s="153">
        <v>1.9663877889165458</v>
      </c>
      <c r="H300" s="153">
        <v>0.10441384183567236</v>
      </c>
    </row>
    <row r="301" spans="7:8" ht="12" customHeight="1">
      <c r="G301" s="153">
        <v>2.0079825175234256</v>
      </c>
      <c r="H301" s="153">
        <v>0.10023861246465383</v>
      </c>
    </row>
    <row r="302" spans="7:8" ht="12" customHeight="1">
      <c r="G302" s="153">
        <v>2.0199129088203631</v>
      </c>
      <c r="H302" s="153">
        <v>9.9068725751670708E-2</v>
      </c>
    </row>
    <row r="303" spans="7:8" ht="12" customHeight="1">
      <c r="G303" s="153">
        <v>2.0389176227139809</v>
      </c>
      <c r="H303" s="153">
        <v>9.7230227828059027E-2</v>
      </c>
    </row>
    <row r="304" spans="7:8" ht="12" customHeight="1">
      <c r="G304" s="153">
        <v>2.0817468593559463</v>
      </c>
      <c r="H304" s="153">
        <v>9.3198233772905203E-2</v>
      </c>
    </row>
    <row r="305" spans="7:8" ht="12" customHeight="1">
      <c r="G305" s="153">
        <v>2.093579870910514</v>
      </c>
      <c r="H305" s="153">
        <v>9.2111004355869164E-2</v>
      </c>
    </row>
    <row r="306" spans="7:8" ht="12" customHeight="1">
      <c r="G306" s="153">
        <v>2.2266278582005254</v>
      </c>
      <c r="H306" s="153">
        <v>8.0650652458089125E-2</v>
      </c>
    </row>
    <row r="307" spans="7:8" ht="12" customHeight="1">
      <c r="G307" s="153">
        <v>2.2332033729469267</v>
      </c>
      <c r="H307" s="153">
        <v>8.0119400895616616E-2</v>
      </c>
    </row>
    <row r="308" spans="7:8" ht="12" customHeight="1">
      <c r="G308" s="153">
        <v>2.490676091221391</v>
      </c>
      <c r="H308" s="153">
        <v>6.1680397103227008E-2</v>
      </c>
    </row>
    <row r="309" spans="7:8" ht="12" customHeight="1">
      <c r="G309" s="153">
        <v>2.5229860438523817</v>
      </c>
      <c r="H309" s="153">
        <v>5.9668017103617257E-2</v>
      </c>
    </row>
    <row r="310" spans="7:8" ht="12" customHeight="1">
      <c r="G310" s="153">
        <v>2.564491302265282</v>
      </c>
      <c r="H310" s="153">
        <v>5.7173110012510547E-2</v>
      </c>
    </row>
    <row r="311" spans="7:8" ht="12" customHeight="1">
      <c r="G311" s="153">
        <v>2.7143415386406438</v>
      </c>
      <c r="H311" s="153">
        <v>4.8958988128212123E-2</v>
      </c>
    </row>
    <row r="312" spans="7:8" ht="12" customHeight="1">
      <c r="G312" s="153">
        <v>2.9449874417298183</v>
      </c>
      <c r="H312" s="153">
        <v>3.8469776132611176E-2</v>
      </c>
    </row>
    <row r="313" spans="7:8" ht="12" customHeight="1">
      <c r="G313" s="153">
        <v>2.9656451389616616</v>
      </c>
      <c r="H313" s="153">
        <v>3.764329110873757E-2</v>
      </c>
    </row>
    <row r="314" spans="7:8" ht="12" customHeight="1">
      <c r="G314" s="153">
        <v>3.1564097551787791</v>
      </c>
      <c r="H314" s="153">
        <v>3.0777150187315659E-2</v>
      </c>
    </row>
    <row r="315" spans="7:8" ht="12" customHeight="1">
      <c r="G315" s="153">
        <v>3.2615712303897326</v>
      </c>
      <c r="H315" s="153">
        <v>2.752751508998082E-2</v>
      </c>
    </row>
    <row r="316" spans="7:8" ht="12" customHeight="1">
      <c r="G316" s="153">
        <v>3.2927902337105515</v>
      </c>
      <c r="H316" s="153">
        <v>2.6628706339268875E-2</v>
      </c>
    </row>
    <row r="317" spans="7:8" ht="12" customHeight="1">
      <c r="G317" s="153">
        <v>3.5698618685879357</v>
      </c>
      <c r="H317" s="153">
        <v>1.9809320637728021E-2</v>
      </c>
    </row>
    <row r="318" spans="7:8" ht="12" customHeight="1">
      <c r="G318" s="153">
        <v>3.6892095950626977</v>
      </c>
      <c r="H318" s="153">
        <v>1.7429074314947293E-2</v>
      </c>
    </row>
    <row r="319" spans="7:8" ht="12" customHeight="1">
      <c r="G319" s="153">
        <v>3.7919567196905262</v>
      </c>
      <c r="H319" s="153">
        <v>1.560666046950354E-2</v>
      </c>
    </row>
    <row r="320" spans="7:8"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ColWidth="14.42578125" defaultRowHeight="15" customHeight="1"/>
  <cols>
    <col min="1" max="1" width="11" customWidth="1"/>
    <col min="2" max="2" width="12.85546875" customWidth="1"/>
    <col min="3" max="3" width="11.85546875" customWidth="1"/>
    <col min="4" max="4" width="11" customWidth="1"/>
    <col min="5" max="5" width="11.85546875" customWidth="1"/>
    <col min="6" max="6" width="10.85546875" customWidth="1"/>
    <col min="7" max="7" width="11" customWidth="1"/>
    <col min="8" max="8" width="11.85546875" customWidth="1"/>
    <col min="9" max="9" width="10.85546875" customWidth="1"/>
    <col min="10" max="10" width="11" customWidth="1"/>
    <col min="11" max="26" width="10.85546875" customWidth="1"/>
  </cols>
  <sheetData>
    <row r="1" spans="1:26" ht="12" customHeight="1">
      <c r="A1" s="147" t="s">
        <v>451</v>
      </c>
      <c r="B1" s="155" t="s">
        <v>452</v>
      </c>
      <c r="C1" s="156" t="s">
        <v>453</v>
      </c>
      <c r="D1" s="156"/>
      <c r="E1" s="157"/>
      <c r="F1" s="156" t="s">
        <v>454</v>
      </c>
      <c r="G1" s="156"/>
      <c r="H1" s="157"/>
      <c r="I1" s="156" t="s">
        <v>455</v>
      </c>
      <c r="J1" s="158"/>
      <c r="K1" s="158"/>
      <c r="L1" s="158"/>
      <c r="M1" s="158"/>
      <c r="N1" s="158"/>
      <c r="O1" s="158"/>
      <c r="P1" s="158"/>
      <c r="Q1" s="158"/>
      <c r="R1" s="158"/>
      <c r="S1" s="158"/>
      <c r="T1" s="158"/>
      <c r="U1" s="158"/>
      <c r="V1" s="158"/>
      <c r="W1" s="158"/>
      <c r="X1" s="158"/>
      <c r="Y1" s="158"/>
      <c r="Z1" s="158"/>
    </row>
    <row r="2" spans="1:26" ht="12" customHeight="1">
      <c r="A2" s="147">
        <f>+A</f>
        <v>1</v>
      </c>
      <c r="B2" s="157" t="s">
        <v>5</v>
      </c>
      <c r="C2" s="158">
        <v>0.21911169999999999</v>
      </c>
      <c r="D2" s="158">
        <f t="shared" ref="D2:D22" si="0">+C2*$A2</f>
        <v>0.21911169999999999</v>
      </c>
      <c r="E2" s="157" t="s">
        <v>5</v>
      </c>
      <c r="F2" s="157">
        <v>-0.2005033</v>
      </c>
      <c r="G2" s="158">
        <f t="shared" ref="G2:G22" si="1">+F2*$A2</f>
        <v>-0.2005033</v>
      </c>
      <c r="H2" s="157" t="s">
        <v>5</v>
      </c>
      <c r="I2" s="157">
        <v>-0.15644259999999999</v>
      </c>
      <c r="J2" s="158">
        <f t="shared" ref="J2:J22" si="2">+I2*$A2</f>
        <v>-0.15644259999999999</v>
      </c>
      <c r="K2" s="158"/>
      <c r="L2" s="158"/>
      <c r="M2" s="158"/>
      <c r="N2" s="158"/>
      <c r="O2" s="158"/>
      <c r="P2" s="158"/>
      <c r="Q2" s="158"/>
      <c r="R2" s="158"/>
      <c r="S2" s="158"/>
      <c r="T2" s="158"/>
      <c r="U2" s="158"/>
      <c r="V2" s="158"/>
      <c r="W2" s="158"/>
      <c r="X2" s="158"/>
      <c r="Y2" s="158"/>
      <c r="Z2" s="158"/>
    </row>
    <row r="3" spans="1:26" ht="12" customHeight="1">
      <c r="A3" s="147">
        <f>+B</f>
        <v>1</v>
      </c>
      <c r="B3" s="157" t="s">
        <v>8</v>
      </c>
      <c r="C3" s="158">
        <v>0.62664509999999995</v>
      </c>
      <c r="D3" s="158">
        <f t="shared" si="0"/>
        <v>0.62664509999999995</v>
      </c>
      <c r="E3" s="157" t="s">
        <v>8</v>
      </c>
      <c r="F3" s="157">
        <v>-0.34040690000000001</v>
      </c>
      <c r="G3" s="158">
        <f t="shared" si="1"/>
        <v>-0.34040690000000001</v>
      </c>
      <c r="H3" s="157" t="s">
        <v>8</v>
      </c>
      <c r="I3" s="157">
        <v>1.138161</v>
      </c>
      <c r="J3" s="158">
        <f t="shared" si="2"/>
        <v>1.138161</v>
      </c>
      <c r="K3" s="158"/>
      <c r="L3" s="158"/>
      <c r="M3" s="158"/>
      <c r="N3" s="158"/>
      <c r="O3" s="158"/>
      <c r="P3" s="158"/>
      <c r="Q3" s="158"/>
      <c r="R3" s="158"/>
      <c r="S3" s="158"/>
      <c r="T3" s="158"/>
      <c r="U3" s="158"/>
      <c r="V3" s="158"/>
      <c r="W3" s="158"/>
      <c r="X3" s="158"/>
      <c r="Y3" s="158"/>
      <c r="Z3" s="158"/>
    </row>
    <row r="4" spans="1:26" ht="12" customHeight="1">
      <c r="A4" s="147">
        <f>+C_</f>
        <v>1</v>
      </c>
      <c r="B4" s="157" t="s">
        <v>11</v>
      </c>
      <c r="C4" s="158">
        <v>0.71837640000000003</v>
      </c>
      <c r="D4" s="158">
        <f t="shared" si="0"/>
        <v>0.71837640000000003</v>
      </c>
      <c r="E4" s="157" t="s">
        <v>11</v>
      </c>
      <c r="F4" s="157">
        <v>0.2353953</v>
      </c>
      <c r="G4" s="158">
        <f t="shared" si="1"/>
        <v>0.2353953</v>
      </c>
      <c r="H4" s="157" t="s">
        <v>11</v>
      </c>
      <c r="I4" s="157">
        <v>-0.43628670000000003</v>
      </c>
      <c r="J4" s="158">
        <f t="shared" si="2"/>
        <v>-0.43628670000000003</v>
      </c>
      <c r="K4" s="158"/>
      <c r="L4" s="158"/>
      <c r="M4" s="158"/>
      <c r="N4" s="158"/>
      <c r="O4" s="158"/>
      <c r="P4" s="158"/>
      <c r="Q4" s="158"/>
      <c r="R4" s="158"/>
      <c r="S4" s="158"/>
      <c r="T4" s="158"/>
      <c r="U4" s="158"/>
      <c r="V4" s="158"/>
      <c r="W4" s="158"/>
      <c r="X4" s="158"/>
      <c r="Y4" s="158"/>
      <c r="Z4" s="158"/>
    </row>
    <row r="5" spans="1:26" ht="12" customHeight="1">
      <c r="A5" s="147">
        <f>+E</f>
        <v>1</v>
      </c>
      <c r="B5" s="157" t="s">
        <v>14</v>
      </c>
      <c r="C5" s="158">
        <v>0.50940700000000005</v>
      </c>
      <c r="D5" s="158">
        <f t="shared" si="0"/>
        <v>0.50940700000000005</v>
      </c>
      <c r="E5" s="157" t="s">
        <v>14</v>
      </c>
      <c r="F5" s="157">
        <v>0.55595589999999995</v>
      </c>
      <c r="G5" s="158">
        <f t="shared" si="1"/>
        <v>0.55595589999999995</v>
      </c>
      <c r="H5" s="157" t="s">
        <v>14</v>
      </c>
      <c r="I5" s="157">
        <v>0.1076771</v>
      </c>
      <c r="J5" s="158">
        <f t="shared" si="2"/>
        <v>0.1076771</v>
      </c>
      <c r="K5" s="158"/>
      <c r="L5" s="158"/>
      <c r="M5" s="158"/>
      <c r="N5" s="158"/>
      <c r="O5" s="158"/>
      <c r="P5" s="158"/>
      <c r="Q5" s="158"/>
      <c r="R5" s="158"/>
      <c r="S5" s="158"/>
      <c r="T5" s="158"/>
      <c r="U5" s="158"/>
      <c r="V5" s="158"/>
      <c r="W5" s="158"/>
      <c r="X5" s="158"/>
      <c r="Y5" s="158"/>
      <c r="Z5" s="158"/>
    </row>
    <row r="6" spans="1:26" ht="12" customHeight="1">
      <c r="A6" s="147">
        <f>+_F</f>
        <v>1</v>
      </c>
      <c r="B6" s="157" t="s">
        <v>17</v>
      </c>
      <c r="C6" s="158">
        <v>3.9817279999999997E-2</v>
      </c>
      <c r="D6" s="158">
        <f t="shared" si="0"/>
        <v>3.9817279999999997E-2</v>
      </c>
      <c r="E6" s="157" t="s">
        <v>17</v>
      </c>
      <c r="F6" s="157">
        <v>0.72483249999999999</v>
      </c>
      <c r="G6" s="158">
        <f t="shared" si="1"/>
        <v>0.72483249999999999</v>
      </c>
      <c r="H6" s="157" t="s">
        <v>17</v>
      </c>
      <c r="I6" s="157">
        <v>-0.90970680000000004</v>
      </c>
      <c r="J6" s="158">
        <f t="shared" si="2"/>
        <v>-0.90970680000000004</v>
      </c>
      <c r="K6" s="158"/>
      <c r="L6" s="158"/>
      <c r="M6" s="158"/>
      <c r="N6" s="158"/>
      <c r="O6" s="158"/>
      <c r="P6" s="158"/>
      <c r="Q6" s="158"/>
      <c r="R6" s="158"/>
      <c r="S6" s="158"/>
      <c r="T6" s="158"/>
      <c r="U6" s="158"/>
      <c r="V6" s="158"/>
      <c r="W6" s="158"/>
      <c r="X6" s="158"/>
      <c r="Y6" s="158"/>
      <c r="Z6" s="158"/>
    </row>
    <row r="7" spans="1:26" ht="12" customHeight="1">
      <c r="A7" s="147">
        <f>+G</f>
        <v>1</v>
      </c>
      <c r="B7" s="157" t="s">
        <v>20</v>
      </c>
      <c r="C7" s="158">
        <v>-0.2039996</v>
      </c>
      <c r="D7" s="158">
        <f t="shared" si="0"/>
        <v>-0.2039996</v>
      </c>
      <c r="E7" s="157" t="s">
        <v>20</v>
      </c>
      <c r="F7" s="157">
        <v>-0.17678489999999999</v>
      </c>
      <c r="G7" s="158">
        <f t="shared" si="1"/>
        <v>-0.17678489999999999</v>
      </c>
      <c r="H7" s="157" t="s">
        <v>20</v>
      </c>
      <c r="I7" s="157">
        <v>0.60130150000000004</v>
      </c>
      <c r="J7" s="158">
        <f t="shared" si="2"/>
        <v>0.60130150000000004</v>
      </c>
      <c r="K7" s="158"/>
      <c r="L7" s="158"/>
      <c r="M7" s="158"/>
      <c r="N7" s="158"/>
      <c r="O7" s="158"/>
      <c r="P7" s="158"/>
      <c r="Q7" s="158"/>
      <c r="R7" s="158"/>
      <c r="S7" s="158"/>
      <c r="T7" s="158"/>
      <c r="U7" s="158"/>
      <c r="V7" s="158"/>
      <c r="W7" s="158"/>
      <c r="X7" s="158"/>
      <c r="Y7" s="158"/>
      <c r="Z7" s="158"/>
    </row>
    <row r="8" spans="1:26" ht="12" customHeight="1">
      <c r="A8" s="147">
        <f>+H</f>
        <v>1</v>
      </c>
      <c r="B8" s="157" t="s">
        <v>23</v>
      </c>
      <c r="C8" s="158">
        <v>0.79260140000000001</v>
      </c>
      <c r="D8" s="158">
        <f t="shared" si="0"/>
        <v>0.79260140000000001</v>
      </c>
      <c r="E8" s="157" t="s">
        <v>23</v>
      </c>
      <c r="F8" s="157">
        <v>-7.7614089999999997E-2</v>
      </c>
      <c r="G8" s="158">
        <f t="shared" si="1"/>
        <v>-7.7614089999999997E-2</v>
      </c>
      <c r="H8" s="157" t="s">
        <v>23</v>
      </c>
      <c r="I8" s="157">
        <v>-0.2282555</v>
      </c>
      <c r="J8" s="158">
        <f t="shared" si="2"/>
        <v>-0.2282555</v>
      </c>
      <c r="K8" s="158"/>
      <c r="L8" s="158"/>
      <c r="M8" s="158"/>
      <c r="N8" s="158"/>
      <c r="O8" s="158"/>
      <c r="P8" s="158"/>
      <c r="Q8" s="158"/>
      <c r="R8" s="158"/>
      <c r="S8" s="158"/>
      <c r="T8" s="158"/>
      <c r="U8" s="158"/>
      <c r="V8" s="158"/>
      <c r="W8" s="158"/>
      <c r="X8" s="158"/>
      <c r="Y8" s="158"/>
      <c r="Z8" s="158"/>
    </row>
    <row r="9" spans="1:26" ht="12" customHeight="1">
      <c r="A9" s="147">
        <f>+I</f>
        <v>1</v>
      </c>
      <c r="B9" s="157" t="s">
        <v>26</v>
      </c>
      <c r="C9" s="158">
        <v>1.650399E-2</v>
      </c>
      <c r="D9" s="158">
        <f t="shared" si="0"/>
        <v>1.650399E-2</v>
      </c>
      <c r="E9" s="157" t="s">
        <v>26</v>
      </c>
      <c r="F9" s="157">
        <v>-0.8959068</v>
      </c>
      <c r="G9" s="158">
        <f t="shared" si="1"/>
        <v>-0.8959068</v>
      </c>
      <c r="H9" s="157" t="s">
        <v>26</v>
      </c>
      <c r="I9" s="157">
        <v>0.47310279999999999</v>
      </c>
      <c r="J9" s="158">
        <f t="shared" si="2"/>
        <v>0.47310279999999999</v>
      </c>
      <c r="K9" s="158"/>
      <c r="L9" s="158"/>
      <c r="M9" s="158"/>
      <c r="N9" s="158"/>
      <c r="O9" s="158"/>
      <c r="P9" s="158"/>
      <c r="Q9" s="158"/>
      <c r="R9" s="158"/>
      <c r="S9" s="158"/>
      <c r="T9" s="158"/>
      <c r="U9" s="158"/>
      <c r="V9" s="158"/>
      <c r="W9" s="158"/>
      <c r="X9" s="158"/>
      <c r="Y9" s="158"/>
      <c r="Z9" s="158"/>
    </row>
    <row r="10" spans="1:26" ht="12" customHeight="1">
      <c r="A10" s="147">
        <f>+'PTI-16'!F15</f>
        <v>1</v>
      </c>
      <c r="B10" s="157" t="s">
        <v>29</v>
      </c>
      <c r="C10" s="158">
        <v>-0.36237000000000003</v>
      </c>
      <c r="D10" s="158">
        <f t="shared" si="0"/>
        <v>-0.36237000000000003</v>
      </c>
      <c r="E10" s="157" t="s">
        <v>29</v>
      </c>
      <c r="F10" s="157">
        <v>9.6639580000000003E-2</v>
      </c>
      <c r="G10" s="158">
        <f t="shared" si="1"/>
        <v>9.6639580000000003E-2</v>
      </c>
      <c r="H10" s="157" t="s">
        <v>29</v>
      </c>
      <c r="I10" s="157">
        <v>0.31923059999999998</v>
      </c>
      <c r="J10" s="158">
        <f t="shared" si="2"/>
        <v>0.31923059999999998</v>
      </c>
      <c r="K10" s="158"/>
      <c r="L10" s="158"/>
      <c r="M10" s="158"/>
      <c r="N10" s="158"/>
      <c r="O10" s="158"/>
      <c r="P10" s="158"/>
      <c r="Q10" s="158"/>
      <c r="R10" s="158"/>
      <c r="S10" s="158"/>
      <c r="T10" s="158"/>
      <c r="U10" s="158"/>
      <c r="V10" s="158"/>
      <c r="W10" s="158"/>
      <c r="X10" s="158"/>
      <c r="Y10" s="158"/>
      <c r="Z10" s="158"/>
    </row>
    <row r="11" spans="1:26" ht="12" customHeight="1">
      <c r="A11" s="147">
        <f>+M</f>
        <v>1</v>
      </c>
      <c r="B11" s="157" t="s">
        <v>32</v>
      </c>
      <c r="C11" s="158">
        <v>0.6421384</v>
      </c>
      <c r="D11" s="158">
        <f t="shared" si="0"/>
        <v>0.6421384</v>
      </c>
      <c r="E11" s="157" t="s">
        <v>32</v>
      </c>
      <c r="F11" s="157">
        <v>-0.67805689999999996</v>
      </c>
      <c r="G11" s="158">
        <f t="shared" si="1"/>
        <v>-0.67805689999999996</v>
      </c>
      <c r="H11" s="157" t="s">
        <v>32</v>
      </c>
      <c r="I11" s="157">
        <v>0.64362759999999997</v>
      </c>
      <c r="J11" s="158">
        <f t="shared" si="2"/>
        <v>0.64362759999999997</v>
      </c>
      <c r="K11" s="158"/>
      <c r="L11" s="158"/>
      <c r="M11" s="158"/>
      <c r="N11" s="158"/>
      <c r="O11" s="158"/>
      <c r="P11" s="158"/>
      <c r="Q11" s="158"/>
      <c r="R11" s="158"/>
      <c r="S11" s="158"/>
      <c r="T11" s="158"/>
      <c r="U11" s="158"/>
      <c r="V11" s="158"/>
      <c r="W11" s="158"/>
      <c r="X11" s="158"/>
      <c r="Y11" s="158"/>
      <c r="Z11" s="158"/>
    </row>
    <row r="12" spans="1:26" ht="12" customHeight="1">
      <c r="A12" s="147">
        <f>+N</f>
        <v>1</v>
      </c>
      <c r="B12" s="157" t="s">
        <v>35</v>
      </c>
      <c r="C12" s="158">
        <v>-6.6354949999999996E-2</v>
      </c>
      <c r="D12" s="158">
        <f t="shared" si="0"/>
        <v>-6.6354949999999996E-2</v>
      </c>
      <c r="E12" s="157" t="s">
        <v>35</v>
      </c>
      <c r="F12" s="157">
        <v>-0.1628406</v>
      </c>
      <c r="G12" s="158">
        <f t="shared" si="1"/>
        <v>-0.1628406</v>
      </c>
      <c r="H12" s="157" t="s">
        <v>35</v>
      </c>
      <c r="I12" s="157">
        <v>0.51761919999999995</v>
      </c>
      <c r="J12" s="158">
        <f t="shared" si="2"/>
        <v>0.51761919999999995</v>
      </c>
      <c r="K12" s="158"/>
      <c r="L12" s="158"/>
      <c r="M12" s="158"/>
      <c r="N12" s="158"/>
      <c r="O12" s="158"/>
      <c r="P12" s="158"/>
      <c r="Q12" s="158"/>
      <c r="R12" s="158"/>
      <c r="S12" s="158"/>
      <c r="T12" s="158"/>
      <c r="U12" s="158"/>
      <c r="V12" s="158"/>
      <c r="W12" s="158"/>
      <c r="X12" s="158"/>
      <c r="Y12" s="158"/>
      <c r="Z12" s="158"/>
    </row>
    <row r="13" spans="1:26" ht="12" customHeight="1">
      <c r="A13" s="147">
        <f>+O</f>
        <v>2</v>
      </c>
      <c r="B13" s="157" t="s">
        <v>38</v>
      </c>
      <c r="C13" s="158">
        <v>-1.126582</v>
      </c>
      <c r="D13" s="158">
        <f t="shared" si="0"/>
        <v>-2.2531639999999999</v>
      </c>
      <c r="E13" s="157" t="s">
        <v>38</v>
      </c>
      <c r="F13" s="157">
        <v>0.10518859999999999</v>
      </c>
      <c r="G13" s="158">
        <f t="shared" si="1"/>
        <v>0.21037719999999999</v>
      </c>
      <c r="H13" s="157" t="s">
        <v>38</v>
      </c>
      <c r="I13" s="157">
        <v>0.55563709999999999</v>
      </c>
      <c r="J13" s="158">
        <f t="shared" si="2"/>
        <v>1.1112742</v>
      </c>
      <c r="K13" s="158"/>
      <c r="L13" s="158"/>
      <c r="M13" s="158"/>
      <c r="N13" s="158"/>
      <c r="O13" s="158"/>
      <c r="P13" s="158"/>
      <c r="Q13" s="158"/>
      <c r="R13" s="158"/>
      <c r="S13" s="158"/>
      <c r="T13" s="158"/>
      <c r="U13" s="158"/>
      <c r="V13" s="158"/>
      <c r="W13" s="158"/>
      <c r="X13" s="158"/>
      <c r="Y13" s="158"/>
      <c r="Z13" s="158"/>
    </row>
    <row r="14" spans="1:26" ht="12" customHeight="1">
      <c r="A14" s="147">
        <f>+Q1_</f>
        <v>1</v>
      </c>
      <c r="B14" s="157" t="s">
        <v>41</v>
      </c>
      <c r="C14" s="158">
        <v>0.55777779999999999</v>
      </c>
      <c r="D14" s="158">
        <f t="shared" si="0"/>
        <v>0.55777779999999999</v>
      </c>
      <c r="E14" s="157" t="s">
        <v>41</v>
      </c>
      <c r="F14" s="157">
        <v>0.33366020000000002</v>
      </c>
      <c r="G14" s="158">
        <f t="shared" si="1"/>
        <v>0.33366020000000002</v>
      </c>
      <c r="H14" s="157" t="s">
        <v>41</v>
      </c>
      <c r="I14" s="157">
        <v>0.68752599999999997</v>
      </c>
      <c r="J14" s="158">
        <f t="shared" si="2"/>
        <v>0.68752599999999997</v>
      </c>
      <c r="K14" s="158"/>
      <c r="L14" s="158"/>
      <c r="M14" s="158"/>
      <c r="N14" s="158"/>
      <c r="O14" s="158"/>
      <c r="P14" s="158"/>
      <c r="Q14" s="158"/>
      <c r="R14" s="158"/>
      <c r="S14" s="158"/>
      <c r="T14" s="158"/>
      <c r="U14" s="158"/>
      <c r="V14" s="158"/>
      <c r="W14" s="158"/>
      <c r="X14" s="158"/>
      <c r="Y14" s="158"/>
      <c r="Z14" s="158"/>
    </row>
    <row r="15" spans="1:26" ht="12" customHeight="1">
      <c r="A15" s="147">
        <f>+Q2_</f>
        <v>1</v>
      </c>
      <c r="B15" s="157" t="s">
        <v>44</v>
      </c>
      <c r="C15" s="158">
        <v>0.1907248</v>
      </c>
      <c r="D15" s="158">
        <f t="shared" si="0"/>
        <v>0.1907248</v>
      </c>
      <c r="E15" s="157" t="s">
        <v>44</v>
      </c>
      <c r="F15" s="157">
        <v>-0.41154990000000002</v>
      </c>
      <c r="G15" s="158">
        <f t="shared" si="1"/>
        <v>-0.41154990000000002</v>
      </c>
      <c r="H15" s="157" t="s">
        <v>44</v>
      </c>
      <c r="I15" s="157">
        <v>0.2296793</v>
      </c>
      <c r="J15" s="158">
        <f t="shared" si="2"/>
        <v>0.2296793</v>
      </c>
      <c r="K15" s="158"/>
      <c r="L15" s="158"/>
      <c r="M15" s="158"/>
      <c r="N15" s="158"/>
      <c r="O15" s="158"/>
      <c r="P15" s="158"/>
      <c r="Q15" s="158"/>
      <c r="R15" s="158"/>
      <c r="S15" s="158"/>
      <c r="T15" s="158"/>
      <c r="U15" s="158"/>
      <c r="V15" s="158"/>
      <c r="W15" s="158"/>
      <c r="X15" s="158"/>
      <c r="Y15" s="158"/>
      <c r="Z15" s="158"/>
    </row>
    <row r="16" spans="1:26" ht="12" customHeight="1">
      <c r="A16" s="147">
        <f>+Q3_</f>
        <v>1</v>
      </c>
      <c r="B16" s="157" t="s">
        <v>47</v>
      </c>
      <c r="C16" s="158">
        <v>0.36681259999999999</v>
      </c>
      <c r="D16" s="158">
        <f t="shared" si="0"/>
        <v>0.36681259999999999</v>
      </c>
      <c r="E16" s="157" t="s">
        <v>47</v>
      </c>
      <c r="F16" s="157">
        <v>-0.2095429</v>
      </c>
      <c r="G16" s="158">
        <f t="shared" si="1"/>
        <v>-0.2095429</v>
      </c>
      <c r="H16" s="157" t="s">
        <v>47</v>
      </c>
      <c r="I16" s="157">
        <v>0.1082201</v>
      </c>
      <c r="J16" s="158">
        <f t="shared" si="2"/>
        <v>0.1082201</v>
      </c>
      <c r="K16" s="158"/>
      <c r="L16" s="158"/>
      <c r="M16" s="158"/>
      <c r="N16" s="158"/>
      <c r="O16" s="158"/>
      <c r="P16" s="158"/>
      <c r="Q16" s="158"/>
      <c r="R16" s="158"/>
      <c r="S16" s="158"/>
      <c r="T16" s="158"/>
      <c r="U16" s="158"/>
      <c r="V16" s="158"/>
      <c r="W16" s="158"/>
      <c r="X16" s="158"/>
      <c r="Y16" s="158"/>
      <c r="Z16" s="158"/>
    </row>
    <row r="17" spans="1:26" ht="12" customHeight="1">
      <c r="A17" s="147">
        <f>+Q4_</f>
        <v>2</v>
      </c>
      <c r="B17" s="157" t="s">
        <v>50</v>
      </c>
      <c r="C17" s="158">
        <v>-0.8357966</v>
      </c>
      <c r="D17" s="158">
        <f t="shared" si="0"/>
        <v>-1.6715932</v>
      </c>
      <c r="E17" s="157" t="s">
        <v>50</v>
      </c>
      <c r="F17" s="157">
        <v>0.33712959999999997</v>
      </c>
      <c r="G17" s="158">
        <f t="shared" si="1"/>
        <v>0.67425919999999995</v>
      </c>
      <c r="H17" s="157" t="s">
        <v>50</v>
      </c>
      <c r="I17" s="157">
        <v>0.40064490000000003</v>
      </c>
      <c r="J17" s="158">
        <f t="shared" si="2"/>
        <v>0.80128980000000005</v>
      </c>
      <c r="K17" s="158"/>
      <c r="L17" s="158"/>
      <c r="M17" s="158"/>
      <c r="N17" s="158"/>
      <c r="O17" s="158"/>
      <c r="P17" s="158"/>
      <c r="Q17" s="158"/>
      <c r="R17" s="158"/>
      <c r="S17" s="158"/>
      <c r="T17" s="158"/>
      <c r="U17" s="158"/>
      <c r="V17" s="158"/>
      <c r="W17" s="158"/>
      <c r="X17" s="158"/>
      <c r="Y17" s="158"/>
      <c r="Z17" s="158"/>
    </row>
    <row r="18" spans="1:26" ht="12" customHeight="1">
      <c r="A18" s="147">
        <f>+'PTI-16'!F25</f>
        <v>5.3100000000000005</v>
      </c>
      <c r="B18" s="157" t="s">
        <v>198</v>
      </c>
      <c r="C18" s="158">
        <v>3.4364699999999999</v>
      </c>
      <c r="D18" s="158">
        <f t="shared" si="0"/>
        <v>18.247655700000003</v>
      </c>
      <c r="E18" s="157" t="s">
        <v>198</v>
      </c>
      <c r="F18" s="157">
        <v>-0.6966926</v>
      </c>
      <c r="G18" s="158">
        <f t="shared" si="1"/>
        <v>-3.6994377060000003</v>
      </c>
      <c r="H18" s="157" t="s">
        <v>198</v>
      </c>
      <c r="I18" s="157">
        <v>-1.1218619999999999</v>
      </c>
      <c r="J18" s="158">
        <f t="shared" si="2"/>
        <v>-5.95708722</v>
      </c>
      <c r="K18" s="158"/>
      <c r="L18" s="158"/>
      <c r="M18" s="158"/>
      <c r="N18" s="158"/>
      <c r="O18" s="158"/>
      <c r="P18" s="158"/>
      <c r="Q18" s="158"/>
      <c r="R18" s="158"/>
      <c r="S18" s="158"/>
      <c r="T18" s="158"/>
      <c r="U18" s="158"/>
      <c r="V18" s="158"/>
      <c r="W18" s="158"/>
      <c r="X18" s="158"/>
      <c r="Y18" s="158"/>
      <c r="Z18" s="158"/>
    </row>
    <row r="19" spans="1:26" ht="12" customHeight="1">
      <c r="A19" s="147">
        <f>+'PTI-16'!F26</f>
        <v>1.2400000000000002</v>
      </c>
      <c r="B19" s="157" t="s">
        <v>202</v>
      </c>
      <c r="C19" s="158">
        <v>-9.6306100000000006E-2</v>
      </c>
      <c r="D19" s="158">
        <f t="shared" si="0"/>
        <v>-0.11941956400000003</v>
      </c>
      <c r="E19" s="157" t="s">
        <v>202</v>
      </c>
      <c r="F19" s="157">
        <v>-0.52710869999999999</v>
      </c>
      <c r="G19" s="158">
        <f t="shared" si="1"/>
        <v>-0.65361478800000006</v>
      </c>
      <c r="H19" s="157" t="s">
        <v>202</v>
      </c>
      <c r="I19" s="157">
        <v>0.33543590000000001</v>
      </c>
      <c r="J19" s="158">
        <f t="shared" si="2"/>
        <v>0.41594051600000009</v>
      </c>
      <c r="K19" s="158"/>
      <c r="L19" s="158"/>
      <c r="M19" s="158"/>
      <c r="N19" s="158"/>
      <c r="O19" s="158"/>
      <c r="P19" s="158"/>
      <c r="Q19" s="158"/>
      <c r="R19" s="158"/>
      <c r="S19" s="158"/>
      <c r="T19" s="158"/>
      <c r="U19" s="158"/>
      <c r="V19" s="158"/>
      <c r="W19" s="158"/>
      <c r="X19" s="158"/>
      <c r="Y19" s="158"/>
      <c r="Z19" s="158"/>
    </row>
    <row r="20" spans="1:26" ht="12" customHeight="1">
      <c r="A20" s="147">
        <f>+'PTI-16'!F27</f>
        <v>3.0100000000000002</v>
      </c>
      <c r="B20" s="157" t="s">
        <v>279</v>
      </c>
      <c r="C20" s="158">
        <v>0.32494139999999999</v>
      </c>
      <c r="D20" s="158">
        <f t="shared" si="0"/>
        <v>0.97807361400000004</v>
      </c>
      <c r="E20" s="157" t="s">
        <v>279</v>
      </c>
      <c r="F20" s="157">
        <v>1.1401250000000001</v>
      </c>
      <c r="G20" s="158">
        <f t="shared" si="1"/>
        <v>3.4317762500000004</v>
      </c>
      <c r="H20" s="157" t="s">
        <v>279</v>
      </c>
      <c r="I20" s="157">
        <v>-1.3594390000000001</v>
      </c>
      <c r="J20" s="158">
        <f t="shared" si="2"/>
        <v>-4.0919113900000008</v>
      </c>
      <c r="K20" s="158"/>
      <c r="L20" s="158"/>
      <c r="M20" s="158"/>
      <c r="N20" s="158"/>
      <c r="O20" s="158"/>
      <c r="P20" s="158"/>
      <c r="Q20" s="158"/>
      <c r="R20" s="158"/>
      <c r="S20" s="158"/>
      <c r="T20" s="158"/>
      <c r="U20" s="158"/>
      <c r="V20" s="158"/>
      <c r="W20" s="158"/>
      <c r="X20" s="158"/>
      <c r="Y20" s="158"/>
      <c r="Z20" s="158"/>
    </row>
    <row r="21" spans="1:26" ht="12" customHeight="1">
      <c r="A21" s="147">
        <f>+'PTI-16'!F28</f>
        <v>1</v>
      </c>
      <c r="B21" s="157" t="s">
        <v>207</v>
      </c>
      <c r="C21" s="158">
        <v>-1.518834</v>
      </c>
      <c r="D21" s="158">
        <f t="shared" si="0"/>
        <v>-1.518834</v>
      </c>
      <c r="E21" s="157" t="s">
        <v>207</v>
      </c>
      <c r="F21" s="157">
        <v>4.7711679999999999E-2</v>
      </c>
      <c r="G21" s="158">
        <f t="shared" si="1"/>
        <v>4.7711679999999999E-2</v>
      </c>
      <c r="H21" s="157" t="s">
        <v>207</v>
      </c>
      <c r="I21" s="157">
        <v>-1.3075049999999999</v>
      </c>
      <c r="J21" s="158">
        <f t="shared" si="2"/>
        <v>-1.3075049999999999</v>
      </c>
      <c r="K21" s="158"/>
      <c r="L21" s="158"/>
      <c r="M21" s="158"/>
      <c r="N21" s="158"/>
      <c r="O21" s="158"/>
      <c r="P21" s="158"/>
      <c r="Q21" s="158"/>
      <c r="R21" s="158"/>
      <c r="S21" s="158"/>
      <c r="T21" s="158"/>
      <c r="U21" s="158"/>
      <c r="V21" s="158"/>
      <c r="W21" s="158"/>
      <c r="X21" s="158"/>
      <c r="Y21" s="158"/>
      <c r="Z21" s="158"/>
    </row>
    <row r="22" spans="1:26" ht="12" customHeight="1">
      <c r="A22" s="147">
        <f>+'PTI-16'!F31</f>
        <v>1.8200000000000003</v>
      </c>
      <c r="B22" s="157" t="s">
        <v>428</v>
      </c>
      <c r="C22" s="158">
        <v>-0.37235649999999998</v>
      </c>
      <c r="D22" s="158">
        <f t="shared" si="0"/>
        <v>-0.67768883000000002</v>
      </c>
      <c r="E22" s="157" t="s">
        <v>428</v>
      </c>
      <c r="F22" s="157">
        <v>1.625032</v>
      </c>
      <c r="G22" s="158">
        <f t="shared" si="1"/>
        <v>2.9575582400000004</v>
      </c>
      <c r="H22" s="157" t="s">
        <v>428</v>
      </c>
      <c r="I22" s="157">
        <v>-0.86157969999999995</v>
      </c>
      <c r="J22" s="158">
        <f t="shared" si="2"/>
        <v>-1.5680750540000001</v>
      </c>
      <c r="K22" s="158"/>
      <c r="L22" s="158"/>
      <c r="M22" s="158"/>
      <c r="N22" s="158"/>
      <c r="O22" s="158"/>
      <c r="P22" s="158"/>
      <c r="Q22" s="158"/>
      <c r="R22" s="158"/>
      <c r="S22" s="158"/>
      <c r="T22" s="158"/>
      <c r="U22" s="158"/>
      <c r="V22" s="158"/>
      <c r="W22" s="158"/>
      <c r="X22" s="158"/>
      <c r="Y22" s="158"/>
      <c r="Z22" s="158"/>
    </row>
    <row r="23" spans="1:26" ht="12" customHeight="1">
      <c r="A23" s="147"/>
      <c r="B23" s="157" t="s">
        <v>435</v>
      </c>
      <c r="C23" s="158">
        <v>-21.071280000000002</v>
      </c>
      <c r="D23" s="158">
        <f>+C23</f>
        <v>-21.071280000000002</v>
      </c>
      <c r="E23" s="157" t="s">
        <v>456</v>
      </c>
      <c r="F23" s="157">
        <v>-5.9641140000000004</v>
      </c>
      <c r="G23" s="158">
        <f>+F23</f>
        <v>-5.9641140000000004</v>
      </c>
      <c r="H23" s="157" t="s">
        <v>456</v>
      </c>
      <c r="I23" s="157">
        <v>1.4957800000000001</v>
      </c>
      <c r="J23" s="158">
        <f>+I23</f>
        <v>1.4957800000000001</v>
      </c>
      <c r="K23" s="158"/>
      <c r="L23" s="158"/>
      <c r="M23" s="158"/>
      <c r="N23" s="158"/>
      <c r="O23" s="158"/>
      <c r="P23" s="158"/>
      <c r="Q23" s="158"/>
      <c r="R23" s="158"/>
      <c r="S23" s="158"/>
      <c r="T23" s="158"/>
      <c r="U23" s="158"/>
      <c r="V23" s="158"/>
      <c r="W23" s="158"/>
      <c r="X23" s="158"/>
      <c r="Y23" s="158"/>
      <c r="Z23" s="158"/>
    </row>
    <row r="24" spans="1:26" ht="12" customHeight="1">
      <c r="A24" s="147"/>
      <c r="B24" s="158"/>
      <c r="C24" s="158" t="s">
        <v>457</v>
      </c>
      <c r="D24" s="158">
        <f>+SUM(D2:D23)</f>
        <v>-4.0390583599999985</v>
      </c>
      <c r="E24" s="158"/>
      <c r="F24" s="158" t="s">
        <v>457</v>
      </c>
      <c r="G24" s="158">
        <f>+SUM(G2:G23)</f>
        <v>-4.2022067340000007</v>
      </c>
      <c r="H24" s="158"/>
      <c r="I24" s="158" t="s">
        <v>457</v>
      </c>
      <c r="J24" s="158">
        <f>+SUM(J2:J23)</f>
        <v>-6.0048405480000016</v>
      </c>
      <c r="K24" s="158"/>
      <c r="L24" s="158"/>
      <c r="M24" s="158"/>
      <c r="N24" s="158"/>
      <c r="O24" s="158"/>
      <c r="P24" s="158"/>
      <c r="Q24" s="158"/>
      <c r="R24" s="158"/>
      <c r="S24" s="158"/>
      <c r="T24" s="158"/>
      <c r="U24" s="158"/>
      <c r="V24" s="158"/>
      <c r="W24" s="158"/>
      <c r="X24" s="158"/>
      <c r="Y24" s="158"/>
      <c r="Z24" s="158"/>
    </row>
    <row r="25" spans="1:26" ht="12" customHeight="1">
      <c r="A25" s="147"/>
      <c r="B25" s="158"/>
      <c r="C25" s="158" t="s">
        <v>458</v>
      </c>
      <c r="D25" s="158">
        <f>((-0.0003*(D24^6))-(0.0016*(D24^5))+(0.0062*(D24^4))+(0.0358*(D24^3))-(0.0397*(D24^2))-(0.3502*D24)+0.5906)</f>
        <v>1.0659408657560472</v>
      </c>
      <c r="E25" s="158"/>
      <c r="F25" s="158" t="s">
        <v>458</v>
      </c>
      <c r="G25" s="139">
        <f>(0.00004*(G24^6))+(0.0008*(G24^5))-(0.0006*(G24^4))-(0.0262*(G24^3))-(0.007*(G24^2))+(0.3381*G24)+0.5641</f>
        <v>-5.1228561287157692E-2</v>
      </c>
      <c r="H25" s="158"/>
      <c r="I25" s="158" t="s">
        <v>458</v>
      </c>
      <c r="J25" s="139">
        <f>-(0.00004*(J24^6)) + (0.0004*(J24^5)) + (0.002*(J24^4)) - (0.0206*(J24^3)) - (0.0312*(J24^2)) + (0.3393*(J24)) + 0.6215</f>
        <v>-0.4784617187438257</v>
      </c>
      <c r="K25" s="158"/>
      <c r="L25" s="158"/>
      <c r="M25" s="158"/>
      <c r="N25" s="158"/>
      <c r="O25" s="158"/>
      <c r="P25" s="158"/>
      <c r="Q25" s="158"/>
      <c r="R25" s="158"/>
      <c r="S25" s="158"/>
      <c r="T25" s="158"/>
      <c r="U25" s="158"/>
      <c r="V25" s="158"/>
      <c r="W25" s="158"/>
      <c r="X25" s="158"/>
      <c r="Y25" s="158"/>
      <c r="Z25" s="158"/>
    </row>
    <row r="26" spans="1:26" ht="12" customHeight="1">
      <c r="A26" s="147"/>
      <c r="B26" s="158"/>
      <c r="C26" s="158" t="s">
        <v>459</v>
      </c>
      <c r="D26" s="158">
        <f>+INT(D25*10)</f>
        <v>10</v>
      </c>
      <c r="E26" s="158"/>
      <c r="F26" s="158" t="s">
        <v>459</v>
      </c>
      <c r="G26" s="158">
        <f>+INT(G25*10)</f>
        <v>-1</v>
      </c>
      <c r="H26" s="158"/>
      <c r="I26" s="158" t="s">
        <v>459</v>
      </c>
      <c r="J26" s="158">
        <f>+INT(J25*10)</f>
        <v>-5</v>
      </c>
      <c r="K26" s="158"/>
      <c r="L26" s="158"/>
      <c r="M26" s="158"/>
      <c r="N26" s="158"/>
      <c r="O26" s="158"/>
      <c r="P26" s="158"/>
      <c r="Q26" s="158"/>
      <c r="R26" s="158"/>
      <c r="S26" s="158"/>
      <c r="T26" s="158"/>
      <c r="U26" s="158"/>
      <c r="V26" s="158"/>
      <c r="W26" s="158"/>
      <c r="X26" s="158"/>
      <c r="Y26" s="158"/>
      <c r="Z26" s="158"/>
    </row>
    <row r="27" spans="1:26" ht="12" customHeight="1">
      <c r="A27" s="147"/>
      <c r="B27" s="158"/>
      <c r="C27" s="158" t="s">
        <v>460</v>
      </c>
      <c r="D27" s="158">
        <f>+IF(D26&lt;1,1,D26)</f>
        <v>10</v>
      </c>
      <c r="E27" s="158"/>
      <c r="F27" s="158" t="s">
        <v>460</v>
      </c>
      <c r="G27" s="158">
        <f>+IF(G26&lt;1,1,G26)</f>
        <v>1</v>
      </c>
      <c r="H27" s="158"/>
      <c r="I27" s="158" t="s">
        <v>460</v>
      </c>
      <c r="J27" s="158">
        <f>+IF(J26&lt;1,1,J26)</f>
        <v>1</v>
      </c>
      <c r="K27" s="158"/>
      <c r="L27" s="158"/>
      <c r="M27" s="158"/>
      <c r="N27" s="158"/>
      <c r="O27" s="158"/>
      <c r="P27" s="158"/>
      <c r="Q27" s="158"/>
      <c r="R27" s="158"/>
      <c r="S27" s="158"/>
      <c r="T27" s="158"/>
      <c r="U27" s="158"/>
      <c r="V27" s="158"/>
      <c r="W27" s="158"/>
      <c r="X27" s="158"/>
      <c r="Y27" s="158"/>
      <c r="Z27" s="158"/>
    </row>
    <row r="28" spans="1:26" ht="12" customHeight="1">
      <c r="A28" s="147"/>
      <c r="B28" s="158"/>
      <c r="C28" s="158" t="s">
        <v>461</v>
      </c>
      <c r="D28" s="159">
        <f>+IF(D27&gt;10,10,D27)</f>
        <v>10</v>
      </c>
      <c r="E28" s="158"/>
      <c r="F28" s="158" t="s">
        <v>461</v>
      </c>
      <c r="G28" s="159">
        <f>+IF(G27&gt;10,10,G27)</f>
        <v>1</v>
      </c>
      <c r="H28" s="158"/>
      <c r="I28" s="158" t="s">
        <v>461</v>
      </c>
      <c r="J28" s="159">
        <f>+IF(J27&gt;10,10,J27)</f>
        <v>1</v>
      </c>
      <c r="K28" s="158"/>
      <c r="L28" s="158"/>
      <c r="M28" s="158"/>
      <c r="N28" s="158"/>
      <c r="O28" s="158"/>
      <c r="P28" s="158"/>
      <c r="Q28" s="158"/>
      <c r="R28" s="158"/>
      <c r="S28" s="158"/>
      <c r="T28" s="158"/>
      <c r="U28" s="158"/>
      <c r="V28" s="158"/>
      <c r="W28" s="158"/>
      <c r="X28" s="158"/>
      <c r="Y28" s="158"/>
      <c r="Z28" s="158"/>
    </row>
    <row r="29" spans="1:26" ht="12" customHeight="1">
      <c r="A29" s="147"/>
      <c r="B29" s="158"/>
      <c r="C29" s="158"/>
      <c r="D29" s="158"/>
      <c r="E29" s="158"/>
      <c r="F29" s="158"/>
      <c r="G29" s="158"/>
      <c r="H29" s="158"/>
      <c r="I29" s="158"/>
      <c r="J29" s="158"/>
      <c r="K29" s="158"/>
      <c r="L29" s="158"/>
      <c r="M29" s="158"/>
      <c r="N29" s="158"/>
      <c r="O29" s="158"/>
      <c r="P29" s="158"/>
      <c r="Q29" s="158"/>
      <c r="R29" s="158"/>
      <c r="S29" s="158"/>
      <c r="T29" s="158"/>
      <c r="U29" s="158"/>
      <c r="V29" s="158"/>
      <c r="W29" s="158"/>
      <c r="X29" s="158"/>
      <c r="Y29" s="158"/>
      <c r="Z29" s="158"/>
    </row>
    <row r="30" spans="1:26" ht="12" customHeight="1">
      <c r="A30" s="147"/>
      <c r="B30" s="158"/>
      <c r="C30" s="158"/>
      <c r="D30" s="158"/>
      <c r="E30" s="158"/>
      <c r="F30" s="158"/>
      <c r="G30" s="158"/>
      <c r="H30" s="158"/>
      <c r="I30" s="158"/>
      <c r="J30" s="158"/>
      <c r="K30" s="158"/>
      <c r="L30" s="158"/>
      <c r="M30" s="158"/>
      <c r="N30" s="158"/>
      <c r="O30" s="158"/>
      <c r="P30" s="158"/>
      <c r="Q30" s="158"/>
      <c r="R30" s="158"/>
      <c r="S30" s="158"/>
      <c r="T30" s="158"/>
      <c r="U30" s="158"/>
      <c r="V30" s="158"/>
      <c r="W30" s="158"/>
      <c r="X30" s="158"/>
      <c r="Y30" s="158"/>
      <c r="Z30" s="158"/>
    </row>
    <row r="31" spans="1:26" ht="12" customHeight="1">
      <c r="A31" s="147"/>
      <c r="B31" s="158"/>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row>
    <row r="32" spans="1:26" ht="12" customHeight="1">
      <c r="A32" s="147"/>
      <c r="B32" s="158"/>
      <c r="C32" s="158"/>
      <c r="D32" s="158"/>
      <c r="E32" s="158"/>
      <c r="F32" s="158"/>
      <c r="G32" s="158"/>
      <c r="H32" s="158"/>
      <c r="I32" s="158"/>
      <c r="J32" s="158"/>
      <c r="K32" s="158"/>
      <c r="L32" s="158"/>
      <c r="M32" s="158"/>
      <c r="N32" s="158"/>
      <c r="O32" s="158"/>
      <c r="P32" s="158"/>
      <c r="Q32" s="158"/>
      <c r="R32" s="158"/>
      <c r="S32" s="158"/>
      <c r="T32" s="158"/>
      <c r="U32" s="158"/>
      <c r="V32" s="158"/>
      <c r="W32" s="158"/>
      <c r="X32" s="158"/>
      <c r="Y32" s="158"/>
      <c r="Z32" s="158"/>
    </row>
    <row r="33" spans="1:26" ht="12" customHeight="1">
      <c r="A33" s="147"/>
      <c r="B33" s="158"/>
      <c r="C33" s="158"/>
      <c r="D33" s="158"/>
      <c r="E33" s="158"/>
      <c r="F33" s="158"/>
      <c r="G33" s="158"/>
      <c r="H33" s="158"/>
      <c r="I33" s="158"/>
      <c r="J33" s="158"/>
      <c r="K33" s="158"/>
      <c r="L33" s="158"/>
      <c r="M33" s="158"/>
      <c r="N33" s="158"/>
      <c r="O33" s="158"/>
      <c r="P33" s="158"/>
      <c r="Q33" s="158"/>
      <c r="R33" s="158"/>
      <c r="S33" s="158"/>
      <c r="T33" s="158"/>
      <c r="U33" s="158"/>
      <c r="V33" s="158"/>
      <c r="W33" s="158"/>
      <c r="X33" s="158"/>
      <c r="Y33" s="158"/>
      <c r="Z33" s="158"/>
    </row>
    <row r="34" spans="1:26" ht="12" customHeight="1">
      <c r="A34" s="147"/>
      <c r="B34" s="158"/>
      <c r="C34" s="158"/>
      <c r="D34" s="158"/>
      <c r="E34" s="158"/>
      <c r="F34" s="158"/>
      <c r="G34" s="158"/>
      <c r="H34" s="158"/>
      <c r="I34" s="158"/>
      <c r="J34" s="158"/>
      <c r="K34" s="158"/>
      <c r="L34" s="158"/>
      <c r="M34" s="158"/>
      <c r="N34" s="158"/>
      <c r="O34" s="158"/>
      <c r="P34" s="158"/>
      <c r="Q34" s="158"/>
      <c r="R34" s="158"/>
      <c r="S34" s="158"/>
      <c r="T34" s="158"/>
      <c r="U34" s="158"/>
      <c r="V34" s="158"/>
      <c r="W34" s="158"/>
      <c r="X34" s="158"/>
      <c r="Y34" s="158"/>
      <c r="Z34" s="158"/>
    </row>
    <row r="35" spans="1:26" ht="12" customHeight="1">
      <c r="A35" s="147"/>
      <c r="B35" s="158"/>
      <c r="C35" s="158"/>
      <c r="D35" s="158"/>
      <c r="E35" s="158"/>
      <c r="F35" s="158"/>
      <c r="G35" s="158"/>
      <c r="H35" s="158"/>
      <c r="I35" s="158"/>
      <c r="J35" s="158"/>
      <c r="K35" s="158"/>
      <c r="L35" s="158"/>
      <c r="M35" s="158"/>
      <c r="N35" s="158"/>
      <c r="O35" s="158"/>
      <c r="P35" s="158"/>
      <c r="Q35" s="158"/>
      <c r="R35" s="158"/>
      <c r="S35" s="158"/>
      <c r="T35" s="158"/>
      <c r="U35" s="158"/>
      <c r="V35" s="158"/>
      <c r="W35" s="158"/>
      <c r="X35" s="158"/>
      <c r="Y35" s="158"/>
      <c r="Z35" s="158"/>
    </row>
    <row r="36" spans="1:26" ht="12" customHeight="1">
      <c r="A36" s="147"/>
      <c r="B36" s="158"/>
      <c r="C36" s="158"/>
      <c r="D36" s="158"/>
      <c r="E36" s="158"/>
      <c r="F36" s="158"/>
      <c r="G36" s="158"/>
      <c r="H36" s="158"/>
      <c r="I36" s="158"/>
      <c r="J36" s="158"/>
      <c r="K36" s="158"/>
      <c r="L36" s="158"/>
      <c r="M36" s="158"/>
      <c r="N36" s="158"/>
      <c r="O36" s="158"/>
      <c r="P36" s="158"/>
      <c r="Q36" s="158"/>
      <c r="R36" s="158"/>
      <c r="S36" s="158"/>
      <c r="T36" s="158"/>
      <c r="U36" s="158"/>
      <c r="V36" s="158"/>
      <c r="W36" s="158"/>
      <c r="X36" s="158"/>
      <c r="Y36" s="158"/>
      <c r="Z36" s="158"/>
    </row>
    <row r="37" spans="1:26" ht="12" customHeight="1">
      <c r="A37" s="147"/>
      <c r="B37" s="158"/>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row>
    <row r="38" spans="1:26" ht="12" customHeight="1">
      <c r="A38" s="147"/>
      <c r="B38" s="158"/>
      <c r="C38" s="158"/>
      <c r="D38" s="158"/>
      <c r="E38" s="158"/>
      <c r="F38" s="158"/>
      <c r="G38" s="158"/>
      <c r="H38" s="158"/>
      <c r="I38" s="158"/>
      <c r="J38" s="158"/>
      <c r="K38" s="158"/>
      <c r="L38" s="158"/>
      <c r="M38" s="158"/>
      <c r="N38" s="158"/>
      <c r="O38" s="158"/>
      <c r="P38" s="158"/>
      <c r="Q38" s="158"/>
      <c r="R38" s="158"/>
      <c r="S38" s="158"/>
      <c r="T38" s="158"/>
      <c r="U38" s="158"/>
      <c r="V38" s="158"/>
      <c r="W38" s="158"/>
      <c r="X38" s="158"/>
      <c r="Y38" s="158"/>
      <c r="Z38" s="158"/>
    </row>
    <row r="39" spans="1:26" ht="12" customHeight="1">
      <c r="A39" s="147"/>
      <c r="B39" s="158"/>
      <c r="C39" s="158"/>
      <c r="D39" s="158"/>
      <c r="E39" s="158"/>
      <c r="F39" s="158"/>
      <c r="G39" s="158"/>
      <c r="H39" s="158"/>
      <c r="I39" s="158"/>
      <c r="J39" s="158"/>
      <c r="K39" s="158"/>
      <c r="L39" s="158"/>
      <c r="M39" s="158"/>
      <c r="N39" s="158"/>
      <c r="O39" s="158"/>
      <c r="P39" s="158"/>
      <c r="Q39" s="158"/>
      <c r="R39" s="158"/>
      <c r="S39" s="158"/>
      <c r="T39" s="158"/>
      <c r="U39" s="158"/>
      <c r="V39" s="158"/>
      <c r="W39" s="158"/>
      <c r="X39" s="158"/>
      <c r="Y39" s="158"/>
      <c r="Z39" s="158"/>
    </row>
    <row r="40" spans="1:26" ht="12" customHeight="1">
      <c r="A40" s="147"/>
      <c r="B40" s="158"/>
      <c r="C40" s="158"/>
      <c r="D40" s="158"/>
      <c r="E40" s="158"/>
      <c r="F40" s="158"/>
      <c r="G40" s="158"/>
      <c r="H40" s="158"/>
      <c r="I40" s="158"/>
      <c r="J40" s="158"/>
      <c r="K40" s="158"/>
      <c r="L40" s="158"/>
      <c r="M40" s="158"/>
      <c r="N40" s="158"/>
      <c r="O40" s="158"/>
      <c r="P40" s="158"/>
      <c r="Q40" s="158"/>
      <c r="R40" s="158"/>
      <c r="S40" s="158"/>
      <c r="T40" s="158"/>
      <c r="U40" s="158"/>
      <c r="V40" s="158"/>
      <c r="W40" s="158"/>
      <c r="X40" s="158"/>
      <c r="Y40" s="158"/>
      <c r="Z40" s="158"/>
    </row>
    <row r="41" spans="1:26" ht="12" customHeight="1">
      <c r="A41" s="147"/>
      <c r="B41" s="158"/>
      <c r="C41" s="158"/>
      <c r="D41" s="158"/>
      <c r="E41" s="158"/>
      <c r="F41" s="158"/>
      <c r="G41" s="158"/>
      <c r="H41" s="158"/>
      <c r="I41" s="158"/>
      <c r="J41" s="158"/>
      <c r="K41" s="158"/>
      <c r="L41" s="158"/>
      <c r="M41" s="158"/>
      <c r="N41" s="158"/>
      <c r="O41" s="158"/>
      <c r="P41" s="158"/>
      <c r="Q41" s="158"/>
      <c r="R41" s="158"/>
      <c r="S41" s="158"/>
      <c r="T41" s="158"/>
      <c r="U41" s="158"/>
      <c r="V41" s="158"/>
      <c r="W41" s="158"/>
      <c r="X41" s="158"/>
      <c r="Y41" s="158"/>
      <c r="Z41" s="158"/>
    </row>
    <row r="42" spans="1:26" ht="12" customHeight="1">
      <c r="A42" s="147"/>
      <c r="B42" s="158"/>
      <c r="C42" s="158"/>
      <c r="D42" s="158"/>
      <c r="E42" s="158"/>
      <c r="F42" s="158"/>
      <c r="G42" s="158"/>
      <c r="H42" s="158"/>
      <c r="I42" s="158"/>
      <c r="J42" s="158"/>
      <c r="K42" s="158"/>
      <c r="L42" s="158"/>
      <c r="M42" s="158"/>
      <c r="N42" s="158"/>
      <c r="O42" s="158"/>
      <c r="P42" s="158"/>
      <c r="Q42" s="158"/>
      <c r="R42" s="158"/>
      <c r="S42" s="158"/>
      <c r="T42" s="158"/>
      <c r="U42" s="158"/>
      <c r="V42" s="158"/>
      <c r="W42" s="158"/>
      <c r="X42" s="158"/>
      <c r="Y42" s="158"/>
      <c r="Z42" s="158"/>
    </row>
    <row r="43" spans="1:26" ht="12" customHeight="1">
      <c r="A43" s="147"/>
      <c r="B43" s="158"/>
      <c r="C43" s="158"/>
      <c r="D43" s="158"/>
      <c r="E43" s="158"/>
      <c r="F43" s="158"/>
      <c r="G43" s="158"/>
      <c r="H43" s="158"/>
      <c r="I43" s="158"/>
      <c r="J43" s="158"/>
      <c r="K43" s="158"/>
      <c r="L43" s="158"/>
      <c r="M43" s="158"/>
      <c r="N43" s="158"/>
      <c r="O43" s="158"/>
      <c r="P43" s="158"/>
      <c r="Q43" s="158"/>
      <c r="R43" s="158"/>
      <c r="S43" s="158"/>
      <c r="T43" s="158"/>
      <c r="U43" s="158"/>
      <c r="V43" s="158"/>
      <c r="W43" s="158"/>
      <c r="X43" s="158"/>
      <c r="Y43" s="158"/>
      <c r="Z43" s="158"/>
    </row>
    <row r="44" spans="1:26" ht="12" customHeight="1">
      <c r="A44" s="147"/>
      <c r="B44" s="158"/>
      <c r="C44" s="158"/>
      <c r="D44" s="158"/>
      <c r="E44" s="158"/>
      <c r="F44" s="158"/>
      <c r="G44" s="158"/>
      <c r="H44" s="158"/>
      <c r="I44" s="158"/>
      <c r="J44" s="158"/>
      <c r="K44" s="158"/>
      <c r="L44" s="158"/>
      <c r="M44" s="158"/>
      <c r="N44" s="158"/>
      <c r="O44" s="158"/>
      <c r="P44" s="158"/>
      <c r="Q44" s="158"/>
      <c r="R44" s="158"/>
      <c r="S44" s="158"/>
      <c r="T44" s="158"/>
      <c r="U44" s="158"/>
      <c r="V44" s="158"/>
      <c r="W44" s="158"/>
      <c r="X44" s="158"/>
      <c r="Y44" s="158"/>
      <c r="Z44" s="158"/>
    </row>
    <row r="45" spans="1:26" ht="12" customHeight="1">
      <c r="A45" s="147"/>
      <c r="B45" s="158"/>
      <c r="C45" s="158"/>
      <c r="D45" s="158"/>
      <c r="E45" s="158"/>
      <c r="F45" s="158"/>
      <c r="G45" s="158"/>
      <c r="H45" s="158"/>
      <c r="I45" s="158"/>
      <c r="J45" s="158"/>
      <c r="K45" s="158"/>
      <c r="L45" s="158"/>
      <c r="M45" s="158"/>
      <c r="N45" s="158"/>
      <c r="O45" s="158"/>
      <c r="P45" s="158"/>
      <c r="Q45" s="158"/>
      <c r="R45" s="158"/>
      <c r="S45" s="158"/>
      <c r="T45" s="158"/>
      <c r="U45" s="158"/>
      <c r="V45" s="158"/>
      <c r="W45" s="158"/>
      <c r="X45" s="158"/>
      <c r="Y45" s="158"/>
      <c r="Z45" s="158"/>
    </row>
    <row r="46" spans="1:26" ht="12" customHeight="1">
      <c r="A46" s="147"/>
      <c r="B46" s="158"/>
      <c r="C46" s="158"/>
      <c r="D46" s="158"/>
      <c r="E46" s="158"/>
      <c r="F46" s="158"/>
      <c r="G46" s="158"/>
      <c r="H46" s="158"/>
      <c r="I46" s="158"/>
      <c r="J46" s="158"/>
      <c r="K46" s="158"/>
      <c r="L46" s="158"/>
      <c r="M46" s="158"/>
      <c r="N46" s="158"/>
      <c r="O46" s="158"/>
      <c r="P46" s="158"/>
      <c r="Q46" s="158"/>
      <c r="R46" s="158"/>
      <c r="S46" s="158"/>
      <c r="T46" s="158"/>
      <c r="U46" s="158"/>
      <c r="V46" s="158"/>
      <c r="W46" s="158"/>
      <c r="X46" s="158"/>
      <c r="Y46" s="158"/>
      <c r="Z46" s="158"/>
    </row>
    <row r="47" spans="1:26" ht="12" customHeight="1">
      <c r="A47" s="147"/>
      <c r="B47" s="158"/>
      <c r="C47" s="158"/>
      <c r="D47" s="158"/>
      <c r="E47" s="158"/>
      <c r="F47" s="158"/>
      <c r="G47" s="158"/>
      <c r="H47" s="158"/>
      <c r="I47" s="158"/>
      <c r="J47" s="158"/>
      <c r="K47" s="158"/>
      <c r="L47" s="158"/>
      <c r="M47" s="158"/>
      <c r="N47" s="158"/>
      <c r="O47" s="158"/>
      <c r="P47" s="158"/>
      <c r="Q47" s="158"/>
      <c r="R47" s="158"/>
      <c r="S47" s="158"/>
      <c r="T47" s="158"/>
      <c r="U47" s="158"/>
      <c r="V47" s="158"/>
      <c r="W47" s="158"/>
      <c r="X47" s="158"/>
      <c r="Y47" s="158"/>
      <c r="Z47" s="158"/>
    </row>
    <row r="48" spans="1:26" ht="12" customHeight="1">
      <c r="A48" s="147"/>
      <c r="B48" s="158"/>
      <c r="C48" s="158"/>
      <c r="D48" s="158"/>
      <c r="E48" s="158"/>
      <c r="F48" s="158"/>
      <c r="G48" s="158"/>
      <c r="H48" s="158"/>
      <c r="I48" s="158"/>
      <c r="J48" s="158"/>
      <c r="K48" s="158"/>
      <c r="L48" s="158"/>
      <c r="M48" s="158"/>
      <c r="N48" s="158"/>
      <c r="O48" s="158"/>
      <c r="P48" s="158"/>
      <c r="Q48" s="158"/>
      <c r="R48" s="158"/>
      <c r="S48" s="158"/>
      <c r="T48" s="158"/>
      <c r="U48" s="158"/>
      <c r="V48" s="158"/>
      <c r="W48" s="158"/>
      <c r="X48" s="158"/>
      <c r="Y48" s="158"/>
      <c r="Z48" s="158"/>
    </row>
    <row r="49" spans="1:26" ht="12" customHeight="1">
      <c r="A49" s="147"/>
      <c r="B49" s="158"/>
      <c r="C49" s="158"/>
      <c r="D49" s="158"/>
      <c r="E49" s="158"/>
      <c r="F49" s="158"/>
      <c r="G49" s="158"/>
      <c r="H49" s="158"/>
      <c r="I49" s="158"/>
      <c r="J49" s="158"/>
      <c r="K49" s="158"/>
      <c r="L49" s="158"/>
      <c r="M49" s="158"/>
      <c r="N49" s="158"/>
      <c r="O49" s="158"/>
      <c r="P49" s="158"/>
      <c r="Q49" s="158"/>
      <c r="R49" s="158"/>
      <c r="S49" s="158"/>
      <c r="T49" s="158"/>
      <c r="U49" s="158"/>
      <c r="V49" s="158"/>
      <c r="W49" s="158"/>
      <c r="X49" s="158"/>
      <c r="Y49" s="158"/>
      <c r="Z49" s="158"/>
    </row>
    <row r="50" spans="1:26" ht="12" customHeight="1">
      <c r="A50" s="147"/>
      <c r="B50" s="158"/>
      <c r="C50" s="158"/>
      <c r="D50" s="158"/>
      <c r="E50" s="158"/>
      <c r="F50" s="158"/>
      <c r="G50" s="158"/>
      <c r="H50" s="158"/>
      <c r="I50" s="158"/>
      <c r="J50" s="158"/>
      <c r="K50" s="158"/>
      <c r="L50" s="158"/>
      <c r="M50" s="158"/>
      <c r="N50" s="158"/>
      <c r="O50" s="158"/>
      <c r="P50" s="158"/>
      <c r="Q50" s="158"/>
      <c r="R50" s="158"/>
      <c r="S50" s="158"/>
      <c r="T50" s="158"/>
      <c r="U50" s="158"/>
      <c r="V50" s="158"/>
      <c r="W50" s="158"/>
      <c r="X50" s="158"/>
      <c r="Y50" s="158"/>
      <c r="Z50" s="158"/>
    </row>
    <row r="51" spans="1:26" ht="12" customHeight="1">
      <c r="A51" s="147"/>
      <c r="B51" s="158"/>
      <c r="C51" s="158"/>
      <c r="D51" s="158"/>
      <c r="E51" s="158"/>
      <c r="F51" s="158"/>
      <c r="G51" s="158"/>
      <c r="H51" s="158"/>
      <c r="I51" s="158"/>
      <c r="J51" s="158"/>
      <c r="K51" s="158"/>
      <c r="L51" s="158"/>
      <c r="M51" s="158"/>
      <c r="N51" s="158"/>
      <c r="O51" s="158"/>
      <c r="P51" s="158"/>
      <c r="Q51" s="158"/>
      <c r="R51" s="158"/>
      <c r="S51" s="158"/>
      <c r="T51" s="158"/>
      <c r="U51" s="158"/>
      <c r="V51" s="158"/>
      <c r="W51" s="158"/>
      <c r="X51" s="158"/>
      <c r="Y51" s="158"/>
      <c r="Z51" s="158"/>
    </row>
    <row r="52" spans="1:26" ht="12" customHeight="1">
      <c r="A52" s="147"/>
      <c r="B52" s="158"/>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row>
    <row r="53" spans="1:26" ht="12" customHeight="1">
      <c r="A53" s="147"/>
      <c r="B53" s="158"/>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row>
    <row r="54" spans="1:26" ht="12" customHeight="1">
      <c r="A54" s="147"/>
      <c r="B54" s="158"/>
      <c r="C54" s="158"/>
      <c r="D54" s="158"/>
      <c r="E54" s="158"/>
      <c r="F54" s="158"/>
      <c r="G54" s="158"/>
      <c r="H54" s="158"/>
      <c r="I54" s="158"/>
      <c r="J54" s="158"/>
      <c r="K54" s="158"/>
      <c r="L54" s="158"/>
      <c r="M54" s="158"/>
      <c r="N54" s="158"/>
      <c r="O54" s="158"/>
      <c r="P54" s="158"/>
      <c r="Q54" s="158"/>
      <c r="R54" s="158"/>
      <c r="S54" s="158"/>
      <c r="T54" s="158"/>
      <c r="U54" s="158"/>
      <c r="V54" s="158"/>
      <c r="W54" s="158"/>
      <c r="X54" s="158"/>
      <c r="Y54" s="158"/>
      <c r="Z54" s="158"/>
    </row>
    <row r="55" spans="1:26" ht="12" customHeight="1">
      <c r="A55" s="147"/>
      <c r="B55" s="158"/>
      <c r="C55" s="158"/>
      <c r="D55" s="158"/>
      <c r="E55" s="158"/>
      <c r="F55" s="158"/>
      <c r="G55" s="158"/>
      <c r="H55" s="158"/>
      <c r="I55" s="158"/>
      <c r="J55" s="158"/>
      <c r="K55" s="158"/>
      <c r="L55" s="158"/>
      <c r="M55" s="158"/>
      <c r="N55" s="158"/>
      <c r="O55" s="158"/>
      <c r="P55" s="158"/>
      <c r="Q55" s="158"/>
      <c r="R55" s="158"/>
      <c r="S55" s="158"/>
      <c r="T55" s="158"/>
      <c r="U55" s="158"/>
      <c r="V55" s="158"/>
      <c r="W55" s="158"/>
      <c r="X55" s="158"/>
      <c r="Y55" s="158"/>
      <c r="Z55" s="158"/>
    </row>
    <row r="56" spans="1:26" ht="12" customHeight="1">
      <c r="A56" s="147"/>
      <c r="B56" s="158"/>
      <c r="C56" s="158"/>
      <c r="D56" s="158"/>
      <c r="E56" s="158"/>
      <c r="F56" s="158"/>
      <c r="G56" s="158"/>
      <c r="H56" s="158"/>
      <c r="I56" s="158"/>
      <c r="J56" s="158"/>
      <c r="K56" s="158"/>
      <c r="L56" s="158"/>
      <c r="M56" s="158"/>
      <c r="N56" s="158"/>
      <c r="O56" s="158"/>
      <c r="P56" s="158"/>
      <c r="Q56" s="158"/>
      <c r="R56" s="158"/>
      <c r="S56" s="158"/>
      <c r="T56" s="158"/>
      <c r="U56" s="158"/>
      <c r="V56" s="158"/>
      <c r="W56" s="158"/>
      <c r="X56" s="158"/>
      <c r="Y56" s="158"/>
      <c r="Z56" s="158"/>
    </row>
    <row r="57" spans="1:26" ht="12" customHeight="1">
      <c r="A57" s="147"/>
      <c r="B57" s="158"/>
      <c r="C57" s="158"/>
      <c r="D57" s="158"/>
      <c r="E57" s="158"/>
      <c r="F57" s="158"/>
      <c r="G57" s="158"/>
      <c r="H57" s="158"/>
      <c r="I57" s="158"/>
      <c r="J57" s="158"/>
      <c r="K57" s="158"/>
      <c r="L57" s="158"/>
      <c r="M57" s="158"/>
      <c r="N57" s="158"/>
      <c r="O57" s="158"/>
      <c r="P57" s="158"/>
      <c r="Q57" s="158"/>
      <c r="R57" s="158"/>
      <c r="S57" s="158"/>
      <c r="T57" s="158"/>
      <c r="U57" s="158"/>
      <c r="V57" s="158"/>
      <c r="W57" s="158"/>
      <c r="X57" s="158"/>
      <c r="Y57" s="158"/>
      <c r="Z57" s="158"/>
    </row>
    <row r="58" spans="1:26" ht="12" customHeight="1">
      <c r="A58" s="147"/>
      <c r="B58" s="158"/>
      <c r="C58" s="158"/>
      <c r="D58" s="158"/>
      <c r="E58" s="158"/>
      <c r="F58" s="158"/>
      <c r="G58" s="158"/>
      <c r="H58" s="158"/>
      <c r="I58" s="158"/>
      <c r="J58" s="158"/>
      <c r="K58" s="158"/>
      <c r="L58" s="158"/>
      <c r="M58" s="158"/>
      <c r="N58" s="158"/>
      <c r="O58" s="158"/>
      <c r="P58" s="158"/>
      <c r="Q58" s="158"/>
      <c r="R58" s="158"/>
      <c r="S58" s="158"/>
      <c r="T58" s="158"/>
      <c r="U58" s="158"/>
      <c r="V58" s="158"/>
      <c r="W58" s="158"/>
      <c r="X58" s="158"/>
      <c r="Y58" s="158"/>
      <c r="Z58" s="158"/>
    </row>
    <row r="59" spans="1:26" ht="12" customHeight="1">
      <c r="A59" s="147"/>
      <c r="B59" s="158"/>
      <c r="C59" s="158"/>
      <c r="D59" s="158"/>
      <c r="E59" s="158"/>
      <c r="F59" s="158"/>
      <c r="G59" s="158"/>
      <c r="H59" s="158"/>
      <c r="I59" s="158"/>
      <c r="J59" s="158"/>
      <c r="K59" s="158"/>
      <c r="L59" s="158"/>
      <c r="M59" s="158"/>
      <c r="N59" s="158"/>
      <c r="O59" s="158"/>
      <c r="P59" s="158"/>
      <c r="Q59" s="158"/>
      <c r="R59" s="158"/>
      <c r="S59" s="158"/>
      <c r="T59" s="158"/>
      <c r="U59" s="158"/>
      <c r="V59" s="158"/>
      <c r="W59" s="158"/>
      <c r="X59" s="158"/>
      <c r="Y59" s="158"/>
      <c r="Z59" s="158"/>
    </row>
    <row r="60" spans="1:26" ht="12" customHeight="1">
      <c r="A60" s="147"/>
      <c r="B60" s="158"/>
      <c r="C60" s="158"/>
      <c r="D60" s="158"/>
      <c r="E60" s="158"/>
      <c r="F60" s="158"/>
      <c r="G60" s="158"/>
      <c r="H60" s="158"/>
      <c r="I60" s="158"/>
      <c r="J60" s="158"/>
      <c r="K60" s="158"/>
      <c r="L60" s="158"/>
      <c r="M60" s="158"/>
      <c r="N60" s="158"/>
      <c r="O60" s="158"/>
      <c r="P60" s="158"/>
      <c r="Q60" s="158"/>
      <c r="R60" s="158"/>
      <c r="S60" s="158"/>
      <c r="T60" s="158"/>
      <c r="U60" s="158"/>
      <c r="V60" s="158"/>
      <c r="W60" s="158"/>
      <c r="X60" s="158"/>
      <c r="Y60" s="158"/>
      <c r="Z60" s="158"/>
    </row>
    <row r="61" spans="1:26" ht="12" customHeight="1">
      <c r="A61" s="147"/>
      <c r="B61" s="158"/>
      <c r="C61" s="158"/>
      <c r="D61" s="158"/>
      <c r="E61" s="158"/>
      <c r="F61" s="158"/>
      <c r="G61" s="158"/>
      <c r="H61" s="158"/>
      <c r="I61" s="158"/>
      <c r="J61" s="158"/>
      <c r="K61" s="158"/>
      <c r="L61" s="158"/>
      <c r="M61" s="158"/>
      <c r="N61" s="158"/>
      <c r="O61" s="158"/>
      <c r="P61" s="158"/>
      <c r="Q61" s="158"/>
      <c r="R61" s="158"/>
      <c r="S61" s="158"/>
      <c r="T61" s="158"/>
      <c r="U61" s="158"/>
      <c r="V61" s="158"/>
      <c r="W61" s="158"/>
      <c r="X61" s="158"/>
      <c r="Y61" s="158"/>
      <c r="Z61" s="158"/>
    </row>
    <row r="62" spans="1:26" ht="12" customHeight="1">
      <c r="A62" s="147"/>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row>
    <row r="63" spans="1:26" ht="12" customHeight="1">
      <c r="A63" s="147"/>
      <c r="B63" s="158"/>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row>
    <row r="64" spans="1:26" ht="12" customHeight="1">
      <c r="A64" s="147"/>
      <c r="B64" s="158"/>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row>
    <row r="65" spans="1:26" ht="12" customHeight="1">
      <c r="A65" s="147"/>
      <c r="B65" s="158"/>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row>
    <row r="66" spans="1:26" ht="12" customHeight="1">
      <c r="A66" s="147"/>
      <c r="B66" s="158"/>
      <c r="C66" s="158"/>
      <c r="D66" s="158"/>
      <c r="E66" s="158"/>
      <c r="F66" s="158"/>
      <c r="G66" s="158"/>
      <c r="H66" s="158"/>
      <c r="I66" s="158"/>
      <c r="J66" s="158"/>
      <c r="K66" s="158"/>
      <c r="L66" s="158"/>
      <c r="M66" s="158"/>
      <c r="N66" s="158"/>
      <c r="O66" s="158"/>
      <c r="P66" s="158"/>
      <c r="Q66" s="158"/>
      <c r="R66" s="158"/>
      <c r="S66" s="158"/>
      <c r="T66" s="158"/>
      <c r="U66" s="158"/>
      <c r="V66" s="158"/>
      <c r="W66" s="158"/>
      <c r="X66" s="158"/>
      <c r="Y66" s="158"/>
      <c r="Z66" s="158"/>
    </row>
    <row r="67" spans="1:26" ht="12" customHeight="1">
      <c r="A67" s="147"/>
      <c r="B67" s="158"/>
      <c r="C67" s="158"/>
      <c r="D67" s="158"/>
      <c r="E67" s="158"/>
      <c r="F67" s="158"/>
      <c r="G67" s="158"/>
      <c r="H67" s="158"/>
      <c r="I67" s="158"/>
      <c r="J67" s="158"/>
      <c r="K67" s="158"/>
      <c r="L67" s="158"/>
      <c r="M67" s="158"/>
      <c r="N67" s="158"/>
      <c r="O67" s="158"/>
      <c r="P67" s="158"/>
      <c r="Q67" s="158"/>
      <c r="R67" s="158"/>
      <c r="S67" s="158"/>
      <c r="T67" s="158"/>
      <c r="U67" s="158"/>
      <c r="V67" s="158"/>
      <c r="W67" s="158"/>
      <c r="X67" s="158"/>
      <c r="Y67" s="158"/>
      <c r="Z67" s="158"/>
    </row>
    <row r="68" spans="1:26" ht="12" customHeight="1">
      <c r="A68" s="147"/>
      <c r="B68" s="158"/>
      <c r="C68" s="158"/>
      <c r="D68" s="158"/>
      <c r="E68" s="158"/>
      <c r="F68" s="158"/>
      <c r="G68" s="158"/>
      <c r="H68" s="158"/>
      <c r="I68" s="158"/>
      <c r="J68" s="158"/>
      <c r="K68" s="158"/>
      <c r="L68" s="158"/>
      <c r="M68" s="158"/>
      <c r="N68" s="158"/>
      <c r="O68" s="158"/>
      <c r="P68" s="158"/>
      <c r="Q68" s="158"/>
      <c r="R68" s="158"/>
      <c r="S68" s="158"/>
      <c r="T68" s="158"/>
      <c r="U68" s="158"/>
      <c r="V68" s="158"/>
      <c r="W68" s="158"/>
      <c r="X68" s="158"/>
      <c r="Y68" s="158"/>
      <c r="Z68" s="158"/>
    </row>
    <row r="69" spans="1:26" ht="12" customHeight="1">
      <c r="A69" s="147"/>
      <c r="B69" s="158"/>
      <c r="C69" s="158"/>
      <c r="D69" s="158"/>
      <c r="E69" s="158"/>
      <c r="F69" s="158"/>
      <c r="G69" s="158"/>
      <c r="H69" s="158"/>
      <c r="I69" s="158"/>
      <c r="J69" s="158"/>
      <c r="K69" s="158"/>
      <c r="L69" s="158"/>
      <c r="M69" s="158"/>
      <c r="N69" s="158"/>
      <c r="O69" s="158"/>
      <c r="P69" s="158"/>
      <c r="Q69" s="158"/>
      <c r="R69" s="158"/>
      <c r="S69" s="158"/>
      <c r="T69" s="158"/>
      <c r="U69" s="158"/>
      <c r="V69" s="158"/>
      <c r="W69" s="158"/>
      <c r="X69" s="158"/>
      <c r="Y69" s="158"/>
      <c r="Z69" s="158"/>
    </row>
    <row r="70" spans="1:26" ht="12" customHeight="1">
      <c r="A70" s="147"/>
      <c r="B70" s="158"/>
      <c r="C70" s="158"/>
      <c r="D70" s="158"/>
      <c r="E70" s="158"/>
      <c r="F70" s="158"/>
      <c r="G70" s="158"/>
      <c r="H70" s="158"/>
      <c r="I70" s="158"/>
      <c r="J70" s="158"/>
      <c r="K70" s="158"/>
      <c r="L70" s="158"/>
      <c r="M70" s="158"/>
      <c r="N70" s="158"/>
      <c r="O70" s="158"/>
      <c r="P70" s="158"/>
      <c r="Q70" s="158"/>
      <c r="R70" s="158"/>
      <c r="S70" s="158"/>
      <c r="T70" s="158"/>
      <c r="U70" s="158"/>
      <c r="V70" s="158"/>
      <c r="W70" s="158"/>
      <c r="X70" s="158"/>
      <c r="Y70" s="158"/>
      <c r="Z70" s="158"/>
    </row>
    <row r="71" spans="1:26" ht="12" customHeight="1">
      <c r="A71" s="147"/>
      <c r="B71" s="158"/>
      <c r="C71" s="158"/>
      <c r="D71" s="158"/>
      <c r="E71" s="158"/>
      <c r="F71" s="158"/>
      <c r="G71" s="158"/>
      <c r="H71" s="158"/>
      <c r="I71" s="158"/>
      <c r="J71" s="158"/>
      <c r="K71" s="158"/>
      <c r="L71" s="158"/>
      <c r="M71" s="158"/>
      <c r="N71" s="158"/>
      <c r="O71" s="158"/>
      <c r="P71" s="158"/>
      <c r="Q71" s="158"/>
      <c r="R71" s="158"/>
      <c r="S71" s="158"/>
      <c r="T71" s="158"/>
      <c r="U71" s="158"/>
      <c r="V71" s="158"/>
      <c r="W71" s="158"/>
      <c r="X71" s="158"/>
      <c r="Y71" s="158"/>
      <c r="Z71" s="158"/>
    </row>
    <row r="72" spans="1:26" ht="12" customHeight="1">
      <c r="A72" s="147"/>
      <c r="B72" s="158"/>
      <c r="C72" s="158"/>
      <c r="D72" s="158"/>
      <c r="E72" s="158"/>
      <c r="F72" s="158"/>
      <c r="G72" s="158"/>
      <c r="H72" s="158"/>
      <c r="I72" s="158"/>
      <c r="J72" s="158"/>
      <c r="K72" s="158"/>
      <c r="L72" s="158"/>
      <c r="M72" s="158"/>
      <c r="N72" s="158"/>
      <c r="O72" s="158"/>
      <c r="P72" s="158"/>
      <c r="Q72" s="158"/>
      <c r="R72" s="158"/>
      <c r="S72" s="158"/>
      <c r="T72" s="158"/>
      <c r="U72" s="158"/>
      <c r="V72" s="158"/>
      <c r="W72" s="158"/>
      <c r="X72" s="158"/>
      <c r="Y72" s="158"/>
      <c r="Z72" s="158"/>
    </row>
    <row r="73" spans="1:26" ht="12" customHeight="1">
      <c r="A73" s="147"/>
      <c r="B73" s="158"/>
      <c r="C73" s="158"/>
      <c r="D73" s="158"/>
      <c r="E73" s="158"/>
      <c r="F73" s="158"/>
      <c r="G73" s="158"/>
      <c r="H73" s="158"/>
      <c r="I73" s="158"/>
      <c r="J73" s="158"/>
      <c r="K73" s="158"/>
      <c r="L73" s="158"/>
      <c r="M73" s="158"/>
      <c r="N73" s="158"/>
      <c r="O73" s="158"/>
      <c r="P73" s="158"/>
      <c r="Q73" s="158"/>
      <c r="R73" s="158"/>
      <c r="S73" s="158"/>
      <c r="T73" s="158"/>
      <c r="U73" s="158"/>
      <c r="V73" s="158"/>
      <c r="W73" s="158"/>
      <c r="X73" s="158"/>
      <c r="Y73" s="158"/>
      <c r="Z73" s="158"/>
    </row>
    <row r="74" spans="1:26" ht="12" customHeight="1">
      <c r="A74" s="147"/>
      <c r="B74" s="158"/>
      <c r="C74" s="158"/>
      <c r="D74" s="158"/>
      <c r="E74" s="158"/>
      <c r="F74" s="158"/>
      <c r="G74" s="158"/>
      <c r="H74" s="158"/>
      <c r="I74" s="158"/>
      <c r="J74" s="158"/>
      <c r="K74" s="158"/>
      <c r="L74" s="158"/>
      <c r="M74" s="158"/>
      <c r="N74" s="158"/>
      <c r="O74" s="158"/>
      <c r="P74" s="158"/>
      <c r="Q74" s="158"/>
      <c r="R74" s="158"/>
      <c r="S74" s="158"/>
      <c r="T74" s="158"/>
      <c r="U74" s="158"/>
      <c r="V74" s="158"/>
      <c r="W74" s="158"/>
      <c r="X74" s="158"/>
      <c r="Y74" s="158"/>
      <c r="Z74" s="158"/>
    </row>
    <row r="75" spans="1:26" ht="12" customHeight="1">
      <c r="A75" s="147"/>
      <c r="B75" s="158"/>
      <c r="C75" s="158"/>
      <c r="D75" s="158"/>
      <c r="E75" s="158"/>
      <c r="F75" s="158"/>
      <c r="G75" s="158"/>
      <c r="H75" s="158"/>
      <c r="I75" s="158"/>
      <c r="J75" s="158"/>
      <c r="K75" s="158"/>
      <c r="L75" s="158"/>
      <c r="M75" s="158"/>
      <c r="N75" s="158"/>
      <c r="O75" s="158"/>
      <c r="P75" s="158"/>
      <c r="Q75" s="158"/>
      <c r="R75" s="158"/>
      <c r="S75" s="158"/>
      <c r="T75" s="158"/>
      <c r="U75" s="158"/>
      <c r="V75" s="158"/>
      <c r="W75" s="158"/>
      <c r="X75" s="158"/>
      <c r="Y75" s="158"/>
      <c r="Z75" s="158"/>
    </row>
    <row r="76" spans="1:26" ht="12" customHeight="1">
      <c r="A76" s="147"/>
      <c r="B76" s="158"/>
      <c r="C76" s="158"/>
      <c r="D76" s="158"/>
      <c r="E76" s="158"/>
      <c r="F76" s="158"/>
      <c r="G76" s="158"/>
      <c r="H76" s="158"/>
      <c r="I76" s="158"/>
      <c r="J76" s="158"/>
      <c r="K76" s="158"/>
      <c r="L76" s="158"/>
      <c r="M76" s="158"/>
      <c r="N76" s="158"/>
      <c r="O76" s="158"/>
      <c r="P76" s="158"/>
      <c r="Q76" s="158"/>
      <c r="R76" s="158"/>
      <c r="S76" s="158"/>
      <c r="T76" s="158"/>
      <c r="U76" s="158"/>
      <c r="V76" s="158"/>
      <c r="W76" s="158"/>
      <c r="X76" s="158"/>
      <c r="Y76" s="158"/>
      <c r="Z76" s="158"/>
    </row>
    <row r="77" spans="1:26" ht="12" customHeight="1">
      <c r="A77" s="147"/>
      <c r="B77" s="158"/>
      <c r="C77" s="158"/>
      <c r="D77" s="158"/>
      <c r="E77" s="158"/>
      <c r="F77" s="158"/>
      <c r="G77" s="158"/>
      <c r="H77" s="158"/>
      <c r="I77" s="158"/>
      <c r="J77" s="158"/>
      <c r="K77" s="158"/>
      <c r="L77" s="158"/>
      <c r="M77" s="158"/>
      <c r="N77" s="158"/>
      <c r="O77" s="158"/>
      <c r="P77" s="158"/>
      <c r="Q77" s="158"/>
      <c r="R77" s="158"/>
      <c r="S77" s="158"/>
      <c r="T77" s="158"/>
      <c r="U77" s="158"/>
      <c r="V77" s="158"/>
      <c r="W77" s="158"/>
      <c r="X77" s="158"/>
      <c r="Y77" s="158"/>
      <c r="Z77" s="158"/>
    </row>
    <row r="78" spans="1:26" ht="12" customHeight="1">
      <c r="A78" s="147"/>
      <c r="B78" s="158"/>
      <c r="C78" s="158"/>
      <c r="D78" s="158"/>
      <c r="E78" s="158"/>
      <c r="F78" s="158"/>
      <c r="G78" s="158"/>
      <c r="H78" s="158"/>
      <c r="I78" s="158"/>
      <c r="J78" s="158"/>
      <c r="K78" s="158"/>
      <c r="L78" s="158"/>
      <c r="M78" s="158"/>
      <c r="N78" s="158"/>
      <c r="O78" s="158"/>
      <c r="P78" s="158"/>
      <c r="Q78" s="158"/>
      <c r="R78" s="158"/>
      <c r="S78" s="158"/>
      <c r="T78" s="158"/>
      <c r="U78" s="158"/>
      <c r="V78" s="158"/>
      <c r="W78" s="158"/>
      <c r="X78" s="158"/>
      <c r="Y78" s="158"/>
      <c r="Z78" s="158"/>
    </row>
    <row r="79" spans="1:26" ht="12" customHeight="1">
      <c r="A79" s="147"/>
      <c r="B79" s="158"/>
      <c r="C79" s="158"/>
      <c r="D79" s="158"/>
      <c r="E79" s="158"/>
      <c r="F79" s="158"/>
      <c r="G79" s="158"/>
      <c r="H79" s="158"/>
      <c r="I79" s="158"/>
      <c r="J79" s="158"/>
      <c r="K79" s="158"/>
      <c r="L79" s="158"/>
      <c r="M79" s="158"/>
      <c r="N79" s="158"/>
      <c r="O79" s="158"/>
      <c r="P79" s="158"/>
      <c r="Q79" s="158"/>
      <c r="R79" s="158"/>
      <c r="S79" s="158"/>
      <c r="T79" s="158"/>
      <c r="U79" s="158"/>
      <c r="V79" s="158"/>
      <c r="W79" s="158"/>
      <c r="X79" s="158"/>
      <c r="Y79" s="158"/>
      <c r="Z79" s="158"/>
    </row>
    <row r="80" spans="1:26" ht="12" customHeight="1">
      <c r="A80" s="147"/>
      <c r="B80" s="158"/>
      <c r="C80" s="158"/>
      <c r="D80" s="158"/>
      <c r="E80" s="158"/>
      <c r="F80" s="158"/>
      <c r="G80" s="158"/>
      <c r="H80" s="158"/>
      <c r="I80" s="158"/>
      <c r="J80" s="158"/>
      <c r="K80" s="158"/>
      <c r="L80" s="158"/>
      <c r="M80" s="158"/>
      <c r="N80" s="158"/>
      <c r="O80" s="158"/>
      <c r="P80" s="158"/>
      <c r="Q80" s="158"/>
      <c r="R80" s="158"/>
      <c r="S80" s="158"/>
      <c r="T80" s="158"/>
      <c r="U80" s="158"/>
      <c r="V80" s="158"/>
      <c r="W80" s="158"/>
      <c r="X80" s="158"/>
      <c r="Y80" s="158"/>
      <c r="Z80" s="158"/>
    </row>
    <row r="81" spans="1:26" ht="12" customHeight="1">
      <c r="A81" s="147"/>
      <c r="B81" s="158"/>
      <c r="C81" s="158"/>
      <c r="D81" s="158"/>
      <c r="E81" s="158"/>
      <c r="F81" s="158"/>
      <c r="G81" s="158"/>
      <c r="H81" s="158"/>
      <c r="I81" s="158"/>
      <c r="J81" s="158"/>
      <c r="K81" s="158"/>
      <c r="L81" s="158"/>
      <c r="M81" s="158"/>
      <c r="N81" s="158"/>
      <c r="O81" s="158"/>
      <c r="P81" s="158"/>
      <c r="Q81" s="158"/>
      <c r="R81" s="158"/>
      <c r="S81" s="158"/>
      <c r="T81" s="158"/>
      <c r="U81" s="158"/>
      <c r="V81" s="158"/>
      <c r="W81" s="158"/>
      <c r="X81" s="158"/>
      <c r="Y81" s="158"/>
      <c r="Z81" s="158"/>
    </row>
    <row r="82" spans="1:26" ht="12" customHeight="1">
      <c r="A82" s="147"/>
      <c r="B82" s="158"/>
      <c r="C82" s="158"/>
      <c r="D82" s="158"/>
      <c r="E82" s="158"/>
      <c r="F82" s="158"/>
      <c r="G82" s="158"/>
      <c r="H82" s="158"/>
      <c r="I82" s="158"/>
      <c r="J82" s="158"/>
      <c r="K82" s="158"/>
      <c r="L82" s="158"/>
      <c r="M82" s="158"/>
      <c r="N82" s="158"/>
      <c r="O82" s="158"/>
      <c r="P82" s="158"/>
      <c r="Q82" s="158"/>
      <c r="R82" s="158"/>
      <c r="S82" s="158"/>
      <c r="T82" s="158"/>
      <c r="U82" s="158"/>
      <c r="V82" s="158"/>
      <c r="W82" s="158"/>
      <c r="X82" s="158"/>
      <c r="Y82" s="158"/>
      <c r="Z82" s="158"/>
    </row>
    <row r="83" spans="1:26" ht="12" customHeight="1">
      <c r="A83" s="147"/>
      <c r="B83" s="158"/>
      <c r="C83" s="158"/>
      <c r="D83" s="158"/>
      <c r="E83" s="158"/>
      <c r="F83" s="158"/>
      <c r="G83" s="158"/>
      <c r="H83" s="158"/>
      <c r="I83" s="158"/>
      <c r="J83" s="158"/>
      <c r="K83" s="158"/>
      <c r="L83" s="158"/>
      <c r="M83" s="158"/>
      <c r="N83" s="158"/>
      <c r="O83" s="158"/>
      <c r="P83" s="158"/>
      <c r="Q83" s="158"/>
      <c r="R83" s="158"/>
      <c r="S83" s="158"/>
      <c r="T83" s="158"/>
      <c r="U83" s="158"/>
      <c r="V83" s="158"/>
      <c r="W83" s="158"/>
      <c r="X83" s="158"/>
      <c r="Y83" s="158"/>
      <c r="Z83" s="158"/>
    </row>
    <row r="84" spans="1:26" ht="12" customHeight="1">
      <c r="A84" s="147"/>
      <c r="B84" s="158"/>
      <c r="C84" s="158"/>
      <c r="D84" s="158"/>
      <c r="E84" s="158"/>
      <c r="F84" s="158"/>
      <c r="G84" s="158"/>
      <c r="H84" s="158"/>
      <c r="I84" s="158"/>
      <c r="J84" s="158"/>
      <c r="K84" s="158"/>
      <c r="L84" s="158"/>
      <c r="M84" s="158"/>
      <c r="N84" s="158"/>
      <c r="O84" s="158"/>
      <c r="P84" s="158"/>
      <c r="Q84" s="158"/>
      <c r="R84" s="158"/>
      <c r="S84" s="158"/>
      <c r="T84" s="158"/>
      <c r="U84" s="158"/>
      <c r="V84" s="158"/>
      <c r="W84" s="158"/>
      <c r="X84" s="158"/>
      <c r="Y84" s="158"/>
      <c r="Z84" s="158"/>
    </row>
    <row r="85" spans="1:26" ht="12" customHeight="1">
      <c r="A85" s="147"/>
      <c r="B85" s="158"/>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row>
    <row r="86" spans="1:26" ht="12" customHeight="1">
      <c r="A86" s="147"/>
      <c r="B86" s="158"/>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row>
    <row r="87" spans="1:26" ht="12" customHeight="1">
      <c r="A87" s="147"/>
      <c r="B87" s="158"/>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row>
    <row r="88" spans="1:26" ht="12" customHeight="1">
      <c r="A88" s="147"/>
      <c r="B88" s="158"/>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row>
    <row r="89" spans="1:26" ht="12" customHeight="1">
      <c r="A89" s="147"/>
      <c r="B89" s="158"/>
      <c r="C89" s="158"/>
      <c r="D89" s="158"/>
      <c r="E89" s="158"/>
      <c r="F89" s="158"/>
      <c r="G89" s="158"/>
      <c r="H89" s="158"/>
      <c r="I89" s="158"/>
      <c r="J89" s="158"/>
      <c r="K89" s="158"/>
      <c r="L89" s="158"/>
      <c r="M89" s="158"/>
      <c r="N89" s="158"/>
      <c r="O89" s="158"/>
      <c r="P89" s="158"/>
      <c r="Q89" s="158"/>
      <c r="R89" s="158"/>
      <c r="S89" s="158"/>
      <c r="T89" s="158"/>
      <c r="U89" s="158"/>
      <c r="V89" s="158"/>
      <c r="W89" s="158"/>
      <c r="X89" s="158"/>
      <c r="Y89" s="158"/>
      <c r="Z89" s="158"/>
    </row>
    <row r="90" spans="1:26" ht="12" customHeight="1">
      <c r="A90" s="147"/>
      <c r="B90" s="158"/>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row>
    <row r="91" spans="1:26" ht="12" customHeight="1">
      <c r="A91" s="147"/>
      <c r="B91" s="158"/>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row>
    <row r="92" spans="1:26" ht="12" customHeight="1">
      <c r="A92" s="147"/>
      <c r="B92" s="158"/>
      <c r="C92" s="158"/>
      <c r="D92" s="158"/>
      <c r="E92" s="158"/>
      <c r="F92" s="158"/>
      <c r="G92" s="158"/>
      <c r="H92" s="158"/>
      <c r="I92" s="158"/>
      <c r="J92" s="158"/>
      <c r="K92" s="158"/>
      <c r="L92" s="158"/>
      <c r="M92" s="158"/>
      <c r="N92" s="158"/>
      <c r="O92" s="158"/>
      <c r="P92" s="158"/>
      <c r="Q92" s="158"/>
      <c r="R92" s="158"/>
      <c r="S92" s="158"/>
      <c r="T92" s="158"/>
      <c r="U92" s="158"/>
      <c r="V92" s="158"/>
      <c r="W92" s="158"/>
      <c r="X92" s="158"/>
      <c r="Y92" s="158"/>
      <c r="Z92" s="158"/>
    </row>
    <row r="93" spans="1:26" ht="12" customHeight="1">
      <c r="A93" s="147"/>
      <c r="B93" s="158"/>
      <c r="C93" s="158"/>
      <c r="D93" s="158"/>
      <c r="E93" s="158"/>
      <c r="F93" s="158"/>
      <c r="G93" s="158"/>
      <c r="H93" s="158"/>
      <c r="I93" s="158"/>
      <c r="J93" s="158"/>
      <c r="K93" s="158"/>
      <c r="L93" s="158"/>
      <c r="M93" s="158"/>
      <c r="N93" s="158"/>
      <c r="O93" s="158"/>
      <c r="P93" s="158"/>
      <c r="Q93" s="158"/>
      <c r="R93" s="158"/>
      <c r="S93" s="158"/>
      <c r="T93" s="158"/>
      <c r="U93" s="158"/>
      <c r="V93" s="158"/>
      <c r="W93" s="158"/>
      <c r="X93" s="158"/>
      <c r="Y93" s="158"/>
      <c r="Z93" s="158"/>
    </row>
    <row r="94" spans="1:26" ht="12" customHeight="1">
      <c r="A94" s="147"/>
      <c r="B94" s="158"/>
      <c r="C94" s="158"/>
      <c r="D94" s="158"/>
      <c r="E94" s="158"/>
      <c r="F94" s="158"/>
      <c r="G94" s="158"/>
      <c r="H94" s="158"/>
      <c r="I94" s="158"/>
      <c r="J94" s="158"/>
      <c r="K94" s="158"/>
      <c r="L94" s="158"/>
      <c r="M94" s="158"/>
      <c r="N94" s="158"/>
      <c r="O94" s="158"/>
      <c r="P94" s="158"/>
      <c r="Q94" s="158"/>
      <c r="R94" s="158"/>
      <c r="S94" s="158"/>
      <c r="T94" s="158"/>
      <c r="U94" s="158"/>
      <c r="V94" s="158"/>
      <c r="W94" s="158"/>
      <c r="X94" s="158"/>
      <c r="Y94" s="158"/>
      <c r="Z94" s="158"/>
    </row>
    <row r="95" spans="1:26" ht="12" customHeight="1">
      <c r="A95" s="147"/>
      <c r="B95" s="158"/>
      <c r="C95" s="158"/>
      <c r="D95" s="158"/>
      <c r="E95" s="158"/>
      <c r="F95" s="158"/>
      <c r="G95" s="158"/>
      <c r="H95" s="158"/>
      <c r="I95" s="158"/>
      <c r="J95" s="158"/>
      <c r="K95" s="158"/>
      <c r="L95" s="158"/>
      <c r="M95" s="158"/>
      <c r="N95" s="158"/>
      <c r="O95" s="158"/>
      <c r="P95" s="158"/>
      <c r="Q95" s="158"/>
      <c r="R95" s="158"/>
      <c r="S95" s="158"/>
      <c r="T95" s="158"/>
      <c r="U95" s="158"/>
      <c r="V95" s="158"/>
      <c r="W95" s="158"/>
      <c r="X95" s="158"/>
      <c r="Y95" s="158"/>
      <c r="Z95" s="158"/>
    </row>
    <row r="96" spans="1:26" ht="12" customHeight="1">
      <c r="A96" s="147"/>
      <c r="B96" s="158"/>
      <c r="C96" s="158"/>
      <c r="D96" s="158"/>
      <c r="E96" s="158"/>
      <c r="F96" s="158"/>
      <c r="G96" s="158"/>
      <c r="H96" s="158"/>
      <c r="I96" s="158"/>
      <c r="J96" s="158"/>
      <c r="K96" s="158"/>
      <c r="L96" s="158"/>
      <c r="M96" s="158"/>
      <c r="N96" s="158"/>
      <c r="O96" s="158"/>
      <c r="P96" s="158"/>
      <c r="Q96" s="158"/>
      <c r="R96" s="158"/>
      <c r="S96" s="158"/>
      <c r="T96" s="158"/>
      <c r="U96" s="158"/>
      <c r="V96" s="158"/>
      <c r="W96" s="158"/>
      <c r="X96" s="158"/>
      <c r="Y96" s="158"/>
      <c r="Z96" s="158"/>
    </row>
    <row r="97" spans="1:26" ht="12" customHeight="1">
      <c r="A97" s="147"/>
      <c r="B97" s="158"/>
      <c r="C97" s="158"/>
      <c r="D97" s="158"/>
      <c r="E97" s="158"/>
      <c r="F97" s="158"/>
      <c r="G97" s="158"/>
      <c r="H97" s="158"/>
      <c r="I97" s="158"/>
      <c r="J97" s="158"/>
      <c r="K97" s="158"/>
      <c r="L97" s="158"/>
      <c r="M97" s="158"/>
      <c r="N97" s="158"/>
      <c r="O97" s="158"/>
      <c r="P97" s="158"/>
      <c r="Q97" s="158"/>
      <c r="R97" s="158"/>
      <c r="S97" s="158"/>
      <c r="T97" s="158"/>
      <c r="U97" s="158"/>
      <c r="V97" s="158"/>
      <c r="W97" s="158"/>
      <c r="X97" s="158"/>
      <c r="Y97" s="158"/>
      <c r="Z97" s="158"/>
    </row>
    <row r="98" spans="1:26" ht="12" customHeight="1">
      <c r="A98" s="147"/>
      <c r="B98" s="158"/>
      <c r="C98" s="158"/>
      <c r="D98" s="158"/>
      <c r="E98" s="158"/>
      <c r="F98" s="158"/>
      <c r="G98" s="158"/>
      <c r="H98" s="158"/>
      <c r="I98" s="158"/>
      <c r="J98" s="158"/>
      <c r="K98" s="158"/>
      <c r="L98" s="158"/>
      <c r="M98" s="158"/>
      <c r="N98" s="158"/>
      <c r="O98" s="158"/>
      <c r="P98" s="158"/>
      <c r="Q98" s="158"/>
      <c r="R98" s="158"/>
      <c r="S98" s="158"/>
      <c r="T98" s="158"/>
      <c r="U98" s="158"/>
      <c r="V98" s="158"/>
      <c r="W98" s="158"/>
      <c r="X98" s="158"/>
      <c r="Y98" s="158"/>
      <c r="Z98" s="158"/>
    </row>
    <row r="99" spans="1:26" ht="12" customHeight="1">
      <c r="A99" s="147"/>
      <c r="B99" s="158"/>
      <c r="C99" s="158"/>
      <c r="D99" s="158"/>
      <c r="E99" s="158"/>
      <c r="F99" s="158"/>
      <c r="G99" s="158"/>
      <c r="H99" s="158"/>
      <c r="I99" s="158"/>
      <c r="J99" s="158"/>
      <c r="K99" s="158"/>
      <c r="L99" s="158"/>
      <c r="M99" s="158"/>
      <c r="N99" s="158"/>
      <c r="O99" s="158"/>
      <c r="P99" s="158"/>
      <c r="Q99" s="158"/>
      <c r="R99" s="158"/>
      <c r="S99" s="158"/>
      <c r="T99" s="158"/>
      <c r="U99" s="158"/>
      <c r="V99" s="158"/>
      <c r="W99" s="158"/>
      <c r="X99" s="158"/>
      <c r="Y99" s="158"/>
      <c r="Z99" s="158"/>
    </row>
    <row r="100" spans="1:26" ht="12" customHeight="1">
      <c r="A100" s="147"/>
      <c r="B100" s="158"/>
      <c r="C100" s="158"/>
      <c r="D100" s="158"/>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row>
    <row r="101" spans="1:26" ht="12" customHeight="1">
      <c r="A101" s="147"/>
      <c r="B101" s="158"/>
      <c r="C101" s="158"/>
      <c r="D101" s="158"/>
      <c r="E101" s="158"/>
      <c r="F101" s="158"/>
      <c r="G101" s="158"/>
      <c r="H101" s="158"/>
      <c r="I101" s="158"/>
      <c r="J101" s="158"/>
      <c r="K101" s="158"/>
      <c r="L101" s="158"/>
      <c r="M101" s="158"/>
      <c r="N101" s="158"/>
      <c r="O101" s="158"/>
      <c r="P101" s="158"/>
      <c r="Q101" s="158"/>
      <c r="R101" s="158"/>
      <c r="S101" s="158"/>
      <c r="T101" s="158"/>
      <c r="U101" s="158"/>
      <c r="V101" s="158"/>
      <c r="W101" s="158"/>
      <c r="X101" s="158"/>
      <c r="Y101" s="158"/>
      <c r="Z101" s="158"/>
    </row>
    <row r="102" spans="1:26" ht="12" customHeight="1">
      <c r="A102" s="147"/>
      <c r="B102" s="158"/>
      <c r="C102" s="158"/>
      <c r="D102" s="158"/>
      <c r="E102" s="158"/>
      <c r="F102" s="158"/>
      <c r="G102" s="158"/>
      <c r="H102" s="158"/>
      <c r="I102" s="158"/>
      <c r="J102" s="158"/>
      <c r="K102" s="158"/>
      <c r="L102" s="158"/>
      <c r="M102" s="158"/>
      <c r="N102" s="158"/>
      <c r="O102" s="158"/>
      <c r="P102" s="158"/>
      <c r="Q102" s="158"/>
      <c r="R102" s="158"/>
      <c r="S102" s="158"/>
      <c r="T102" s="158"/>
      <c r="U102" s="158"/>
      <c r="V102" s="158"/>
      <c r="W102" s="158"/>
      <c r="X102" s="158"/>
      <c r="Y102" s="158"/>
      <c r="Z102" s="158"/>
    </row>
    <row r="103" spans="1:26" ht="12" customHeight="1">
      <c r="A103" s="147"/>
      <c r="B103" s="158"/>
      <c r="C103" s="158"/>
      <c r="D103" s="158"/>
      <c r="E103" s="158"/>
      <c r="F103" s="158"/>
      <c r="G103" s="158"/>
      <c r="H103" s="158"/>
      <c r="I103" s="158"/>
      <c r="J103" s="158"/>
      <c r="K103" s="158"/>
      <c r="L103" s="158"/>
      <c r="M103" s="158"/>
      <c r="N103" s="158"/>
      <c r="O103" s="158"/>
      <c r="P103" s="158"/>
      <c r="Q103" s="158"/>
      <c r="R103" s="158"/>
      <c r="S103" s="158"/>
      <c r="T103" s="158"/>
      <c r="U103" s="158"/>
      <c r="V103" s="158"/>
      <c r="W103" s="158"/>
      <c r="X103" s="158"/>
      <c r="Y103" s="158"/>
      <c r="Z103" s="158"/>
    </row>
    <row r="104" spans="1:26" ht="12" customHeight="1">
      <c r="A104" s="147"/>
      <c r="B104" s="158"/>
      <c r="C104" s="158"/>
      <c r="D104" s="158"/>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row>
    <row r="105" spans="1:26" ht="12" customHeight="1">
      <c r="A105" s="147"/>
      <c r="B105" s="158"/>
      <c r="C105" s="158"/>
      <c r="D105" s="158"/>
      <c r="E105" s="158"/>
      <c r="F105" s="158"/>
      <c r="G105" s="158"/>
      <c r="H105" s="158"/>
      <c r="I105" s="158"/>
      <c r="J105" s="158"/>
      <c r="K105" s="158"/>
      <c r="L105" s="158"/>
      <c r="M105" s="158"/>
      <c r="N105" s="158"/>
      <c r="O105" s="158"/>
      <c r="P105" s="158"/>
      <c r="Q105" s="158"/>
      <c r="R105" s="158"/>
      <c r="S105" s="158"/>
      <c r="T105" s="158"/>
      <c r="U105" s="158"/>
      <c r="V105" s="158"/>
      <c r="W105" s="158"/>
      <c r="X105" s="158"/>
      <c r="Y105" s="158"/>
      <c r="Z105" s="158"/>
    </row>
    <row r="106" spans="1:26" ht="12" customHeight="1">
      <c r="A106" s="147"/>
      <c r="B106" s="158"/>
      <c r="C106" s="158"/>
      <c r="D106" s="158"/>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row>
    <row r="107" spans="1:26" ht="12" customHeight="1">
      <c r="A107" s="147"/>
      <c r="B107" s="158"/>
      <c r="C107" s="158"/>
      <c r="D107" s="158"/>
      <c r="E107" s="158"/>
      <c r="F107" s="158"/>
      <c r="G107" s="158"/>
      <c r="H107" s="158"/>
      <c r="I107" s="158"/>
      <c r="J107" s="158"/>
      <c r="K107" s="158"/>
      <c r="L107" s="158"/>
      <c r="M107" s="158"/>
      <c r="N107" s="158"/>
      <c r="O107" s="158"/>
      <c r="P107" s="158"/>
      <c r="Q107" s="158"/>
      <c r="R107" s="158"/>
      <c r="S107" s="158"/>
      <c r="T107" s="158"/>
      <c r="U107" s="158"/>
      <c r="V107" s="158"/>
      <c r="W107" s="158"/>
      <c r="X107" s="158"/>
      <c r="Y107" s="158"/>
      <c r="Z107" s="158"/>
    </row>
    <row r="108" spans="1:26" ht="12" customHeight="1">
      <c r="A108" s="147"/>
      <c r="B108" s="158"/>
      <c r="C108" s="158"/>
      <c r="D108" s="158"/>
      <c r="E108" s="158"/>
      <c r="F108" s="158"/>
      <c r="G108" s="158"/>
      <c r="H108" s="158"/>
      <c r="I108" s="158"/>
      <c r="J108" s="158"/>
      <c r="K108" s="158"/>
      <c r="L108" s="158"/>
      <c r="M108" s="158"/>
      <c r="N108" s="158"/>
      <c r="O108" s="158"/>
      <c r="P108" s="158"/>
      <c r="Q108" s="158"/>
      <c r="R108" s="158"/>
      <c r="S108" s="158"/>
      <c r="T108" s="158"/>
      <c r="U108" s="158"/>
      <c r="V108" s="158"/>
      <c r="W108" s="158"/>
      <c r="X108" s="158"/>
      <c r="Y108" s="158"/>
      <c r="Z108" s="158"/>
    </row>
    <row r="109" spans="1:26" ht="12" customHeight="1">
      <c r="A109" s="147"/>
      <c r="B109" s="158"/>
      <c r="C109" s="158"/>
      <c r="D109" s="158"/>
      <c r="E109" s="158"/>
      <c r="F109" s="158"/>
      <c r="G109" s="158"/>
      <c r="H109" s="158"/>
      <c r="I109" s="158"/>
      <c r="J109" s="158"/>
      <c r="K109" s="158"/>
      <c r="L109" s="158"/>
      <c r="M109" s="158"/>
      <c r="N109" s="158"/>
      <c r="O109" s="158"/>
      <c r="P109" s="158"/>
      <c r="Q109" s="158"/>
      <c r="R109" s="158"/>
      <c r="S109" s="158"/>
      <c r="T109" s="158"/>
      <c r="U109" s="158"/>
      <c r="V109" s="158"/>
      <c r="W109" s="158"/>
      <c r="X109" s="158"/>
      <c r="Y109" s="158"/>
      <c r="Z109" s="158"/>
    </row>
    <row r="110" spans="1:26" ht="12" customHeight="1">
      <c r="A110" s="147"/>
      <c r="B110" s="158"/>
      <c r="C110" s="158"/>
      <c r="D110" s="158"/>
      <c r="E110" s="158"/>
      <c r="F110" s="158"/>
      <c r="G110" s="158"/>
      <c r="H110" s="158"/>
      <c r="I110" s="158"/>
      <c r="J110" s="158"/>
      <c r="K110" s="158"/>
      <c r="L110" s="158"/>
      <c r="M110" s="158"/>
      <c r="N110" s="158"/>
      <c r="O110" s="158"/>
      <c r="P110" s="158"/>
      <c r="Q110" s="158"/>
      <c r="R110" s="158"/>
      <c r="S110" s="158"/>
      <c r="T110" s="158"/>
      <c r="U110" s="158"/>
      <c r="V110" s="158"/>
      <c r="W110" s="158"/>
      <c r="X110" s="158"/>
      <c r="Y110" s="158"/>
      <c r="Z110" s="158"/>
    </row>
    <row r="111" spans="1:26" ht="12" customHeight="1">
      <c r="A111" s="147"/>
      <c r="B111" s="158"/>
      <c r="C111" s="158"/>
      <c r="D111" s="158"/>
      <c r="E111" s="158"/>
      <c r="F111" s="158"/>
      <c r="G111" s="158"/>
      <c r="H111" s="158"/>
      <c r="I111" s="158"/>
      <c r="J111" s="158"/>
      <c r="K111" s="158"/>
      <c r="L111" s="158"/>
      <c r="M111" s="158"/>
      <c r="N111" s="158"/>
      <c r="O111" s="158"/>
      <c r="P111" s="158"/>
      <c r="Q111" s="158"/>
      <c r="R111" s="158"/>
      <c r="S111" s="158"/>
      <c r="T111" s="158"/>
      <c r="U111" s="158"/>
      <c r="V111" s="158"/>
      <c r="W111" s="158"/>
      <c r="X111" s="158"/>
      <c r="Y111" s="158"/>
      <c r="Z111" s="158"/>
    </row>
    <row r="112" spans="1:26" ht="12" customHeight="1">
      <c r="A112" s="147"/>
      <c r="B112" s="158"/>
      <c r="C112" s="158"/>
      <c r="D112" s="158"/>
      <c r="E112" s="158"/>
      <c r="F112" s="158"/>
      <c r="G112" s="158"/>
      <c r="H112" s="158"/>
      <c r="I112" s="158"/>
      <c r="J112" s="158"/>
      <c r="K112" s="158"/>
      <c r="L112" s="158"/>
      <c r="M112" s="158"/>
      <c r="N112" s="158"/>
      <c r="O112" s="158"/>
      <c r="P112" s="158"/>
      <c r="Q112" s="158"/>
      <c r="R112" s="158"/>
      <c r="S112" s="158"/>
      <c r="T112" s="158"/>
      <c r="U112" s="158"/>
      <c r="V112" s="158"/>
      <c r="W112" s="158"/>
      <c r="X112" s="158"/>
      <c r="Y112" s="158"/>
      <c r="Z112" s="158"/>
    </row>
    <row r="113" spans="1:26" ht="12" customHeight="1">
      <c r="A113" s="147"/>
      <c r="B113" s="158"/>
      <c r="C113" s="158"/>
      <c r="D113" s="158"/>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row>
    <row r="114" spans="1:26" ht="12" customHeight="1">
      <c r="A114" s="147"/>
      <c r="B114" s="158"/>
      <c r="C114" s="158"/>
      <c r="D114" s="158"/>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row>
    <row r="115" spans="1:26" ht="12" customHeight="1">
      <c r="A115" s="147"/>
      <c r="B115" s="158"/>
      <c r="C115" s="158"/>
      <c r="D115" s="158"/>
      <c r="E115" s="158"/>
      <c r="F115" s="158"/>
      <c r="G115" s="158"/>
      <c r="H115" s="158"/>
      <c r="I115" s="158"/>
      <c r="J115" s="158"/>
      <c r="K115" s="158"/>
      <c r="L115" s="158"/>
      <c r="M115" s="158"/>
      <c r="N115" s="158"/>
      <c r="O115" s="158"/>
      <c r="P115" s="158"/>
      <c r="Q115" s="158"/>
      <c r="R115" s="158"/>
      <c r="S115" s="158"/>
      <c r="T115" s="158"/>
      <c r="U115" s="158"/>
      <c r="V115" s="158"/>
      <c r="W115" s="158"/>
      <c r="X115" s="158"/>
      <c r="Y115" s="158"/>
      <c r="Z115" s="158"/>
    </row>
    <row r="116" spans="1:26" ht="12" customHeight="1">
      <c r="A116" s="147"/>
      <c r="B116" s="158"/>
      <c r="C116" s="158"/>
      <c r="D116" s="158"/>
      <c r="E116" s="158"/>
      <c r="F116" s="158"/>
      <c r="G116" s="158"/>
      <c r="H116" s="158"/>
      <c r="I116" s="158"/>
      <c r="J116" s="158"/>
      <c r="K116" s="158"/>
      <c r="L116" s="158"/>
      <c r="M116" s="158"/>
      <c r="N116" s="158"/>
      <c r="O116" s="158"/>
      <c r="P116" s="158"/>
      <c r="Q116" s="158"/>
      <c r="R116" s="158"/>
      <c r="S116" s="158"/>
      <c r="T116" s="158"/>
      <c r="U116" s="158"/>
      <c r="V116" s="158"/>
      <c r="W116" s="158"/>
      <c r="X116" s="158"/>
      <c r="Y116" s="158"/>
      <c r="Z116" s="158"/>
    </row>
    <row r="117" spans="1:26" ht="12" customHeight="1">
      <c r="A117" s="147"/>
      <c r="B117" s="158"/>
      <c r="C117" s="158"/>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row>
    <row r="118" spans="1:26" ht="12" customHeight="1">
      <c r="A118" s="147"/>
      <c r="B118" s="158"/>
      <c r="C118" s="158"/>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row>
    <row r="119" spans="1:26" ht="12" customHeight="1">
      <c r="A119" s="147"/>
      <c r="B119" s="158"/>
      <c r="C119" s="158"/>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row>
    <row r="120" spans="1:26" ht="12" customHeight="1">
      <c r="A120" s="147"/>
      <c r="B120" s="158"/>
      <c r="C120" s="158"/>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row>
    <row r="121" spans="1:26" ht="12" customHeight="1">
      <c r="A121" s="147"/>
      <c r="B121" s="158"/>
      <c r="C121" s="158"/>
      <c r="D121" s="158"/>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row>
    <row r="122" spans="1:26" ht="12" customHeight="1">
      <c r="A122" s="147"/>
      <c r="B122" s="158"/>
      <c r="C122" s="158"/>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row>
    <row r="123" spans="1:26" ht="12" customHeight="1">
      <c r="A123" s="147"/>
      <c r="B123" s="158"/>
      <c r="C123" s="158"/>
      <c r="D123" s="158"/>
      <c r="E123" s="158"/>
      <c r="F123" s="158"/>
      <c r="G123" s="158"/>
      <c r="H123" s="158"/>
      <c r="I123" s="158"/>
      <c r="J123" s="158"/>
      <c r="K123" s="158"/>
      <c r="L123" s="158"/>
      <c r="M123" s="158"/>
      <c r="N123" s="158"/>
      <c r="O123" s="158"/>
      <c r="P123" s="158"/>
      <c r="Q123" s="158"/>
      <c r="R123" s="158"/>
      <c r="S123" s="158"/>
      <c r="T123" s="158"/>
      <c r="U123" s="158"/>
      <c r="V123" s="158"/>
      <c r="W123" s="158"/>
      <c r="X123" s="158"/>
      <c r="Y123" s="158"/>
      <c r="Z123" s="158"/>
    </row>
    <row r="124" spans="1:26" ht="12" customHeight="1">
      <c r="A124" s="147"/>
      <c r="B124" s="158"/>
      <c r="C124" s="158"/>
      <c r="D124" s="158"/>
      <c r="E124" s="158"/>
      <c r="F124" s="158"/>
      <c r="G124" s="158"/>
      <c r="H124" s="158"/>
      <c r="I124" s="158"/>
      <c r="J124" s="158"/>
      <c r="K124" s="158"/>
      <c r="L124" s="158"/>
      <c r="M124" s="158"/>
      <c r="N124" s="158"/>
      <c r="O124" s="158"/>
      <c r="P124" s="158"/>
      <c r="Q124" s="158"/>
      <c r="R124" s="158"/>
      <c r="S124" s="158"/>
      <c r="T124" s="158"/>
      <c r="U124" s="158"/>
      <c r="V124" s="158"/>
      <c r="W124" s="158"/>
      <c r="X124" s="158"/>
      <c r="Y124" s="158"/>
      <c r="Z124" s="158"/>
    </row>
    <row r="125" spans="1:26" ht="12" customHeight="1">
      <c r="A125" s="147"/>
      <c r="B125" s="158"/>
      <c r="C125" s="158"/>
      <c r="D125" s="158"/>
      <c r="E125" s="158"/>
      <c r="F125" s="158"/>
      <c r="G125" s="158"/>
      <c r="H125" s="158"/>
      <c r="I125" s="158"/>
      <c r="J125" s="158"/>
      <c r="K125" s="158"/>
      <c r="L125" s="158"/>
      <c r="M125" s="158"/>
      <c r="N125" s="158"/>
      <c r="O125" s="158"/>
      <c r="P125" s="158"/>
      <c r="Q125" s="158"/>
      <c r="R125" s="158"/>
      <c r="S125" s="158"/>
      <c r="T125" s="158"/>
      <c r="U125" s="158"/>
      <c r="V125" s="158"/>
      <c r="W125" s="158"/>
      <c r="X125" s="158"/>
      <c r="Y125" s="158"/>
      <c r="Z125" s="158"/>
    </row>
    <row r="126" spans="1:26" ht="12" customHeight="1">
      <c r="A126" s="147"/>
      <c r="B126" s="158"/>
      <c r="C126" s="158"/>
      <c r="D126" s="158"/>
      <c r="E126" s="158"/>
      <c r="F126" s="158"/>
      <c r="G126" s="158"/>
      <c r="H126" s="158"/>
      <c r="I126" s="158"/>
      <c r="J126" s="158"/>
      <c r="K126" s="158"/>
      <c r="L126" s="158"/>
      <c r="M126" s="158"/>
      <c r="N126" s="158"/>
      <c r="O126" s="158"/>
      <c r="P126" s="158"/>
      <c r="Q126" s="158"/>
      <c r="R126" s="158"/>
      <c r="S126" s="158"/>
      <c r="T126" s="158"/>
      <c r="U126" s="158"/>
      <c r="V126" s="158"/>
      <c r="W126" s="158"/>
      <c r="X126" s="158"/>
      <c r="Y126" s="158"/>
      <c r="Z126" s="158"/>
    </row>
    <row r="127" spans="1:26" ht="12" customHeight="1">
      <c r="A127" s="147"/>
      <c r="B127" s="158"/>
      <c r="C127" s="158"/>
      <c r="D127" s="158"/>
      <c r="E127" s="158"/>
      <c r="F127" s="158"/>
      <c r="G127" s="158"/>
      <c r="H127" s="158"/>
      <c r="I127" s="158"/>
      <c r="J127" s="158"/>
      <c r="K127" s="158"/>
      <c r="L127" s="158"/>
      <c r="M127" s="158"/>
      <c r="N127" s="158"/>
      <c r="O127" s="158"/>
      <c r="P127" s="158"/>
      <c r="Q127" s="158"/>
      <c r="R127" s="158"/>
      <c r="S127" s="158"/>
      <c r="T127" s="158"/>
      <c r="U127" s="158"/>
      <c r="V127" s="158"/>
      <c r="W127" s="158"/>
      <c r="X127" s="158"/>
      <c r="Y127" s="158"/>
      <c r="Z127" s="158"/>
    </row>
    <row r="128" spans="1:26" ht="12" customHeight="1">
      <c r="A128" s="147"/>
      <c r="B128" s="158"/>
      <c r="C128" s="158"/>
      <c r="D128" s="158"/>
      <c r="E128" s="158"/>
      <c r="F128" s="158"/>
      <c r="G128" s="158"/>
      <c r="H128" s="158"/>
      <c r="I128" s="158"/>
      <c r="J128" s="158"/>
      <c r="K128" s="158"/>
      <c r="L128" s="158"/>
      <c r="M128" s="158"/>
      <c r="N128" s="158"/>
      <c r="O128" s="158"/>
      <c r="P128" s="158"/>
      <c r="Q128" s="158"/>
      <c r="R128" s="158"/>
      <c r="S128" s="158"/>
      <c r="T128" s="158"/>
      <c r="U128" s="158"/>
      <c r="V128" s="158"/>
      <c r="W128" s="158"/>
      <c r="X128" s="158"/>
      <c r="Y128" s="158"/>
      <c r="Z128" s="158"/>
    </row>
    <row r="129" spans="1:26" ht="12" customHeight="1">
      <c r="A129" s="147"/>
      <c r="B129" s="158"/>
      <c r="C129" s="158"/>
      <c r="D129" s="158"/>
      <c r="E129" s="158"/>
      <c r="F129" s="158"/>
      <c r="G129" s="158"/>
      <c r="H129" s="158"/>
      <c r="I129" s="158"/>
      <c r="J129" s="158"/>
      <c r="K129" s="158"/>
      <c r="L129" s="158"/>
      <c r="M129" s="158"/>
      <c r="N129" s="158"/>
      <c r="O129" s="158"/>
      <c r="P129" s="158"/>
      <c r="Q129" s="158"/>
      <c r="R129" s="158"/>
      <c r="S129" s="158"/>
      <c r="T129" s="158"/>
      <c r="U129" s="158"/>
      <c r="V129" s="158"/>
      <c r="W129" s="158"/>
      <c r="X129" s="158"/>
      <c r="Y129" s="158"/>
      <c r="Z129" s="158"/>
    </row>
    <row r="130" spans="1:26" ht="12" customHeight="1">
      <c r="A130" s="147"/>
      <c r="B130" s="158"/>
      <c r="C130" s="158"/>
      <c r="D130" s="158"/>
      <c r="E130" s="158"/>
      <c r="F130" s="158"/>
      <c r="G130" s="158"/>
      <c r="H130" s="158"/>
      <c r="I130" s="158"/>
      <c r="J130" s="158"/>
      <c r="K130" s="158"/>
      <c r="L130" s="158"/>
      <c r="M130" s="158"/>
      <c r="N130" s="158"/>
      <c r="O130" s="158"/>
      <c r="P130" s="158"/>
      <c r="Q130" s="158"/>
      <c r="R130" s="158"/>
      <c r="S130" s="158"/>
      <c r="T130" s="158"/>
      <c r="U130" s="158"/>
      <c r="V130" s="158"/>
      <c r="W130" s="158"/>
      <c r="X130" s="158"/>
      <c r="Y130" s="158"/>
      <c r="Z130" s="158"/>
    </row>
    <row r="131" spans="1:26" ht="12" customHeight="1">
      <c r="A131" s="147"/>
      <c r="B131" s="158"/>
      <c r="C131" s="158"/>
      <c r="D131" s="158"/>
      <c r="E131" s="158"/>
      <c r="F131" s="158"/>
      <c r="G131" s="158"/>
      <c r="H131" s="158"/>
      <c r="I131" s="158"/>
      <c r="J131" s="158"/>
      <c r="K131" s="158"/>
      <c r="L131" s="158"/>
      <c r="M131" s="158"/>
      <c r="N131" s="158"/>
      <c r="O131" s="158"/>
      <c r="P131" s="158"/>
      <c r="Q131" s="158"/>
      <c r="R131" s="158"/>
      <c r="S131" s="158"/>
      <c r="T131" s="158"/>
      <c r="U131" s="158"/>
      <c r="V131" s="158"/>
      <c r="W131" s="158"/>
      <c r="X131" s="158"/>
      <c r="Y131" s="158"/>
      <c r="Z131" s="158"/>
    </row>
    <row r="132" spans="1:26" ht="12" customHeight="1">
      <c r="A132" s="147"/>
      <c r="B132" s="158"/>
      <c r="C132" s="158"/>
      <c r="D132" s="158"/>
      <c r="E132" s="158"/>
      <c r="F132" s="158"/>
      <c r="G132" s="158"/>
      <c r="H132" s="158"/>
      <c r="I132" s="158"/>
      <c r="J132" s="158"/>
      <c r="K132" s="158"/>
      <c r="L132" s="158"/>
      <c r="M132" s="158"/>
      <c r="N132" s="158"/>
      <c r="O132" s="158"/>
      <c r="P132" s="158"/>
      <c r="Q132" s="158"/>
      <c r="R132" s="158"/>
      <c r="S132" s="158"/>
      <c r="T132" s="158"/>
      <c r="U132" s="158"/>
      <c r="V132" s="158"/>
      <c r="W132" s="158"/>
      <c r="X132" s="158"/>
      <c r="Y132" s="158"/>
      <c r="Z132" s="158"/>
    </row>
    <row r="133" spans="1:26" ht="12" customHeight="1">
      <c r="A133" s="147"/>
      <c r="B133" s="158"/>
      <c r="C133" s="158"/>
      <c r="D133" s="158"/>
      <c r="E133" s="158"/>
      <c r="F133" s="158"/>
      <c r="G133" s="158"/>
      <c r="H133" s="158"/>
      <c r="I133" s="158"/>
      <c r="J133" s="158"/>
      <c r="K133" s="158"/>
      <c r="L133" s="158"/>
      <c r="M133" s="158"/>
      <c r="N133" s="158"/>
      <c r="O133" s="158"/>
      <c r="P133" s="158"/>
      <c r="Q133" s="158"/>
      <c r="R133" s="158"/>
      <c r="S133" s="158"/>
      <c r="T133" s="158"/>
      <c r="U133" s="158"/>
      <c r="V133" s="158"/>
      <c r="W133" s="158"/>
      <c r="X133" s="158"/>
      <c r="Y133" s="158"/>
      <c r="Z133" s="158"/>
    </row>
    <row r="134" spans="1:26" ht="12" customHeight="1">
      <c r="A134" s="147"/>
      <c r="B134" s="158"/>
      <c r="C134" s="158"/>
      <c r="D134" s="158"/>
      <c r="E134" s="158"/>
      <c r="F134" s="158"/>
      <c r="G134" s="158"/>
      <c r="H134" s="158"/>
      <c r="I134" s="158"/>
      <c r="J134" s="158"/>
      <c r="K134" s="158"/>
      <c r="L134" s="158"/>
      <c r="M134" s="158"/>
      <c r="N134" s="158"/>
      <c r="O134" s="158"/>
      <c r="P134" s="158"/>
      <c r="Q134" s="158"/>
      <c r="R134" s="158"/>
      <c r="S134" s="158"/>
      <c r="T134" s="158"/>
      <c r="U134" s="158"/>
      <c r="V134" s="158"/>
      <c r="W134" s="158"/>
      <c r="X134" s="158"/>
      <c r="Y134" s="158"/>
      <c r="Z134" s="158"/>
    </row>
    <row r="135" spans="1:26" ht="12" customHeight="1">
      <c r="A135" s="147"/>
      <c r="B135" s="158"/>
      <c r="C135" s="158"/>
      <c r="D135" s="158"/>
      <c r="E135" s="158"/>
      <c r="F135" s="158"/>
      <c r="G135" s="158"/>
      <c r="H135" s="158"/>
      <c r="I135" s="158"/>
      <c r="J135" s="158"/>
      <c r="K135" s="158"/>
      <c r="L135" s="158"/>
      <c r="M135" s="158"/>
      <c r="N135" s="158"/>
      <c r="O135" s="158"/>
      <c r="P135" s="158"/>
      <c r="Q135" s="158"/>
      <c r="R135" s="158"/>
      <c r="S135" s="158"/>
      <c r="T135" s="158"/>
      <c r="U135" s="158"/>
      <c r="V135" s="158"/>
      <c r="W135" s="158"/>
      <c r="X135" s="158"/>
      <c r="Y135" s="158"/>
      <c r="Z135" s="158"/>
    </row>
    <row r="136" spans="1:26" ht="12" customHeight="1">
      <c r="A136" s="147"/>
      <c r="B136" s="158"/>
      <c r="C136" s="158"/>
      <c r="D136" s="158"/>
      <c r="E136" s="158"/>
      <c r="F136" s="158"/>
      <c r="G136" s="158"/>
      <c r="H136" s="158"/>
      <c r="I136" s="158"/>
      <c r="J136" s="158"/>
      <c r="K136" s="158"/>
      <c r="L136" s="158"/>
      <c r="M136" s="158"/>
      <c r="N136" s="158"/>
      <c r="O136" s="158"/>
      <c r="P136" s="158"/>
      <c r="Q136" s="158"/>
      <c r="R136" s="158"/>
      <c r="S136" s="158"/>
      <c r="T136" s="158"/>
      <c r="U136" s="158"/>
      <c r="V136" s="158"/>
      <c r="W136" s="158"/>
      <c r="X136" s="158"/>
      <c r="Y136" s="158"/>
      <c r="Z136" s="158"/>
    </row>
    <row r="137" spans="1:26" ht="12" customHeight="1">
      <c r="A137" s="147"/>
      <c r="B137" s="158"/>
      <c r="C137" s="158"/>
      <c r="D137" s="158"/>
      <c r="E137" s="158"/>
      <c r="F137" s="158"/>
      <c r="G137" s="158"/>
      <c r="H137" s="158"/>
      <c r="I137" s="158"/>
      <c r="J137" s="158"/>
      <c r="K137" s="158"/>
      <c r="L137" s="158"/>
      <c r="M137" s="158"/>
      <c r="N137" s="158"/>
      <c r="O137" s="158"/>
      <c r="P137" s="158"/>
      <c r="Q137" s="158"/>
      <c r="R137" s="158"/>
      <c r="S137" s="158"/>
      <c r="T137" s="158"/>
      <c r="U137" s="158"/>
      <c r="V137" s="158"/>
      <c r="W137" s="158"/>
      <c r="X137" s="158"/>
      <c r="Y137" s="158"/>
      <c r="Z137" s="158"/>
    </row>
    <row r="138" spans="1:26" ht="12" customHeight="1">
      <c r="A138" s="147"/>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row>
    <row r="139" spans="1:26" ht="12" customHeight="1">
      <c r="A139" s="147"/>
      <c r="B139" s="158"/>
      <c r="C139" s="158"/>
      <c r="D139" s="158"/>
      <c r="E139" s="158"/>
      <c r="F139" s="158"/>
      <c r="G139" s="158"/>
      <c r="H139" s="158"/>
      <c r="I139" s="158"/>
      <c r="J139" s="158"/>
      <c r="K139" s="158"/>
      <c r="L139" s="158"/>
      <c r="M139" s="158"/>
      <c r="N139" s="158"/>
      <c r="O139" s="158"/>
      <c r="P139" s="158"/>
      <c r="Q139" s="158"/>
      <c r="R139" s="158"/>
      <c r="S139" s="158"/>
      <c r="T139" s="158"/>
      <c r="U139" s="158"/>
      <c r="V139" s="158"/>
      <c r="W139" s="158"/>
      <c r="X139" s="158"/>
      <c r="Y139" s="158"/>
      <c r="Z139" s="158"/>
    </row>
    <row r="140" spans="1:26" ht="12" customHeight="1">
      <c r="A140" s="147"/>
      <c r="B140" s="158"/>
      <c r="C140" s="158"/>
      <c r="D140" s="158"/>
      <c r="E140" s="158"/>
      <c r="F140" s="158"/>
      <c r="G140" s="158"/>
      <c r="H140" s="158"/>
      <c r="I140" s="158"/>
      <c r="J140" s="158"/>
      <c r="K140" s="158"/>
      <c r="L140" s="158"/>
      <c r="M140" s="158"/>
      <c r="N140" s="158"/>
      <c r="O140" s="158"/>
      <c r="P140" s="158"/>
      <c r="Q140" s="158"/>
      <c r="R140" s="158"/>
      <c r="S140" s="158"/>
      <c r="T140" s="158"/>
      <c r="U140" s="158"/>
      <c r="V140" s="158"/>
      <c r="W140" s="158"/>
      <c r="X140" s="158"/>
      <c r="Y140" s="158"/>
      <c r="Z140" s="158"/>
    </row>
    <row r="141" spans="1:26" ht="12" customHeight="1">
      <c r="A141" s="147"/>
      <c r="B141" s="158"/>
      <c r="C141" s="158"/>
      <c r="D141" s="158"/>
      <c r="E141" s="158"/>
      <c r="F141" s="158"/>
      <c r="G141" s="158"/>
      <c r="H141" s="158"/>
      <c r="I141" s="158"/>
      <c r="J141" s="158"/>
      <c r="K141" s="158"/>
      <c r="L141" s="158"/>
      <c r="M141" s="158"/>
      <c r="N141" s="158"/>
      <c r="O141" s="158"/>
      <c r="P141" s="158"/>
      <c r="Q141" s="158"/>
      <c r="R141" s="158"/>
      <c r="S141" s="158"/>
      <c r="T141" s="158"/>
      <c r="U141" s="158"/>
      <c r="V141" s="158"/>
      <c r="W141" s="158"/>
      <c r="X141" s="158"/>
      <c r="Y141" s="158"/>
      <c r="Z141" s="158"/>
    </row>
    <row r="142" spans="1:26" ht="12" customHeight="1">
      <c r="A142" s="147"/>
      <c r="B142" s="158"/>
      <c r="C142" s="158"/>
      <c r="D142" s="158"/>
      <c r="E142" s="158"/>
      <c r="F142" s="158"/>
      <c r="G142" s="158"/>
      <c r="H142" s="158"/>
      <c r="I142" s="158"/>
      <c r="J142" s="158"/>
      <c r="K142" s="158"/>
      <c r="L142" s="158"/>
      <c r="M142" s="158"/>
      <c r="N142" s="158"/>
      <c r="O142" s="158"/>
      <c r="P142" s="158"/>
      <c r="Q142" s="158"/>
      <c r="R142" s="158"/>
      <c r="S142" s="158"/>
      <c r="T142" s="158"/>
      <c r="U142" s="158"/>
      <c r="V142" s="158"/>
      <c r="W142" s="158"/>
      <c r="X142" s="158"/>
      <c r="Y142" s="158"/>
      <c r="Z142" s="158"/>
    </row>
    <row r="143" spans="1:26" ht="12" customHeight="1">
      <c r="A143" s="147"/>
      <c r="B143" s="158"/>
      <c r="C143" s="158"/>
      <c r="D143" s="158"/>
      <c r="E143" s="158"/>
      <c r="F143" s="158"/>
      <c r="G143" s="158"/>
      <c r="H143" s="158"/>
      <c r="I143" s="158"/>
      <c r="J143" s="158"/>
      <c r="K143" s="158"/>
      <c r="L143" s="158"/>
      <c r="M143" s="158"/>
      <c r="N143" s="158"/>
      <c r="O143" s="158"/>
      <c r="P143" s="158"/>
      <c r="Q143" s="158"/>
      <c r="R143" s="158"/>
      <c r="S143" s="158"/>
      <c r="T143" s="158"/>
      <c r="U143" s="158"/>
      <c r="V143" s="158"/>
      <c r="W143" s="158"/>
      <c r="X143" s="158"/>
      <c r="Y143" s="158"/>
      <c r="Z143" s="158"/>
    </row>
    <row r="144" spans="1:26" ht="12" customHeight="1">
      <c r="A144" s="147"/>
      <c r="B144" s="158"/>
      <c r="C144" s="158"/>
      <c r="D144" s="158"/>
      <c r="E144" s="158"/>
      <c r="F144" s="158"/>
      <c r="G144" s="158"/>
      <c r="H144" s="158"/>
      <c r="I144" s="158"/>
      <c r="J144" s="158"/>
      <c r="K144" s="158"/>
      <c r="L144" s="158"/>
      <c r="M144" s="158"/>
      <c r="N144" s="158"/>
      <c r="O144" s="158"/>
      <c r="P144" s="158"/>
      <c r="Q144" s="158"/>
      <c r="R144" s="158"/>
      <c r="S144" s="158"/>
      <c r="T144" s="158"/>
      <c r="U144" s="158"/>
      <c r="V144" s="158"/>
      <c r="W144" s="158"/>
      <c r="X144" s="158"/>
      <c r="Y144" s="158"/>
      <c r="Z144" s="158"/>
    </row>
    <row r="145" spans="1:26" ht="12" customHeight="1">
      <c r="A145" s="147"/>
      <c r="B145" s="158"/>
      <c r="C145" s="158"/>
      <c r="D145" s="158"/>
      <c r="E145" s="158"/>
      <c r="F145" s="158"/>
      <c r="G145" s="158"/>
      <c r="H145" s="158"/>
      <c r="I145" s="158"/>
      <c r="J145" s="158"/>
      <c r="K145" s="158"/>
      <c r="L145" s="158"/>
      <c r="M145" s="158"/>
      <c r="N145" s="158"/>
      <c r="O145" s="158"/>
      <c r="P145" s="158"/>
      <c r="Q145" s="158"/>
      <c r="R145" s="158"/>
      <c r="S145" s="158"/>
      <c r="T145" s="158"/>
      <c r="U145" s="158"/>
      <c r="V145" s="158"/>
      <c r="W145" s="158"/>
      <c r="X145" s="158"/>
      <c r="Y145" s="158"/>
      <c r="Z145" s="158"/>
    </row>
    <row r="146" spans="1:26" ht="12" customHeight="1">
      <c r="A146" s="147"/>
      <c r="B146" s="158"/>
      <c r="C146" s="158"/>
      <c r="D146" s="158"/>
      <c r="E146" s="158"/>
      <c r="F146" s="158"/>
      <c r="G146" s="158"/>
      <c r="H146" s="158"/>
      <c r="I146" s="158"/>
      <c r="J146" s="158"/>
      <c r="K146" s="158"/>
      <c r="L146" s="158"/>
      <c r="M146" s="158"/>
      <c r="N146" s="158"/>
      <c r="O146" s="158"/>
      <c r="P146" s="158"/>
      <c r="Q146" s="158"/>
      <c r="R146" s="158"/>
      <c r="S146" s="158"/>
      <c r="T146" s="158"/>
      <c r="U146" s="158"/>
      <c r="V146" s="158"/>
      <c r="W146" s="158"/>
      <c r="X146" s="158"/>
      <c r="Y146" s="158"/>
      <c r="Z146" s="158"/>
    </row>
    <row r="147" spans="1:26" ht="12" customHeight="1">
      <c r="A147" s="147"/>
      <c r="B147" s="158"/>
      <c r="C147" s="158"/>
      <c r="D147" s="158"/>
      <c r="E147" s="158"/>
      <c r="F147" s="158"/>
      <c r="G147" s="158"/>
      <c r="H147" s="158"/>
      <c r="I147" s="158"/>
      <c r="J147" s="158"/>
      <c r="K147" s="158"/>
      <c r="L147" s="158"/>
      <c r="M147" s="158"/>
      <c r="N147" s="158"/>
      <c r="O147" s="158"/>
      <c r="P147" s="158"/>
      <c r="Q147" s="158"/>
      <c r="R147" s="158"/>
      <c r="S147" s="158"/>
      <c r="T147" s="158"/>
      <c r="U147" s="158"/>
      <c r="V147" s="158"/>
      <c r="W147" s="158"/>
      <c r="X147" s="158"/>
      <c r="Y147" s="158"/>
      <c r="Z147" s="158"/>
    </row>
    <row r="148" spans="1:26" ht="12" customHeight="1">
      <c r="A148" s="147"/>
      <c r="B148" s="158"/>
      <c r="C148" s="158"/>
      <c r="D148" s="158"/>
      <c r="E148" s="158"/>
      <c r="F148" s="158"/>
      <c r="G148" s="158"/>
      <c r="H148" s="158"/>
      <c r="I148" s="158"/>
      <c r="J148" s="158"/>
      <c r="K148" s="158"/>
      <c r="L148" s="158"/>
      <c r="M148" s="158"/>
      <c r="N148" s="158"/>
      <c r="O148" s="158"/>
      <c r="P148" s="158"/>
      <c r="Q148" s="158"/>
      <c r="R148" s="158"/>
      <c r="S148" s="158"/>
      <c r="T148" s="158"/>
      <c r="U148" s="158"/>
      <c r="V148" s="158"/>
      <c r="W148" s="158"/>
      <c r="X148" s="158"/>
      <c r="Y148" s="158"/>
      <c r="Z148" s="158"/>
    </row>
    <row r="149" spans="1:26" ht="12" customHeight="1">
      <c r="A149" s="147"/>
      <c r="B149" s="158"/>
      <c r="C149" s="158"/>
      <c r="D149" s="158"/>
      <c r="E149" s="158"/>
      <c r="F149" s="158"/>
      <c r="G149" s="158"/>
      <c r="H149" s="158"/>
      <c r="I149" s="158"/>
      <c r="J149" s="158"/>
      <c r="K149" s="158"/>
      <c r="L149" s="158"/>
      <c r="M149" s="158"/>
      <c r="N149" s="158"/>
      <c r="O149" s="158"/>
      <c r="P149" s="158"/>
      <c r="Q149" s="158"/>
      <c r="R149" s="158"/>
      <c r="S149" s="158"/>
      <c r="T149" s="158"/>
      <c r="U149" s="158"/>
      <c r="V149" s="158"/>
      <c r="W149" s="158"/>
      <c r="X149" s="158"/>
      <c r="Y149" s="158"/>
      <c r="Z149" s="158"/>
    </row>
    <row r="150" spans="1:26" ht="12" customHeight="1">
      <c r="A150" s="147"/>
      <c r="B150" s="158"/>
      <c r="C150" s="158"/>
      <c r="D150" s="158"/>
      <c r="E150" s="158"/>
      <c r="F150" s="158"/>
      <c r="G150" s="158"/>
      <c r="H150" s="158"/>
      <c r="I150" s="158"/>
      <c r="J150" s="158"/>
      <c r="K150" s="158"/>
      <c r="L150" s="158"/>
      <c r="M150" s="158"/>
      <c r="N150" s="158"/>
      <c r="O150" s="158"/>
      <c r="P150" s="158"/>
      <c r="Q150" s="158"/>
      <c r="R150" s="158"/>
      <c r="S150" s="158"/>
      <c r="T150" s="158"/>
      <c r="U150" s="158"/>
      <c r="V150" s="158"/>
      <c r="W150" s="158"/>
      <c r="X150" s="158"/>
      <c r="Y150" s="158"/>
      <c r="Z150" s="158"/>
    </row>
    <row r="151" spans="1:26" ht="12" customHeight="1">
      <c r="A151" s="147"/>
      <c r="B151" s="158"/>
      <c r="C151" s="158"/>
      <c r="D151" s="158"/>
      <c r="E151" s="158"/>
      <c r="F151" s="158"/>
      <c r="G151" s="158"/>
      <c r="H151" s="158"/>
      <c r="I151" s="158"/>
      <c r="J151" s="158"/>
      <c r="K151" s="158"/>
      <c r="L151" s="158"/>
      <c r="M151" s="158"/>
      <c r="N151" s="158"/>
      <c r="O151" s="158"/>
      <c r="P151" s="158"/>
      <c r="Q151" s="158"/>
      <c r="R151" s="158"/>
      <c r="S151" s="158"/>
      <c r="T151" s="158"/>
      <c r="U151" s="158"/>
      <c r="V151" s="158"/>
      <c r="W151" s="158"/>
      <c r="X151" s="158"/>
      <c r="Y151" s="158"/>
      <c r="Z151" s="158"/>
    </row>
    <row r="152" spans="1:26" ht="12" customHeight="1">
      <c r="A152" s="147"/>
      <c r="B152" s="158"/>
      <c r="C152" s="158"/>
      <c r="D152" s="158"/>
      <c r="E152" s="158"/>
      <c r="F152" s="158"/>
      <c r="G152" s="158"/>
      <c r="H152" s="158"/>
      <c r="I152" s="158"/>
      <c r="J152" s="158"/>
      <c r="K152" s="158"/>
      <c r="L152" s="158"/>
      <c r="M152" s="158"/>
      <c r="N152" s="158"/>
      <c r="O152" s="158"/>
      <c r="P152" s="158"/>
      <c r="Q152" s="158"/>
      <c r="R152" s="158"/>
      <c r="S152" s="158"/>
      <c r="T152" s="158"/>
      <c r="U152" s="158"/>
      <c r="V152" s="158"/>
      <c r="W152" s="158"/>
      <c r="X152" s="158"/>
      <c r="Y152" s="158"/>
      <c r="Z152" s="158"/>
    </row>
    <row r="153" spans="1:26" ht="12" customHeight="1">
      <c r="A153" s="147"/>
      <c r="B153" s="158"/>
      <c r="C153" s="158"/>
      <c r="D153" s="158"/>
      <c r="E153" s="158"/>
      <c r="F153" s="158"/>
      <c r="G153" s="158"/>
      <c r="H153" s="158"/>
      <c r="I153" s="158"/>
      <c r="J153" s="158"/>
      <c r="K153" s="158"/>
      <c r="L153" s="158"/>
      <c r="M153" s="158"/>
      <c r="N153" s="158"/>
      <c r="O153" s="158"/>
      <c r="P153" s="158"/>
      <c r="Q153" s="158"/>
      <c r="R153" s="158"/>
      <c r="S153" s="158"/>
      <c r="T153" s="158"/>
      <c r="U153" s="158"/>
      <c r="V153" s="158"/>
      <c r="W153" s="158"/>
      <c r="X153" s="158"/>
      <c r="Y153" s="158"/>
      <c r="Z153" s="158"/>
    </row>
    <row r="154" spans="1:26" ht="12" customHeight="1">
      <c r="A154" s="147"/>
      <c r="B154" s="158"/>
      <c r="C154" s="158"/>
      <c r="D154" s="158"/>
      <c r="E154" s="158"/>
      <c r="F154" s="158"/>
      <c r="G154" s="158"/>
      <c r="H154" s="158"/>
      <c r="I154" s="158"/>
      <c r="J154" s="158"/>
      <c r="K154" s="158"/>
      <c r="L154" s="158"/>
      <c r="M154" s="158"/>
      <c r="N154" s="158"/>
      <c r="O154" s="158"/>
      <c r="P154" s="158"/>
      <c r="Q154" s="158"/>
      <c r="R154" s="158"/>
      <c r="S154" s="158"/>
      <c r="T154" s="158"/>
      <c r="U154" s="158"/>
      <c r="V154" s="158"/>
      <c r="W154" s="158"/>
      <c r="X154" s="158"/>
      <c r="Y154" s="158"/>
      <c r="Z154" s="158"/>
    </row>
    <row r="155" spans="1:26" ht="12" customHeight="1">
      <c r="A155" s="147"/>
      <c r="B155" s="158"/>
      <c r="C155" s="158"/>
      <c r="D155" s="158"/>
      <c r="E155" s="158"/>
      <c r="F155" s="158"/>
      <c r="G155" s="158"/>
      <c r="H155" s="158"/>
      <c r="I155" s="158"/>
      <c r="J155" s="158"/>
      <c r="K155" s="158"/>
      <c r="L155" s="158"/>
      <c r="M155" s="158"/>
      <c r="N155" s="158"/>
      <c r="O155" s="158"/>
      <c r="P155" s="158"/>
      <c r="Q155" s="158"/>
      <c r="R155" s="158"/>
      <c r="S155" s="158"/>
      <c r="T155" s="158"/>
      <c r="U155" s="158"/>
      <c r="V155" s="158"/>
      <c r="W155" s="158"/>
      <c r="X155" s="158"/>
      <c r="Y155" s="158"/>
      <c r="Z155" s="158"/>
    </row>
    <row r="156" spans="1:26" ht="12" customHeight="1">
      <c r="A156" s="147"/>
      <c r="B156" s="158"/>
      <c r="C156" s="158"/>
      <c r="D156" s="158"/>
      <c r="E156" s="158"/>
      <c r="F156" s="158"/>
      <c r="G156" s="158"/>
      <c r="H156" s="158"/>
      <c r="I156" s="158"/>
      <c r="J156" s="158"/>
      <c r="K156" s="158"/>
      <c r="L156" s="158"/>
      <c r="M156" s="158"/>
      <c r="N156" s="158"/>
      <c r="O156" s="158"/>
      <c r="P156" s="158"/>
      <c r="Q156" s="158"/>
      <c r="R156" s="158"/>
      <c r="S156" s="158"/>
      <c r="T156" s="158"/>
      <c r="U156" s="158"/>
      <c r="V156" s="158"/>
      <c r="W156" s="158"/>
      <c r="X156" s="158"/>
      <c r="Y156" s="158"/>
      <c r="Z156" s="158"/>
    </row>
    <row r="157" spans="1:26" ht="12" customHeight="1">
      <c r="A157" s="147"/>
      <c r="B157" s="158"/>
      <c r="C157" s="158"/>
      <c r="D157" s="158"/>
      <c r="E157" s="158"/>
      <c r="F157" s="158"/>
      <c r="G157" s="158"/>
      <c r="H157" s="158"/>
      <c r="I157" s="158"/>
      <c r="J157" s="158"/>
      <c r="K157" s="158"/>
      <c r="L157" s="158"/>
      <c r="M157" s="158"/>
      <c r="N157" s="158"/>
      <c r="O157" s="158"/>
      <c r="P157" s="158"/>
      <c r="Q157" s="158"/>
      <c r="R157" s="158"/>
      <c r="S157" s="158"/>
      <c r="T157" s="158"/>
      <c r="U157" s="158"/>
      <c r="V157" s="158"/>
      <c r="W157" s="158"/>
      <c r="X157" s="158"/>
      <c r="Y157" s="158"/>
      <c r="Z157" s="158"/>
    </row>
    <row r="158" spans="1:26" ht="12" customHeight="1">
      <c r="A158" s="147"/>
      <c r="B158" s="158"/>
      <c r="C158" s="158"/>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row>
    <row r="159" spans="1:26" ht="12" customHeight="1">
      <c r="A159" s="147"/>
      <c r="B159" s="158"/>
      <c r="C159" s="158"/>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row>
    <row r="160" spans="1:26" ht="12" customHeight="1">
      <c r="A160" s="147"/>
      <c r="B160" s="158"/>
      <c r="C160" s="158"/>
      <c r="D160" s="158"/>
      <c r="E160" s="158"/>
      <c r="F160" s="158"/>
      <c r="G160" s="158"/>
      <c r="H160" s="158"/>
      <c r="I160" s="158"/>
      <c r="J160" s="158"/>
      <c r="K160" s="158"/>
      <c r="L160" s="158"/>
      <c r="M160" s="158"/>
      <c r="N160" s="158"/>
      <c r="O160" s="158"/>
      <c r="P160" s="158"/>
      <c r="Q160" s="158"/>
      <c r="R160" s="158"/>
      <c r="S160" s="158"/>
      <c r="T160" s="158"/>
      <c r="U160" s="158"/>
      <c r="V160" s="158"/>
      <c r="W160" s="158"/>
      <c r="X160" s="158"/>
      <c r="Y160" s="158"/>
      <c r="Z160" s="158"/>
    </row>
    <row r="161" spans="1:26" ht="12" customHeight="1">
      <c r="A161" s="147"/>
      <c r="B161" s="158"/>
      <c r="C161" s="158"/>
      <c r="D161" s="158"/>
      <c r="E161" s="158"/>
      <c r="F161" s="158"/>
      <c r="G161" s="158"/>
      <c r="H161" s="158"/>
      <c r="I161" s="158"/>
      <c r="J161" s="158"/>
      <c r="K161" s="158"/>
      <c r="L161" s="158"/>
      <c r="M161" s="158"/>
      <c r="N161" s="158"/>
      <c r="O161" s="158"/>
      <c r="P161" s="158"/>
      <c r="Q161" s="158"/>
      <c r="R161" s="158"/>
      <c r="S161" s="158"/>
      <c r="T161" s="158"/>
      <c r="U161" s="158"/>
      <c r="V161" s="158"/>
      <c r="W161" s="158"/>
      <c r="X161" s="158"/>
      <c r="Y161" s="158"/>
      <c r="Z161" s="158"/>
    </row>
    <row r="162" spans="1:26" ht="12" customHeight="1">
      <c r="A162" s="147"/>
      <c r="B162" s="158"/>
      <c r="C162" s="158"/>
      <c r="D162" s="158"/>
      <c r="E162" s="158"/>
      <c r="F162" s="158"/>
      <c r="G162" s="158"/>
      <c r="H162" s="158"/>
      <c r="I162" s="158"/>
      <c r="J162" s="158"/>
      <c r="K162" s="158"/>
      <c r="L162" s="158"/>
      <c r="M162" s="158"/>
      <c r="N162" s="158"/>
      <c r="O162" s="158"/>
      <c r="P162" s="158"/>
      <c r="Q162" s="158"/>
      <c r="R162" s="158"/>
      <c r="S162" s="158"/>
      <c r="T162" s="158"/>
      <c r="U162" s="158"/>
      <c r="V162" s="158"/>
      <c r="W162" s="158"/>
      <c r="X162" s="158"/>
      <c r="Y162" s="158"/>
      <c r="Z162" s="158"/>
    </row>
    <row r="163" spans="1:26" ht="12" customHeight="1">
      <c r="A163" s="147"/>
      <c r="B163" s="158"/>
      <c r="C163" s="158"/>
      <c r="D163" s="158"/>
      <c r="E163" s="158"/>
      <c r="F163" s="158"/>
      <c r="G163" s="158"/>
      <c r="H163" s="158"/>
      <c r="I163" s="158"/>
      <c r="J163" s="158"/>
      <c r="K163" s="158"/>
      <c r="L163" s="158"/>
      <c r="M163" s="158"/>
      <c r="N163" s="158"/>
      <c r="O163" s="158"/>
      <c r="P163" s="158"/>
      <c r="Q163" s="158"/>
      <c r="R163" s="158"/>
      <c r="S163" s="158"/>
      <c r="T163" s="158"/>
      <c r="U163" s="158"/>
      <c r="V163" s="158"/>
      <c r="W163" s="158"/>
      <c r="X163" s="158"/>
      <c r="Y163" s="158"/>
      <c r="Z163" s="158"/>
    </row>
    <row r="164" spans="1:26" ht="12" customHeight="1">
      <c r="A164" s="147"/>
      <c r="B164" s="158"/>
      <c r="C164" s="158"/>
      <c r="D164" s="158"/>
      <c r="E164" s="158"/>
      <c r="F164" s="158"/>
      <c r="G164" s="158"/>
      <c r="H164" s="158"/>
      <c r="I164" s="158"/>
      <c r="J164" s="158"/>
      <c r="K164" s="158"/>
      <c r="L164" s="158"/>
      <c r="M164" s="158"/>
      <c r="N164" s="158"/>
      <c r="O164" s="158"/>
      <c r="P164" s="158"/>
      <c r="Q164" s="158"/>
      <c r="R164" s="158"/>
      <c r="S164" s="158"/>
      <c r="T164" s="158"/>
      <c r="U164" s="158"/>
      <c r="V164" s="158"/>
      <c r="W164" s="158"/>
      <c r="X164" s="158"/>
      <c r="Y164" s="158"/>
      <c r="Z164" s="158"/>
    </row>
    <row r="165" spans="1:26" ht="12" customHeight="1">
      <c r="A165" s="147"/>
      <c r="B165" s="158"/>
      <c r="C165" s="158"/>
      <c r="D165" s="158"/>
      <c r="E165" s="158"/>
      <c r="F165" s="158"/>
      <c r="G165" s="158"/>
      <c r="H165" s="158"/>
      <c r="I165" s="158"/>
      <c r="J165" s="158"/>
      <c r="K165" s="158"/>
      <c r="L165" s="158"/>
      <c r="M165" s="158"/>
      <c r="N165" s="158"/>
      <c r="O165" s="158"/>
      <c r="P165" s="158"/>
      <c r="Q165" s="158"/>
      <c r="R165" s="158"/>
      <c r="S165" s="158"/>
      <c r="T165" s="158"/>
      <c r="U165" s="158"/>
      <c r="V165" s="158"/>
      <c r="W165" s="158"/>
      <c r="X165" s="158"/>
      <c r="Y165" s="158"/>
      <c r="Z165" s="158"/>
    </row>
    <row r="166" spans="1:26" ht="12" customHeight="1">
      <c r="A166" s="147"/>
      <c r="B166" s="158"/>
      <c r="C166" s="158"/>
      <c r="D166" s="158"/>
      <c r="E166" s="158"/>
      <c r="F166" s="158"/>
      <c r="G166" s="158"/>
      <c r="H166" s="158"/>
      <c r="I166" s="158"/>
      <c r="J166" s="158"/>
      <c r="K166" s="158"/>
      <c r="L166" s="158"/>
      <c r="M166" s="158"/>
      <c r="N166" s="158"/>
      <c r="O166" s="158"/>
      <c r="P166" s="158"/>
      <c r="Q166" s="158"/>
      <c r="R166" s="158"/>
      <c r="S166" s="158"/>
      <c r="T166" s="158"/>
      <c r="U166" s="158"/>
      <c r="V166" s="158"/>
      <c r="W166" s="158"/>
      <c r="X166" s="158"/>
      <c r="Y166" s="158"/>
      <c r="Z166" s="158"/>
    </row>
    <row r="167" spans="1:26" ht="12" customHeight="1">
      <c r="A167" s="147"/>
      <c r="B167" s="158"/>
      <c r="C167" s="158"/>
      <c r="D167" s="158"/>
      <c r="E167" s="158"/>
      <c r="F167" s="158"/>
      <c r="G167" s="158"/>
      <c r="H167" s="158"/>
      <c r="I167" s="158"/>
      <c r="J167" s="158"/>
      <c r="K167" s="158"/>
      <c r="L167" s="158"/>
      <c r="M167" s="158"/>
      <c r="N167" s="158"/>
      <c r="O167" s="158"/>
      <c r="P167" s="158"/>
      <c r="Q167" s="158"/>
      <c r="R167" s="158"/>
      <c r="S167" s="158"/>
      <c r="T167" s="158"/>
      <c r="U167" s="158"/>
      <c r="V167" s="158"/>
      <c r="W167" s="158"/>
      <c r="X167" s="158"/>
      <c r="Y167" s="158"/>
      <c r="Z167" s="158"/>
    </row>
    <row r="168" spans="1:26" ht="12" customHeight="1">
      <c r="A168" s="147"/>
      <c r="B168" s="158"/>
      <c r="C168" s="158"/>
      <c r="D168" s="158"/>
      <c r="E168" s="158"/>
      <c r="F168" s="158"/>
      <c r="G168" s="158"/>
      <c r="H168" s="158"/>
      <c r="I168" s="158"/>
      <c r="J168" s="158"/>
      <c r="K168" s="158"/>
      <c r="L168" s="158"/>
      <c r="M168" s="158"/>
      <c r="N168" s="158"/>
      <c r="O168" s="158"/>
      <c r="P168" s="158"/>
      <c r="Q168" s="158"/>
      <c r="R168" s="158"/>
      <c r="S168" s="158"/>
      <c r="T168" s="158"/>
      <c r="U168" s="158"/>
      <c r="V168" s="158"/>
      <c r="W168" s="158"/>
      <c r="X168" s="158"/>
      <c r="Y168" s="158"/>
      <c r="Z168" s="158"/>
    </row>
    <row r="169" spans="1:26" ht="12" customHeight="1">
      <c r="A169" s="147"/>
      <c r="B169" s="158"/>
      <c r="C169" s="158"/>
      <c r="D169" s="158"/>
      <c r="E169" s="158"/>
      <c r="F169" s="158"/>
      <c r="G169" s="158"/>
      <c r="H169" s="158"/>
      <c r="I169" s="158"/>
      <c r="J169" s="158"/>
      <c r="K169" s="158"/>
      <c r="L169" s="158"/>
      <c r="M169" s="158"/>
      <c r="N169" s="158"/>
      <c r="O169" s="158"/>
      <c r="P169" s="158"/>
      <c r="Q169" s="158"/>
      <c r="R169" s="158"/>
      <c r="S169" s="158"/>
      <c r="T169" s="158"/>
      <c r="U169" s="158"/>
      <c r="V169" s="158"/>
      <c r="W169" s="158"/>
      <c r="X169" s="158"/>
      <c r="Y169" s="158"/>
      <c r="Z169" s="158"/>
    </row>
    <row r="170" spans="1:26" ht="12" customHeight="1">
      <c r="A170" s="147"/>
      <c r="B170" s="158"/>
      <c r="C170" s="158"/>
      <c r="D170" s="158"/>
      <c r="E170" s="158"/>
      <c r="F170" s="158"/>
      <c r="G170" s="158"/>
      <c r="H170" s="158"/>
      <c r="I170" s="158"/>
      <c r="J170" s="158"/>
      <c r="K170" s="158"/>
      <c r="L170" s="158"/>
      <c r="M170" s="158"/>
      <c r="N170" s="158"/>
      <c r="O170" s="158"/>
      <c r="P170" s="158"/>
      <c r="Q170" s="158"/>
      <c r="R170" s="158"/>
      <c r="S170" s="158"/>
      <c r="T170" s="158"/>
      <c r="U170" s="158"/>
      <c r="V170" s="158"/>
      <c r="W170" s="158"/>
      <c r="X170" s="158"/>
      <c r="Y170" s="158"/>
      <c r="Z170" s="158"/>
    </row>
    <row r="171" spans="1:26" ht="12" customHeight="1">
      <c r="A171" s="147"/>
      <c r="B171" s="158"/>
      <c r="C171" s="158"/>
      <c r="D171" s="158"/>
      <c r="E171" s="158"/>
      <c r="F171" s="158"/>
      <c r="G171" s="158"/>
      <c r="H171" s="158"/>
      <c r="I171" s="158"/>
      <c r="J171" s="158"/>
      <c r="K171" s="158"/>
      <c r="L171" s="158"/>
      <c r="M171" s="158"/>
      <c r="N171" s="158"/>
      <c r="O171" s="158"/>
      <c r="P171" s="158"/>
      <c r="Q171" s="158"/>
      <c r="R171" s="158"/>
      <c r="S171" s="158"/>
      <c r="T171" s="158"/>
      <c r="U171" s="158"/>
      <c r="V171" s="158"/>
      <c r="W171" s="158"/>
      <c r="X171" s="158"/>
      <c r="Y171" s="158"/>
      <c r="Z171" s="158"/>
    </row>
    <row r="172" spans="1:26" ht="12" customHeight="1">
      <c r="A172" s="147"/>
      <c r="B172" s="158"/>
      <c r="C172" s="158"/>
      <c r="D172" s="158"/>
      <c r="E172" s="158"/>
      <c r="F172" s="158"/>
      <c r="G172" s="158"/>
      <c r="H172" s="158"/>
      <c r="I172" s="158"/>
      <c r="J172" s="158"/>
      <c r="K172" s="158"/>
      <c r="L172" s="158"/>
      <c r="M172" s="158"/>
      <c r="N172" s="158"/>
      <c r="O172" s="158"/>
      <c r="P172" s="158"/>
      <c r="Q172" s="158"/>
      <c r="R172" s="158"/>
      <c r="S172" s="158"/>
      <c r="T172" s="158"/>
      <c r="U172" s="158"/>
      <c r="V172" s="158"/>
      <c r="W172" s="158"/>
      <c r="X172" s="158"/>
      <c r="Y172" s="158"/>
      <c r="Z172" s="158"/>
    </row>
    <row r="173" spans="1:26" ht="12" customHeight="1">
      <c r="A173" s="147"/>
      <c r="B173" s="158"/>
      <c r="C173" s="158"/>
      <c r="D173" s="158"/>
      <c r="E173" s="158"/>
      <c r="F173" s="158"/>
      <c r="G173" s="158"/>
      <c r="H173" s="158"/>
      <c r="I173" s="158"/>
      <c r="J173" s="158"/>
      <c r="K173" s="158"/>
      <c r="L173" s="158"/>
      <c r="M173" s="158"/>
      <c r="N173" s="158"/>
      <c r="O173" s="158"/>
      <c r="P173" s="158"/>
      <c r="Q173" s="158"/>
      <c r="R173" s="158"/>
      <c r="S173" s="158"/>
      <c r="T173" s="158"/>
      <c r="U173" s="158"/>
      <c r="V173" s="158"/>
      <c r="W173" s="158"/>
      <c r="X173" s="158"/>
      <c r="Y173" s="158"/>
      <c r="Z173" s="158"/>
    </row>
    <row r="174" spans="1:26" ht="12" customHeight="1">
      <c r="A174" s="147"/>
      <c r="B174" s="158"/>
      <c r="C174" s="158"/>
      <c r="D174" s="158"/>
      <c r="E174" s="158"/>
      <c r="F174" s="158"/>
      <c r="G174" s="158"/>
      <c r="H174" s="158"/>
      <c r="I174" s="158"/>
      <c r="J174" s="158"/>
      <c r="K174" s="158"/>
      <c r="L174" s="158"/>
      <c r="M174" s="158"/>
      <c r="N174" s="158"/>
      <c r="O174" s="158"/>
      <c r="P174" s="158"/>
      <c r="Q174" s="158"/>
      <c r="R174" s="158"/>
      <c r="S174" s="158"/>
      <c r="T174" s="158"/>
      <c r="U174" s="158"/>
      <c r="V174" s="158"/>
      <c r="W174" s="158"/>
      <c r="X174" s="158"/>
      <c r="Y174" s="158"/>
      <c r="Z174" s="158"/>
    </row>
    <row r="175" spans="1:26" ht="12" customHeight="1">
      <c r="A175" s="147"/>
      <c r="B175" s="158"/>
      <c r="C175" s="158"/>
      <c r="D175" s="158"/>
      <c r="E175" s="158"/>
      <c r="F175" s="158"/>
      <c r="G175" s="158"/>
      <c r="H175" s="158"/>
      <c r="I175" s="158"/>
      <c r="J175" s="158"/>
      <c r="K175" s="158"/>
      <c r="L175" s="158"/>
      <c r="M175" s="158"/>
      <c r="N175" s="158"/>
      <c r="O175" s="158"/>
      <c r="P175" s="158"/>
      <c r="Q175" s="158"/>
      <c r="R175" s="158"/>
      <c r="S175" s="158"/>
      <c r="T175" s="158"/>
      <c r="U175" s="158"/>
      <c r="V175" s="158"/>
      <c r="W175" s="158"/>
      <c r="X175" s="158"/>
      <c r="Y175" s="158"/>
      <c r="Z175" s="158"/>
    </row>
    <row r="176" spans="1:26" ht="12" customHeight="1">
      <c r="A176" s="147"/>
      <c r="B176" s="158"/>
      <c r="C176" s="158"/>
      <c r="D176" s="158"/>
      <c r="E176" s="158"/>
      <c r="F176" s="158"/>
      <c r="G176" s="158"/>
      <c r="H176" s="158"/>
      <c r="I176" s="158"/>
      <c r="J176" s="158"/>
      <c r="K176" s="158"/>
      <c r="L176" s="158"/>
      <c r="M176" s="158"/>
      <c r="N176" s="158"/>
      <c r="O176" s="158"/>
      <c r="P176" s="158"/>
      <c r="Q176" s="158"/>
      <c r="R176" s="158"/>
      <c r="S176" s="158"/>
      <c r="T176" s="158"/>
      <c r="U176" s="158"/>
      <c r="V176" s="158"/>
      <c r="W176" s="158"/>
      <c r="X176" s="158"/>
      <c r="Y176" s="158"/>
      <c r="Z176" s="158"/>
    </row>
    <row r="177" spans="1:26" ht="12" customHeight="1">
      <c r="A177" s="147"/>
      <c r="B177" s="158"/>
      <c r="C177" s="158"/>
      <c r="D177" s="158"/>
      <c r="E177" s="158"/>
      <c r="F177" s="158"/>
      <c r="G177" s="158"/>
      <c r="H177" s="158"/>
      <c r="I177" s="158"/>
      <c r="J177" s="158"/>
      <c r="K177" s="158"/>
      <c r="L177" s="158"/>
      <c r="M177" s="158"/>
      <c r="N177" s="158"/>
      <c r="O177" s="158"/>
      <c r="P177" s="158"/>
      <c r="Q177" s="158"/>
      <c r="R177" s="158"/>
      <c r="S177" s="158"/>
      <c r="T177" s="158"/>
      <c r="U177" s="158"/>
      <c r="V177" s="158"/>
      <c r="W177" s="158"/>
      <c r="X177" s="158"/>
      <c r="Y177" s="158"/>
      <c r="Z177" s="158"/>
    </row>
    <row r="178" spans="1:26" ht="12" customHeight="1">
      <c r="A178" s="147"/>
      <c r="B178" s="158"/>
      <c r="C178" s="158"/>
      <c r="D178" s="158"/>
      <c r="E178" s="158"/>
      <c r="F178" s="158"/>
      <c r="G178" s="158"/>
      <c r="H178" s="158"/>
      <c r="I178" s="158"/>
      <c r="J178" s="158"/>
      <c r="K178" s="158"/>
      <c r="L178" s="158"/>
      <c r="M178" s="158"/>
      <c r="N178" s="158"/>
      <c r="O178" s="158"/>
      <c r="P178" s="158"/>
      <c r="Q178" s="158"/>
      <c r="R178" s="158"/>
      <c r="S178" s="158"/>
      <c r="T178" s="158"/>
      <c r="U178" s="158"/>
      <c r="V178" s="158"/>
      <c r="W178" s="158"/>
      <c r="X178" s="158"/>
      <c r="Y178" s="158"/>
      <c r="Z178" s="158"/>
    </row>
    <row r="179" spans="1:26" ht="12" customHeight="1">
      <c r="A179" s="147"/>
      <c r="B179" s="158"/>
      <c r="C179" s="158"/>
      <c r="D179" s="158"/>
      <c r="E179" s="158"/>
      <c r="F179" s="158"/>
      <c r="G179" s="158"/>
      <c r="H179" s="158"/>
      <c r="I179" s="158"/>
      <c r="J179" s="158"/>
      <c r="K179" s="158"/>
      <c r="L179" s="158"/>
      <c r="M179" s="158"/>
      <c r="N179" s="158"/>
      <c r="O179" s="158"/>
      <c r="P179" s="158"/>
      <c r="Q179" s="158"/>
      <c r="R179" s="158"/>
      <c r="S179" s="158"/>
      <c r="T179" s="158"/>
      <c r="U179" s="158"/>
      <c r="V179" s="158"/>
      <c r="W179" s="158"/>
      <c r="X179" s="158"/>
      <c r="Y179" s="158"/>
      <c r="Z179" s="158"/>
    </row>
    <row r="180" spans="1:26" ht="12" customHeight="1">
      <c r="A180" s="147"/>
      <c r="B180" s="158"/>
      <c r="C180" s="158"/>
      <c r="D180" s="158"/>
      <c r="E180" s="158"/>
      <c r="F180" s="158"/>
      <c r="G180" s="158"/>
      <c r="H180" s="158"/>
      <c r="I180" s="158"/>
      <c r="J180" s="158"/>
      <c r="K180" s="158"/>
      <c r="L180" s="158"/>
      <c r="M180" s="158"/>
      <c r="N180" s="158"/>
      <c r="O180" s="158"/>
      <c r="P180" s="158"/>
      <c r="Q180" s="158"/>
      <c r="R180" s="158"/>
      <c r="S180" s="158"/>
      <c r="T180" s="158"/>
      <c r="U180" s="158"/>
      <c r="V180" s="158"/>
      <c r="W180" s="158"/>
      <c r="X180" s="158"/>
      <c r="Y180" s="158"/>
      <c r="Z180" s="158"/>
    </row>
    <row r="181" spans="1:26" ht="12" customHeight="1">
      <c r="A181" s="147"/>
      <c r="B181" s="158"/>
      <c r="C181" s="158"/>
      <c r="D181" s="158"/>
      <c r="E181" s="158"/>
      <c r="F181" s="158"/>
      <c r="G181" s="158"/>
      <c r="H181" s="158"/>
      <c r="I181" s="158"/>
      <c r="J181" s="158"/>
      <c r="K181" s="158"/>
      <c r="L181" s="158"/>
      <c r="M181" s="158"/>
      <c r="N181" s="158"/>
      <c r="O181" s="158"/>
      <c r="P181" s="158"/>
      <c r="Q181" s="158"/>
      <c r="R181" s="158"/>
      <c r="S181" s="158"/>
      <c r="T181" s="158"/>
      <c r="U181" s="158"/>
      <c r="V181" s="158"/>
      <c r="W181" s="158"/>
      <c r="X181" s="158"/>
      <c r="Y181" s="158"/>
      <c r="Z181" s="158"/>
    </row>
    <row r="182" spans="1:26" ht="12" customHeight="1">
      <c r="A182" s="147"/>
      <c r="B182" s="158"/>
      <c r="C182" s="158"/>
      <c r="D182" s="158"/>
      <c r="E182" s="158"/>
      <c r="F182" s="158"/>
      <c r="G182" s="158"/>
      <c r="H182" s="158"/>
      <c r="I182" s="158"/>
      <c r="J182" s="158"/>
      <c r="K182" s="158"/>
      <c r="L182" s="158"/>
      <c r="M182" s="158"/>
      <c r="N182" s="158"/>
      <c r="O182" s="158"/>
      <c r="P182" s="158"/>
      <c r="Q182" s="158"/>
      <c r="R182" s="158"/>
      <c r="S182" s="158"/>
      <c r="T182" s="158"/>
      <c r="U182" s="158"/>
      <c r="V182" s="158"/>
      <c r="W182" s="158"/>
      <c r="X182" s="158"/>
      <c r="Y182" s="158"/>
      <c r="Z182" s="158"/>
    </row>
    <row r="183" spans="1:26" ht="12" customHeight="1">
      <c r="A183" s="147"/>
      <c r="B183" s="158"/>
      <c r="C183" s="158"/>
      <c r="D183" s="158"/>
      <c r="E183" s="158"/>
      <c r="F183" s="158"/>
      <c r="G183" s="158"/>
      <c r="H183" s="158"/>
      <c r="I183" s="158"/>
      <c r="J183" s="158"/>
      <c r="K183" s="158"/>
      <c r="L183" s="158"/>
      <c r="M183" s="158"/>
      <c r="N183" s="158"/>
      <c r="O183" s="158"/>
      <c r="P183" s="158"/>
      <c r="Q183" s="158"/>
      <c r="R183" s="158"/>
      <c r="S183" s="158"/>
      <c r="T183" s="158"/>
      <c r="U183" s="158"/>
      <c r="V183" s="158"/>
      <c r="W183" s="158"/>
      <c r="X183" s="158"/>
      <c r="Y183" s="158"/>
      <c r="Z183" s="158"/>
    </row>
    <row r="184" spans="1:26" ht="12" customHeight="1">
      <c r="A184" s="147"/>
      <c r="B184" s="158"/>
      <c r="C184" s="158"/>
      <c r="D184" s="158"/>
      <c r="E184" s="158"/>
      <c r="F184" s="158"/>
      <c r="G184" s="158"/>
      <c r="H184" s="158"/>
      <c r="I184" s="158"/>
      <c r="J184" s="158"/>
      <c r="K184" s="158"/>
      <c r="L184" s="158"/>
      <c r="M184" s="158"/>
      <c r="N184" s="158"/>
      <c r="O184" s="158"/>
      <c r="P184" s="158"/>
      <c r="Q184" s="158"/>
      <c r="R184" s="158"/>
      <c r="S184" s="158"/>
      <c r="T184" s="158"/>
      <c r="U184" s="158"/>
      <c r="V184" s="158"/>
      <c r="W184" s="158"/>
      <c r="X184" s="158"/>
      <c r="Y184" s="158"/>
      <c r="Z184" s="158"/>
    </row>
    <row r="185" spans="1:26" ht="12" customHeight="1">
      <c r="A185" s="147"/>
      <c r="B185" s="158"/>
      <c r="C185" s="158"/>
      <c r="D185" s="158"/>
      <c r="E185" s="158"/>
      <c r="F185" s="158"/>
      <c r="G185" s="158"/>
      <c r="H185" s="158"/>
      <c r="I185" s="158"/>
      <c r="J185" s="158"/>
      <c r="K185" s="158"/>
      <c r="L185" s="158"/>
      <c r="M185" s="158"/>
      <c r="N185" s="158"/>
      <c r="O185" s="158"/>
      <c r="P185" s="158"/>
      <c r="Q185" s="158"/>
      <c r="R185" s="158"/>
      <c r="S185" s="158"/>
      <c r="T185" s="158"/>
      <c r="U185" s="158"/>
      <c r="V185" s="158"/>
      <c r="W185" s="158"/>
      <c r="X185" s="158"/>
      <c r="Y185" s="158"/>
      <c r="Z185" s="158"/>
    </row>
    <row r="186" spans="1:26" ht="12" customHeight="1">
      <c r="A186" s="147"/>
      <c r="B186" s="158"/>
      <c r="C186" s="158"/>
      <c r="D186" s="158"/>
      <c r="E186" s="158"/>
      <c r="F186" s="158"/>
      <c r="G186" s="158"/>
      <c r="H186" s="158"/>
      <c r="I186" s="158"/>
      <c r="J186" s="158"/>
      <c r="K186" s="158"/>
      <c r="L186" s="158"/>
      <c r="M186" s="158"/>
      <c r="N186" s="158"/>
      <c r="O186" s="158"/>
      <c r="P186" s="158"/>
      <c r="Q186" s="158"/>
      <c r="R186" s="158"/>
      <c r="S186" s="158"/>
      <c r="T186" s="158"/>
      <c r="U186" s="158"/>
      <c r="V186" s="158"/>
      <c r="W186" s="158"/>
      <c r="X186" s="158"/>
      <c r="Y186" s="158"/>
      <c r="Z186" s="158"/>
    </row>
    <row r="187" spans="1:26" ht="12" customHeight="1">
      <c r="A187" s="147"/>
      <c r="B187" s="158"/>
      <c r="C187" s="158"/>
      <c r="D187" s="158"/>
      <c r="E187" s="158"/>
      <c r="F187" s="158"/>
      <c r="G187" s="158"/>
      <c r="H187" s="158"/>
      <c r="I187" s="158"/>
      <c r="J187" s="158"/>
      <c r="K187" s="158"/>
      <c r="L187" s="158"/>
      <c r="M187" s="158"/>
      <c r="N187" s="158"/>
      <c r="O187" s="158"/>
      <c r="P187" s="158"/>
      <c r="Q187" s="158"/>
      <c r="R187" s="158"/>
      <c r="S187" s="158"/>
      <c r="T187" s="158"/>
      <c r="U187" s="158"/>
      <c r="V187" s="158"/>
      <c r="W187" s="158"/>
      <c r="X187" s="158"/>
      <c r="Y187" s="158"/>
      <c r="Z187" s="158"/>
    </row>
    <row r="188" spans="1:26" ht="12" customHeight="1">
      <c r="A188" s="147"/>
      <c r="B188" s="158"/>
      <c r="C188" s="158"/>
      <c r="D188" s="158"/>
      <c r="E188" s="158"/>
      <c r="F188" s="158"/>
      <c r="G188" s="158"/>
      <c r="H188" s="158"/>
      <c r="I188" s="158"/>
      <c r="J188" s="158"/>
      <c r="K188" s="158"/>
      <c r="L188" s="158"/>
      <c r="M188" s="158"/>
      <c r="N188" s="158"/>
      <c r="O188" s="158"/>
      <c r="P188" s="158"/>
      <c r="Q188" s="158"/>
      <c r="R188" s="158"/>
      <c r="S188" s="158"/>
      <c r="T188" s="158"/>
      <c r="U188" s="158"/>
      <c r="V188" s="158"/>
      <c r="W188" s="158"/>
      <c r="X188" s="158"/>
      <c r="Y188" s="158"/>
      <c r="Z188" s="158"/>
    </row>
    <row r="189" spans="1:26" ht="12" customHeight="1">
      <c r="A189" s="147"/>
      <c r="B189" s="158"/>
      <c r="C189" s="158"/>
      <c r="D189" s="158"/>
      <c r="E189" s="158"/>
      <c r="F189" s="158"/>
      <c r="G189" s="158"/>
      <c r="H189" s="158"/>
      <c r="I189" s="158"/>
      <c r="J189" s="158"/>
      <c r="K189" s="158"/>
      <c r="L189" s="158"/>
      <c r="M189" s="158"/>
      <c r="N189" s="158"/>
      <c r="O189" s="158"/>
      <c r="P189" s="158"/>
      <c r="Q189" s="158"/>
      <c r="R189" s="158"/>
      <c r="S189" s="158"/>
      <c r="T189" s="158"/>
      <c r="U189" s="158"/>
      <c r="V189" s="158"/>
      <c r="W189" s="158"/>
      <c r="X189" s="158"/>
      <c r="Y189" s="158"/>
      <c r="Z189" s="158"/>
    </row>
    <row r="190" spans="1:26" ht="12" customHeight="1">
      <c r="A190" s="147"/>
      <c r="B190" s="158"/>
      <c r="C190" s="158"/>
      <c r="D190" s="158"/>
      <c r="E190" s="158"/>
      <c r="F190" s="158"/>
      <c r="G190" s="158"/>
      <c r="H190" s="158"/>
      <c r="I190" s="158"/>
      <c r="J190" s="158"/>
      <c r="K190" s="158"/>
      <c r="L190" s="158"/>
      <c r="M190" s="158"/>
      <c r="N190" s="158"/>
      <c r="O190" s="158"/>
      <c r="P190" s="158"/>
      <c r="Q190" s="158"/>
      <c r="R190" s="158"/>
      <c r="S190" s="158"/>
      <c r="T190" s="158"/>
      <c r="U190" s="158"/>
      <c r="V190" s="158"/>
      <c r="W190" s="158"/>
      <c r="X190" s="158"/>
      <c r="Y190" s="158"/>
      <c r="Z190" s="158"/>
    </row>
    <row r="191" spans="1:26" ht="12" customHeight="1">
      <c r="A191" s="147"/>
      <c r="B191" s="158"/>
      <c r="C191" s="158"/>
      <c r="D191" s="158"/>
      <c r="E191" s="158"/>
      <c r="F191" s="158"/>
      <c r="G191" s="158"/>
      <c r="H191" s="158"/>
      <c r="I191" s="158"/>
      <c r="J191" s="158"/>
      <c r="K191" s="158"/>
      <c r="L191" s="158"/>
      <c r="M191" s="158"/>
      <c r="N191" s="158"/>
      <c r="O191" s="158"/>
      <c r="P191" s="158"/>
      <c r="Q191" s="158"/>
      <c r="R191" s="158"/>
      <c r="S191" s="158"/>
      <c r="T191" s="158"/>
      <c r="U191" s="158"/>
      <c r="V191" s="158"/>
      <c r="W191" s="158"/>
      <c r="X191" s="158"/>
      <c r="Y191" s="158"/>
      <c r="Z191" s="158"/>
    </row>
    <row r="192" spans="1:26" ht="12" customHeight="1">
      <c r="A192" s="147"/>
      <c r="B192" s="158"/>
      <c r="C192" s="158"/>
      <c r="D192" s="158"/>
      <c r="E192" s="158"/>
      <c r="F192" s="158"/>
      <c r="G192" s="158"/>
      <c r="H192" s="158"/>
      <c r="I192" s="158"/>
      <c r="J192" s="158"/>
      <c r="K192" s="158"/>
      <c r="L192" s="158"/>
      <c r="M192" s="158"/>
      <c r="N192" s="158"/>
      <c r="O192" s="158"/>
      <c r="P192" s="158"/>
      <c r="Q192" s="158"/>
      <c r="R192" s="158"/>
      <c r="S192" s="158"/>
      <c r="T192" s="158"/>
      <c r="U192" s="158"/>
      <c r="V192" s="158"/>
      <c r="W192" s="158"/>
      <c r="X192" s="158"/>
      <c r="Y192" s="158"/>
      <c r="Z192" s="158"/>
    </row>
    <row r="193" spans="1:26" ht="12" customHeight="1">
      <c r="A193" s="147"/>
      <c r="B193" s="158"/>
      <c r="C193" s="158"/>
      <c r="D193" s="158"/>
      <c r="E193" s="158"/>
      <c r="F193" s="158"/>
      <c r="G193" s="158"/>
      <c r="H193" s="158"/>
      <c r="I193" s="158"/>
      <c r="J193" s="158"/>
      <c r="K193" s="158"/>
      <c r="L193" s="158"/>
      <c r="M193" s="158"/>
      <c r="N193" s="158"/>
      <c r="O193" s="158"/>
      <c r="P193" s="158"/>
      <c r="Q193" s="158"/>
      <c r="R193" s="158"/>
      <c r="S193" s="158"/>
      <c r="T193" s="158"/>
      <c r="U193" s="158"/>
      <c r="V193" s="158"/>
      <c r="W193" s="158"/>
      <c r="X193" s="158"/>
      <c r="Y193" s="158"/>
      <c r="Z193" s="158"/>
    </row>
    <row r="194" spans="1:26" ht="12" customHeight="1">
      <c r="A194" s="147"/>
      <c r="B194" s="158"/>
      <c r="C194" s="158"/>
      <c r="D194" s="158"/>
      <c r="E194" s="158"/>
      <c r="F194" s="158"/>
      <c r="G194" s="158"/>
      <c r="H194" s="158"/>
      <c r="I194" s="158"/>
      <c r="J194" s="158"/>
      <c r="K194" s="158"/>
      <c r="L194" s="158"/>
      <c r="M194" s="158"/>
      <c r="N194" s="158"/>
      <c r="O194" s="158"/>
      <c r="P194" s="158"/>
      <c r="Q194" s="158"/>
      <c r="R194" s="158"/>
      <c r="S194" s="158"/>
      <c r="T194" s="158"/>
      <c r="U194" s="158"/>
      <c r="V194" s="158"/>
      <c r="W194" s="158"/>
      <c r="X194" s="158"/>
      <c r="Y194" s="158"/>
      <c r="Z194" s="158"/>
    </row>
    <row r="195" spans="1:26" ht="12" customHeight="1">
      <c r="A195" s="147"/>
      <c r="B195" s="158"/>
      <c r="C195" s="158"/>
      <c r="D195" s="158"/>
      <c r="E195" s="158"/>
      <c r="F195" s="158"/>
      <c r="G195" s="158"/>
      <c r="H195" s="158"/>
      <c r="I195" s="158"/>
      <c r="J195" s="158"/>
      <c r="K195" s="158"/>
      <c r="L195" s="158"/>
      <c r="M195" s="158"/>
      <c r="N195" s="158"/>
      <c r="O195" s="158"/>
      <c r="P195" s="158"/>
      <c r="Q195" s="158"/>
      <c r="R195" s="158"/>
      <c r="S195" s="158"/>
      <c r="T195" s="158"/>
      <c r="U195" s="158"/>
      <c r="V195" s="158"/>
      <c r="W195" s="158"/>
      <c r="X195" s="158"/>
      <c r="Y195" s="158"/>
      <c r="Z195" s="158"/>
    </row>
    <row r="196" spans="1:26" ht="12" customHeight="1">
      <c r="A196" s="147"/>
      <c r="B196" s="158"/>
      <c r="C196" s="158"/>
      <c r="D196" s="158"/>
      <c r="E196" s="158"/>
      <c r="F196" s="158"/>
      <c r="G196" s="158"/>
      <c r="H196" s="158"/>
      <c r="I196" s="158"/>
      <c r="J196" s="158"/>
      <c r="K196" s="158"/>
      <c r="L196" s="158"/>
      <c r="M196" s="158"/>
      <c r="N196" s="158"/>
      <c r="O196" s="158"/>
      <c r="P196" s="158"/>
      <c r="Q196" s="158"/>
      <c r="R196" s="158"/>
      <c r="S196" s="158"/>
      <c r="T196" s="158"/>
      <c r="U196" s="158"/>
      <c r="V196" s="158"/>
      <c r="W196" s="158"/>
      <c r="X196" s="158"/>
      <c r="Y196" s="158"/>
      <c r="Z196" s="158"/>
    </row>
    <row r="197" spans="1:26" ht="12" customHeight="1">
      <c r="A197" s="147"/>
      <c r="B197" s="158"/>
      <c r="C197" s="158"/>
      <c r="D197" s="158"/>
      <c r="E197" s="158"/>
      <c r="F197" s="158"/>
      <c r="G197" s="158"/>
      <c r="H197" s="158"/>
      <c r="I197" s="158"/>
      <c r="J197" s="158"/>
      <c r="K197" s="158"/>
      <c r="L197" s="158"/>
      <c r="M197" s="158"/>
      <c r="N197" s="158"/>
      <c r="O197" s="158"/>
      <c r="P197" s="158"/>
      <c r="Q197" s="158"/>
      <c r="R197" s="158"/>
      <c r="S197" s="158"/>
      <c r="T197" s="158"/>
      <c r="U197" s="158"/>
      <c r="V197" s="158"/>
      <c r="W197" s="158"/>
      <c r="X197" s="158"/>
      <c r="Y197" s="158"/>
      <c r="Z197" s="158"/>
    </row>
    <row r="198" spans="1:26" ht="12" customHeight="1">
      <c r="A198" s="147"/>
      <c r="B198" s="158"/>
      <c r="C198" s="158"/>
      <c r="D198" s="158"/>
      <c r="E198" s="158"/>
      <c r="F198" s="158"/>
      <c r="G198" s="158"/>
      <c r="H198" s="158"/>
      <c r="I198" s="158"/>
      <c r="J198" s="158"/>
      <c r="K198" s="158"/>
      <c r="L198" s="158"/>
      <c r="M198" s="158"/>
      <c r="N198" s="158"/>
      <c r="O198" s="158"/>
      <c r="P198" s="158"/>
      <c r="Q198" s="158"/>
      <c r="R198" s="158"/>
      <c r="S198" s="158"/>
      <c r="T198" s="158"/>
      <c r="U198" s="158"/>
      <c r="V198" s="158"/>
      <c r="W198" s="158"/>
      <c r="X198" s="158"/>
      <c r="Y198" s="158"/>
      <c r="Z198" s="158"/>
    </row>
    <row r="199" spans="1:26" ht="12" customHeight="1">
      <c r="A199" s="147"/>
      <c r="B199" s="158"/>
      <c r="C199" s="158"/>
      <c r="D199" s="158"/>
      <c r="E199" s="158"/>
      <c r="F199" s="158"/>
      <c r="G199" s="158"/>
      <c r="H199" s="158"/>
      <c r="I199" s="158"/>
      <c r="J199" s="158"/>
      <c r="K199" s="158"/>
      <c r="L199" s="158"/>
      <c r="M199" s="158"/>
      <c r="N199" s="158"/>
      <c r="O199" s="158"/>
      <c r="P199" s="158"/>
      <c r="Q199" s="158"/>
      <c r="R199" s="158"/>
      <c r="S199" s="158"/>
      <c r="T199" s="158"/>
      <c r="U199" s="158"/>
      <c r="V199" s="158"/>
      <c r="W199" s="158"/>
      <c r="X199" s="158"/>
      <c r="Y199" s="158"/>
      <c r="Z199" s="158"/>
    </row>
    <row r="200" spans="1:26" ht="12" customHeight="1">
      <c r="A200" s="147"/>
      <c r="B200" s="158"/>
      <c r="C200" s="158"/>
      <c r="D200" s="158"/>
      <c r="E200" s="158"/>
      <c r="F200" s="158"/>
      <c r="G200" s="158"/>
      <c r="H200" s="158"/>
      <c r="I200" s="158"/>
      <c r="J200" s="158"/>
      <c r="K200" s="158"/>
      <c r="L200" s="158"/>
      <c r="M200" s="158"/>
      <c r="N200" s="158"/>
      <c r="O200" s="158"/>
      <c r="P200" s="158"/>
      <c r="Q200" s="158"/>
      <c r="R200" s="158"/>
      <c r="S200" s="158"/>
      <c r="T200" s="158"/>
      <c r="U200" s="158"/>
      <c r="V200" s="158"/>
      <c r="W200" s="158"/>
      <c r="X200" s="158"/>
      <c r="Y200" s="158"/>
      <c r="Z200" s="158"/>
    </row>
    <row r="201" spans="1:26" ht="12" customHeight="1">
      <c r="A201" s="147"/>
      <c r="B201" s="158"/>
      <c r="C201" s="158"/>
      <c r="D201" s="158"/>
      <c r="E201" s="158"/>
      <c r="F201" s="158"/>
      <c r="G201" s="158"/>
      <c r="H201" s="158"/>
      <c r="I201" s="158"/>
      <c r="J201" s="158"/>
      <c r="K201" s="158"/>
      <c r="L201" s="158"/>
      <c r="M201" s="158"/>
      <c r="N201" s="158"/>
      <c r="O201" s="158"/>
      <c r="P201" s="158"/>
      <c r="Q201" s="158"/>
      <c r="R201" s="158"/>
      <c r="S201" s="158"/>
      <c r="T201" s="158"/>
      <c r="U201" s="158"/>
      <c r="V201" s="158"/>
      <c r="W201" s="158"/>
      <c r="X201" s="158"/>
      <c r="Y201" s="158"/>
      <c r="Z201" s="158"/>
    </row>
    <row r="202" spans="1:26" ht="12" customHeight="1">
      <c r="A202" s="147"/>
      <c r="B202" s="158"/>
      <c r="C202" s="158"/>
      <c r="D202" s="158"/>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row>
    <row r="203" spans="1:26" ht="12" customHeight="1">
      <c r="A203" s="147"/>
      <c r="B203" s="158"/>
      <c r="C203" s="158"/>
      <c r="D203" s="158"/>
      <c r="E203" s="158"/>
      <c r="F203" s="158"/>
      <c r="G203" s="158"/>
      <c r="H203" s="158"/>
      <c r="I203" s="158"/>
      <c r="J203" s="158"/>
      <c r="K203" s="158"/>
      <c r="L203" s="158"/>
      <c r="M203" s="158"/>
      <c r="N203" s="158"/>
      <c r="O203" s="158"/>
      <c r="P203" s="158"/>
      <c r="Q203" s="158"/>
      <c r="R203" s="158"/>
      <c r="S203" s="158"/>
      <c r="T203" s="158"/>
      <c r="U203" s="158"/>
      <c r="V203" s="158"/>
      <c r="W203" s="158"/>
      <c r="X203" s="158"/>
      <c r="Y203" s="158"/>
      <c r="Z203" s="158"/>
    </row>
    <row r="204" spans="1:26" ht="12" customHeight="1">
      <c r="A204" s="147"/>
      <c r="B204" s="158"/>
      <c r="C204" s="158"/>
      <c r="D204" s="158"/>
      <c r="E204" s="158"/>
      <c r="F204" s="158"/>
      <c r="G204" s="158"/>
      <c r="H204" s="158"/>
      <c r="I204" s="158"/>
      <c r="J204" s="158"/>
      <c r="K204" s="158"/>
      <c r="L204" s="158"/>
      <c r="M204" s="158"/>
      <c r="N204" s="158"/>
      <c r="O204" s="158"/>
      <c r="P204" s="158"/>
      <c r="Q204" s="158"/>
      <c r="R204" s="158"/>
      <c r="S204" s="158"/>
      <c r="T204" s="158"/>
      <c r="U204" s="158"/>
      <c r="V204" s="158"/>
      <c r="W204" s="158"/>
      <c r="X204" s="158"/>
      <c r="Y204" s="158"/>
      <c r="Z204" s="158"/>
    </row>
    <row r="205" spans="1:26" ht="12" customHeight="1">
      <c r="A205" s="147"/>
      <c r="B205" s="158"/>
      <c r="C205" s="158"/>
      <c r="D205" s="158"/>
      <c r="E205" s="158"/>
      <c r="F205" s="158"/>
      <c r="G205" s="158"/>
      <c r="H205" s="158"/>
      <c r="I205" s="158"/>
      <c r="J205" s="158"/>
      <c r="K205" s="158"/>
      <c r="L205" s="158"/>
      <c r="M205" s="158"/>
      <c r="N205" s="158"/>
      <c r="O205" s="158"/>
      <c r="P205" s="158"/>
      <c r="Q205" s="158"/>
      <c r="R205" s="158"/>
      <c r="S205" s="158"/>
      <c r="T205" s="158"/>
      <c r="U205" s="158"/>
      <c r="V205" s="158"/>
      <c r="W205" s="158"/>
      <c r="X205" s="158"/>
      <c r="Y205" s="158"/>
      <c r="Z205" s="158"/>
    </row>
    <row r="206" spans="1:26" ht="12" customHeight="1">
      <c r="A206" s="147"/>
      <c r="B206" s="158"/>
      <c r="C206" s="158"/>
      <c r="D206" s="158"/>
      <c r="E206" s="158"/>
      <c r="F206" s="158"/>
      <c r="G206" s="158"/>
      <c r="H206" s="158"/>
      <c r="I206" s="158"/>
      <c r="J206" s="158"/>
      <c r="K206" s="158"/>
      <c r="L206" s="158"/>
      <c r="M206" s="158"/>
      <c r="N206" s="158"/>
      <c r="O206" s="158"/>
      <c r="P206" s="158"/>
      <c r="Q206" s="158"/>
      <c r="R206" s="158"/>
      <c r="S206" s="158"/>
      <c r="T206" s="158"/>
      <c r="U206" s="158"/>
      <c r="V206" s="158"/>
      <c r="W206" s="158"/>
      <c r="X206" s="158"/>
      <c r="Y206" s="158"/>
      <c r="Z206" s="158"/>
    </row>
    <row r="207" spans="1:26" ht="12" customHeight="1">
      <c r="A207" s="147"/>
      <c r="B207" s="158"/>
      <c r="C207" s="158"/>
      <c r="D207" s="158"/>
      <c r="E207" s="158"/>
      <c r="F207" s="158"/>
      <c r="G207" s="158"/>
      <c r="H207" s="158"/>
      <c r="I207" s="158"/>
      <c r="J207" s="158"/>
      <c r="K207" s="158"/>
      <c r="L207" s="158"/>
      <c r="M207" s="158"/>
      <c r="N207" s="158"/>
      <c r="O207" s="158"/>
      <c r="P207" s="158"/>
      <c r="Q207" s="158"/>
      <c r="R207" s="158"/>
      <c r="S207" s="158"/>
      <c r="T207" s="158"/>
      <c r="U207" s="158"/>
      <c r="V207" s="158"/>
      <c r="W207" s="158"/>
      <c r="X207" s="158"/>
      <c r="Y207" s="158"/>
      <c r="Z207" s="158"/>
    </row>
    <row r="208" spans="1:26" ht="12" customHeight="1">
      <c r="A208" s="147"/>
      <c r="B208" s="158"/>
      <c r="C208" s="158"/>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row>
    <row r="209" spans="1:26" ht="12" customHeight="1">
      <c r="A209" s="147"/>
      <c r="B209" s="158"/>
      <c r="C209" s="158"/>
      <c r="D209" s="158"/>
      <c r="E209" s="158"/>
      <c r="F209" s="158"/>
      <c r="G209" s="158"/>
      <c r="H209" s="158"/>
      <c r="I209" s="158"/>
      <c r="J209" s="158"/>
      <c r="K209" s="158"/>
      <c r="L209" s="158"/>
      <c r="M209" s="158"/>
      <c r="N209" s="158"/>
      <c r="O209" s="158"/>
      <c r="P209" s="158"/>
      <c r="Q209" s="158"/>
      <c r="R209" s="158"/>
      <c r="S209" s="158"/>
      <c r="T209" s="158"/>
      <c r="U209" s="158"/>
      <c r="V209" s="158"/>
      <c r="W209" s="158"/>
      <c r="X209" s="158"/>
      <c r="Y209" s="158"/>
      <c r="Z209" s="158"/>
    </row>
    <row r="210" spans="1:26" ht="12" customHeight="1">
      <c r="A210" s="147"/>
      <c r="B210" s="158"/>
      <c r="C210" s="158"/>
      <c r="D210" s="158"/>
      <c r="E210" s="158"/>
      <c r="F210" s="158"/>
      <c r="G210" s="158"/>
      <c r="H210" s="158"/>
      <c r="I210" s="158"/>
      <c r="J210" s="158"/>
      <c r="K210" s="158"/>
      <c r="L210" s="158"/>
      <c r="M210" s="158"/>
      <c r="N210" s="158"/>
      <c r="O210" s="158"/>
      <c r="P210" s="158"/>
      <c r="Q210" s="158"/>
      <c r="R210" s="158"/>
      <c r="S210" s="158"/>
      <c r="T210" s="158"/>
      <c r="U210" s="158"/>
      <c r="V210" s="158"/>
      <c r="W210" s="158"/>
      <c r="X210" s="158"/>
      <c r="Y210" s="158"/>
      <c r="Z210" s="158"/>
    </row>
    <row r="211" spans="1:26" ht="12" customHeight="1">
      <c r="A211" s="147"/>
      <c r="B211" s="158"/>
      <c r="C211" s="158"/>
      <c r="D211" s="158"/>
      <c r="E211" s="158"/>
      <c r="F211" s="158"/>
      <c r="G211" s="158"/>
      <c r="H211" s="158"/>
      <c r="I211" s="158"/>
      <c r="J211" s="158"/>
      <c r="K211" s="158"/>
      <c r="L211" s="158"/>
      <c r="M211" s="158"/>
      <c r="N211" s="158"/>
      <c r="O211" s="158"/>
      <c r="P211" s="158"/>
      <c r="Q211" s="158"/>
      <c r="R211" s="158"/>
      <c r="S211" s="158"/>
      <c r="T211" s="158"/>
      <c r="U211" s="158"/>
      <c r="V211" s="158"/>
      <c r="W211" s="158"/>
      <c r="X211" s="158"/>
      <c r="Y211" s="158"/>
      <c r="Z211" s="158"/>
    </row>
    <row r="212" spans="1:26" ht="12" customHeight="1">
      <c r="A212" s="147"/>
      <c r="B212" s="158"/>
      <c r="C212" s="158"/>
      <c r="D212" s="158"/>
      <c r="E212" s="158"/>
      <c r="F212" s="158"/>
      <c r="G212" s="158"/>
      <c r="H212" s="158"/>
      <c r="I212" s="158"/>
      <c r="J212" s="158"/>
      <c r="K212" s="158"/>
      <c r="L212" s="158"/>
      <c r="M212" s="158"/>
      <c r="N212" s="158"/>
      <c r="O212" s="158"/>
      <c r="P212" s="158"/>
      <c r="Q212" s="158"/>
      <c r="R212" s="158"/>
      <c r="S212" s="158"/>
      <c r="T212" s="158"/>
      <c r="U212" s="158"/>
      <c r="V212" s="158"/>
      <c r="W212" s="158"/>
      <c r="X212" s="158"/>
      <c r="Y212" s="158"/>
      <c r="Z212" s="158"/>
    </row>
    <row r="213" spans="1:26" ht="12" customHeight="1">
      <c r="A213" s="147"/>
      <c r="B213" s="158"/>
      <c r="C213" s="158"/>
      <c r="D213" s="158"/>
      <c r="E213" s="158"/>
      <c r="F213" s="158"/>
      <c r="G213" s="158"/>
      <c r="H213" s="158"/>
      <c r="I213" s="158"/>
      <c r="J213" s="158"/>
      <c r="K213" s="158"/>
      <c r="L213" s="158"/>
      <c r="M213" s="158"/>
      <c r="N213" s="158"/>
      <c r="O213" s="158"/>
      <c r="P213" s="158"/>
      <c r="Q213" s="158"/>
      <c r="R213" s="158"/>
      <c r="S213" s="158"/>
      <c r="T213" s="158"/>
      <c r="U213" s="158"/>
      <c r="V213" s="158"/>
      <c r="W213" s="158"/>
      <c r="X213" s="158"/>
      <c r="Y213" s="158"/>
      <c r="Z213" s="158"/>
    </row>
    <row r="214" spans="1:26" ht="12" customHeight="1">
      <c r="A214" s="147"/>
      <c r="B214" s="158"/>
      <c r="C214" s="158"/>
      <c r="D214" s="158"/>
      <c r="E214" s="158"/>
      <c r="F214" s="158"/>
      <c r="G214" s="158"/>
      <c r="H214" s="158"/>
      <c r="I214" s="158"/>
      <c r="J214" s="158"/>
      <c r="K214" s="158"/>
      <c r="L214" s="158"/>
      <c r="M214" s="158"/>
      <c r="N214" s="158"/>
      <c r="O214" s="158"/>
      <c r="P214" s="158"/>
      <c r="Q214" s="158"/>
      <c r="R214" s="158"/>
      <c r="S214" s="158"/>
      <c r="T214" s="158"/>
      <c r="U214" s="158"/>
      <c r="V214" s="158"/>
      <c r="W214" s="158"/>
      <c r="X214" s="158"/>
      <c r="Y214" s="158"/>
      <c r="Z214" s="158"/>
    </row>
    <row r="215" spans="1:26" ht="12" customHeight="1">
      <c r="A215" s="147"/>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row>
    <row r="216" spans="1:26" ht="12" customHeight="1">
      <c r="A216" s="147"/>
      <c r="B216" s="158"/>
      <c r="C216" s="158"/>
      <c r="D216" s="158"/>
      <c r="E216" s="158"/>
      <c r="F216" s="158"/>
      <c r="G216" s="158"/>
      <c r="H216" s="158"/>
      <c r="I216" s="158"/>
      <c r="J216" s="158"/>
      <c r="K216" s="158"/>
      <c r="L216" s="158"/>
      <c r="M216" s="158"/>
      <c r="N216" s="158"/>
      <c r="O216" s="158"/>
      <c r="P216" s="158"/>
      <c r="Q216" s="158"/>
      <c r="R216" s="158"/>
      <c r="S216" s="158"/>
      <c r="T216" s="158"/>
      <c r="U216" s="158"/>
      <c r="V216" s="158"/>
      <c r="W216" s="158"/>
      <c r="X216" s="158"/>
      <c r="Y216" s="158"/>
      <c r="Z216" s="158"/>
    </row>
    <row r="217" spans="1:26" ht="12" customHeight="1">
      <c r="A217" s="147"/>
      <c r="B217" s="158"/>
      <c r="C217" s="158"/>
      <c r="D217" s="158"/>
      <c r="E217" s="158"/>
      <c r="F217" s="158"/>
      <c r="G217" s="158"/>
      <c r="H217" s="158"/>
      <c r="I217" s="158"/>
      <c r="J217" s="158"/>
      <c r="K217" s="158"/>
      <c r="L217" s="158"/>
      <c r="M217" s="158"/>
      <c r="N217" s="158"/>
      <c r="O217" s="158"/>
      <c r="P217" s="158"/>
      <c r="Q217" s="158"/>
      <c r="R217" s="158"/>
      <c r="S217" s="158"/>
      <c r="T217" s="158"/>
      <c r="U217" s="158"/>
      <c r="V217" s="158"/>
      <c r="W217" s="158"/>
      <c r="X217" s="158"/>
      <c r="Y217" s="158"/>
      <c r="Z217" s="158"/>
    </row>
    <row r="218" spans="1:26" ht="12" customHeight="1">
      <c r="A218" s="147"/>
      <c r="B218" s="158"/>
      <c r="C218" s="158"/>
      <c r="D218" s="158"/>
      <c r="E218" s="158"/>
      <c r="F218" s="158"/>
      <c r="G218" s="158"/>
      <c r="H218" s="158"/>
      <c r="I218" s="158"/>
      <c r="J218" s="158"/>
      <c r="K218" s="158"/>
      <c r="L218" s="158"/>
      <c r="M218" s="158"/>
      <c r="N218" s="158"/>
      <c r="O218" s="158"/>
      <c r="P218" s="158"/>
      <c r="Q218" s="158"/>
      <c r="R218" s="158"/>
      <c r="S218" s="158"/>
      <c r="T218" s="158"/>
      <c r="U218" s="158"/>
      <c r="V218" s="158"/>
      <c r="W218" s="158"/>
      <c r="X218" s="158"/>
      <c r="Y218" s="158"/>
      <c r="Z218" s="158"/>
    </row>
    <row r="219" spans="1:26" ht="12" customHeight="1">
      <c r="A219" s="147"/>
      <c r="B219" s="158"/>
      <c r="C219" s="158"/>
      <c r="D219" s="158"/>
      <c r="E219" s="158"/>
      <c r="F219" s="158"/>
      <c r="G219" s="158"/>
      <c r="H219" s="158"/>
      <c r="I219" s="158"/>
      <c r="J219" s="158"/>
      <c r="K219" s="158"/>
      <c r="L219" s="158"/>
      <c r="M219" s="158"/>
      <c r="N219" s="158"/>
      <c r="O219" s="158"/>
      <c r="P219" s="158"/>
      <c r="Q219" s="158"/>
      <c r="R219" s="158"/>
      <c r="S219" s="158"/>
      <c r="T219" s="158"/>
      <c r="U219" s="158"/>
      <c r="V219" s="158"/>
      <c r="W219" s="158"/>
      <c r="X219" s="158"/>
      <c r="Y219" s="158"/>
      <c r="Z219" s="158"/>
    </row>
    <row r="220" spans="1:26" ht="12" customHeight="1">
      <c r="A220" s="147"/>
      <c r="B220" s="158"/>
      <c r="C220" s="158"/>
      <c r="D220" s="158"/>
      <c r="E220" s="158"/>
      <c r="F220" s="158"/>
      <c r="G220" s="158"/>
      <c r="H220" s="158"/>
      <c r="I220" s="158"/>
      <c r="J220" s="158"/>
      <c r="K220" s="158"/>
      <c r="L220" s="158"/>
      <c r="M220" s="158"/>
      <c r="N220" s="158"/>
      <c r="O220" s="158"/>
      <c r="P220" s="158"/>
      <c r="Q220" s="158"/>
      <c r="R220" s="158"/>
      <c r="S220" s="158"/>
      <c r="T220" s="158"/>
      <c r="U220" s="158"/>
      <c r="V220" s="158"/>
      <c r="W220" s="158"/>
      <c r="X220" s="158"/>
      <c r="Y220" s="158"/>
      <c r="Z220" s="158"/>
    </row>
    <row r="221" spans="1:26" ht="12" customHeight="1">
      <c r="A221" s="147"/>
      <c r="B221" s="158"/>
      <c r="C221" s="158"/>
      <c r="D221" s="158"/>
      <c r="E221" s="158"/>
      <c r="F221" s="158"/>
      <c r="G221" s="158"/>
      <c r="H221" s="158"/>
      <c r="I221" s="158"/>
      <c r="J221" s="158"/>
      <c r="K221" s="158"/>
      <c r="L221" s="158"/>
      <c r="M221" s="158"/>
      <c r="N221" s="158"/>
      <c r="O221" s="158"/>
      <c r="P221" s="158"/>
      <c r="Q221" s="158"/>
      <c r="R221" s="158"/>
      <c r="S221" s="158"/>
      <c r="T221" s="158"/>
      <c r="U221" s="158"/>
      <c r="V221" s="158"/>
      <c r="W221" s="158"/>
      <c r="X221" s="158"/>
      <c r="Y221" s="158"/>
      <c r="Z221" s="158"/>
    </row>
    <row r="222" spans="1:26" ht="12" customHeight="1">
      <c r="A222" s="147"/>
      <c r="B222" s="158"/>
      <c r="C222" s="158"/>
      <c r="D222" s="158"/>
      <c r="E222" s="158"/>
      <c r="F222" s="158"/>
      <c r="G222" s="158"/>
      <c r="H222" s="158"/>
      <c r="I222" s="158"/>
      <c r="J222" s="158"/>
      <c r="K222" s="158"/>
      <c r="L222" s="158"/>
      <c r="M222" s="158"/>
      <c r="N222" s="158"/>
      <c r="O222" s="158"/>
      <c r="P222" s="158"/>
      <c r="Q222" s="158"/>
      <c r="R222" s="158"/>
      <c r="S222" s="158"/>
      <c r="T222" s="158"/>
      <c r="U222" s="158"/>
      <c r="V222" s="158"/>
      <c r="W222" s="158"/>
      <c r="X222" s="158"/>
      <c r="Y222" s="158"/>
      <c r="Z222" s="158"/>
    </row>
    <row r="223" spans="1:26" ht="12" customHeight="1">
      <c r="A223" s="147"/>
      <c r="B223" s="158"/>
      <c r="C223" s="158"/>
      <c r="D223" s="158"/>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row>
    <row r="224" spans="1:26" ht="12" customHeight="1">
      <c r="A224" s="147"/>
      <c r="B224" s="158"/>
      <c r="C224" s="158"/>
      <c r="D224" s="158"/>
      <c r="E224" s="158"/>
      <c r="F224" s="158"/>
      <c r="G224" s="158"/>
      <c r="H224" s="158"/>
      <c r="I224" s="158"/>
      <c r="J224" s="158"/>
      <c r="K224" s="158"/>
      <c r="L224" s="158"/>
      <c r="M224" s="158"/>
      <c r="N224" s="158"/>
      <c r="O224" s="158"/>
      <c r="P224" s="158"/>
      <c r="Q224" s="158"/>
      <c r="R224" s="158"/>
      <c r="S224" s="158"/>
      <c r="T224" s="158"/>
      <c r="U224" s="158"/>
      <c r="V224" s="158"/>
      <c r="W224" s="158"/>
      <c r="X224" s="158"/>
      <c r="Y224" s="158"/>
      <c r="Z224" s="158"/>
    </row>
    <row r="225" spans="1:26" ht="12" customHeight="1">
      <c r="A225" s="147"/>
      <c r="B225" s="158"/>
      <c r="C225" s="158"/>
      <c r="D225" s="158"/>
      <c r="E225" s="158"/>
      <c r="F225" s="158"/>
      <c r="G225" s="158"/>
      <c r="H225" s="158"/>
      <c r="I225" s="158"/>
      <c r="J225" s="158"/>
      <c r="K225" s="158"/>
      <c r="L225" s="158"/>
      <c r="M225" s="158"/>
      <c r="N225" s="158"/>
      <c r="O225" s="158"/>
      <c r="P225" s="158"/>
      <c r="Q225" s="158"/>
      <c r="R225" s="158"/>
      <c r="S225" s="158"/>
      <c r="T225" s="158"/>
      <c r="U225" s="158"/>
      <c r="V225" s="158"/>
      <c r="W225" s="158"/>
      <c r="X225" s="158"/>
      <c r="Y225" s="158"/>
      <c r="Z225" s="158"/>
    </row>
    <row r="226" spans="1:26" ht="12" customHeight="1">
      <c r="A226" s="147"/>
      <c r="B226" s="158"/>
      <c r="C226" s="158"/>
      <c r="D226" s="158"/>
      <c r="E226" s="158"/>
      <c r="F226" s="158"/>
      <c r="G226" s="158"/>
      <c r="H226" s="158"/>
      <c r="I226" s="158"/>
      <c r="J226" s="158"/>
      <c r="K226" s="158"/>
      <c r="L226" s="158"/>
      <c r="M226" s="158"/>
      <c r="N226" s="158"/>
      <c r="O226" s="158"/>
      <c r="P226" s="158"/>
      <c r="Q226" s="158"/>
      <c r="R226" s="158"/>
      <c r="S226" s="158"/>
      <c r="T226" s="158"/>
      <c r="U226" s="158"/>
      <c r="V226" s="158"/>
      <c r="W226" s="158"/>
      <c r="X226" s="158"/>
      <c r="Y226" s="158"/>
      <c r="Z226" s="158"/>
    </row>
    <row r="227" spans="1:26" ht="12" customHeight="1">
      <c r="A227" s="147"/>
      <c r="B227" s="158"/>
      <c r="C227" s="158"/>
      <c r="D227" s="158"/>
      <c r="E227" s="158"/>
      <c r="F227" s="158"/>
      <c r="G227" s="158"/>
      <c r="H227" s="158"/>
      <c r="I227" s="158"/>
      <c r="J227" s="158"/>
      <c r="K227" s="158"/>
      <c r="L227" s="158"/>
      <c r="M227" s="158"/>
      <c r="N227" s="158"/>
      <c r="O227" s="158"/>
      <c r="P227" s="158"/>
      <c r="Q227" s="158"/>
      <c r="R227" s="158"/>
      <c r="S227" s="158"/>
      <c r="T227" s="158"/>
      <c r="U227" s="158"/>
      <c r="V227" s="158"/>
      <c r="W227" s="158"/>
      <c r="X227" s="158"/>
      <c r="Y227" s="158"/>
      <c r="Z227" s="158"/>
    </row>
    <row r="228" spans="1:26" ht="12" customHeight="1">
      <c r="A228" s="147"/>
      <c r="B228" s="158"/>
      <c r="C228" s="158"/>
      <c r="D228" s="158"/>
      <c r="E228" s="158"/>
      <c r="F228" s="158"/>
      <c r="G228" s="158"/>
      <c r="H228" s="158"/>
      <c r="I228" s="158"/>
      <c r="J228" s="158"/>
      <c r="K228" s="158"/>
      <c r="L228" s="158"/>
      <c r="M228" s="158"/>
      <c r="N228" s="158"/>
      <c r="O228" s="158"/>
      <c r="P228" s="158"/>
      <c r="Q228" s="158"/>
      <c r="R228" s="158"/>
      <c r="S228" s="158"/>
      <c r="T228" s="158"/>
      <c r="U228" s="158"/>
      <c r="V228" s="158"/>
      <c r="W228" s="158"/>
      <c r="X228" s="158"/>
      <c r="Y228" s="158"/>
      <c r="Z228" s="158"/>
    </row>
    <row r="229" spans="1:26" ht="12" customHeight="1">
      <c r="A229" s="147"/>
      <c r="B229" s="158"/>
      <c r="C229" s="158"/>
      <c r="D229" s="158"/>
      <c r="E229" s="158"/>
      <c r="F229" s="158"/>
      <c r="G229" s="158"/>
      <c r="H229" s="158"/>
      <c r="I229" s="158"/>
      <c r="J229" s="158"/>
      <c r="K229" s="158"/>
      <c r="L229" s="158"/>
      <c r="M229" s="158"/>
      <c r="N229" s="158"/>
      <c r="O229" s="158"/>
      <c r="P229" s="158"/>
      <c r="Q229" s="158"/>
      <c r="R229" s="158"/>
      <c r="S229" s="158"/>
      <c r="T229" s="158"/>
      <c r="U229" s="158"/>
      <c r="V229" s="158"/>
      <c r="W229" s="158"/>
      <c r="X229" s="158"/>
      <c r="Y229" s="158"/>
      <c r="Z229" s="158"/>
    </row>
    <row r="230" spans="1:26" ht="12" customHeight="1">
      <c r="A230" s="147"/>
      <c r="B230" s="158"/>
      <c r="C230" s="158"/>
      <c r="D230" s="158"/>
      <c r="E230" s="158"/>
      <c r="F230" s="158"/>
      <c r="G230" s="158"/>
      <c r="H230" s="158"/>
      <c r="I230" s="158"/>
      <c r="J230" s="158"/>
      <c r="K230" s="158"/>
      <c r="L230" s="158"/>
      <c r="M230" s="158"/>
      <c r="N230" s="158"/>
      <c r="O230" s="158"/>
      <c r="P230" s="158"/>
      <c r="Q230" s="158"/>
      <c r="R230" s="158"/>
      <c r="S230" s="158"/>
      <c r="T230" s="158"/>
      <c r="U230" s="158"/>
      <c r="V230" s="158"/>
      <c r="W230" s="158"/>
      <c r="X230" s="158"/>
      <c r="Y230" s="158"/>
      <c r="Z230" s="158"/>
    </row>
    <row r="231" spans="1:26" ht="12" customHeight="1">
      <c r="A231" s="147"/>
      <c r="B231" s="158"/>
      <c r="C231" s="158"/>
      <c r="D231" s="158"/>
      <c r="E231" s="158"/>
      <c r="F231" s="158"/>
      <c r="G231" s="158"/>
      <c r="H231" s="158"/>
      <c r="I231" s="158"/>
      <c r="J231" s="158"/>
      <c r="K231" s="158"/>
      <c r="L231" s="158"/>
      <c r="M231" s="158"/>
      <c r="N231" s="158"/>
      <c r="O231" s="158"/>
      <c r="P231" s="158"/>
      <c r="Q231" s="158"/>
      <c r="R231" s="158"/>
      <c r="S231" s="158"/>
      <c r="T231" s="158"/>
      <c r="U231" s="158"/>
      <c r="V231" s="158"/>
      <c r="W231" s="158"/>
      <c r="X231" s="158"/>
      <c r="Y231" s="158"/>
      <c r="Z231" s="158"/>
    </row>
    <row r="232" spans="1:26" ht="12" customHeight="1">
      <c r="A232" s="147"/>
      <c r="B232" s="158"/>
      <c r="C232" s="158"/>
      <c r="D232" s="158"/>
      <c r="E232" s="158"/>
      <c r="F232" s="158"/>
      <c r="G232" s="158"/>
      <c r="H232" s="158"/>
      <c r="I232" s="158"/>
      <c r="J232" s="158"/>
      <c r="K232" s="158"/>
      <c r="L232" s="158"/>
      <c r="M232" s="158"/>
      <c r="N232" s="158"/>
      <c r="O232" s="158"/>
      <c r="P232" s="158"/>
      <c r="Q232" s="158"/>
      <c r="R232" s="158"/>
      <c r="S232" s="158"/>
      <c r="T232" s="158"/>
      <c r="U232" s="158"/>
      <c r="V232" s="158"/>
      <c r="W232" s="158"/>
      <c r="X232" s="158"/>
      <c r="Y232" s="158"/>
      <c r="Z232" s="158"/>
    </row>
    <row r="233" spans="1:26" ht="12" customHeight="1">
      <c r="A233" s="147"/>
      <c r="B233" s="158"/>
      <c r="C233" s="158"/>
      <c r="D233" s="158"/>
      <c r="E233" s="158"/>
      <c r="F233" s="158"/>
      <c r="G233" s="158"/>
      <c r="H233" s="158"/>
      <c r="I233" s="158"/>
      <c r="J233" s="158"/>
      <c r="K233" s="158"/>
      <c r="L233" s="158"/>
      <c r="M233" s="158"/>
      <c r="N233" s="158"/>
      <c r="O233" s="158"/>
      <c r="P233" s="158"/>
      <c r="Q233" s="158"/>
      <c r="R233" s="158"/>
      <c r="S233" s="158"/>
      <c r="T233" s="158"/>
      <c r="U233" s="158"/>
      <c r="V233" s="158"/>
      <c r="W233" s="158"/>
      <c r="X233" s="158"/>
      <c r="Y233" s="158"/>
      <c r="Z233" s="158"/>
    </row>
    <row r="234" spans="1:26" ht="12" customHeight="1">
      <c r="A234" s="147"/>
      <c r="B234" s="158"/>
      <c r="C234" s="158"/>
      <c r="D234" s="158"/>
      <c r="E234" s="158"/>
      <c r="F234" s="158"/>
      <c r="G234" s="158"/>
      <c r="H234" s="158"/>
      <c r="I234" s="158"/>
      <c r="J234" s="158"/>
      <c r="K234" s="158"/>
      <c r="L234" s="158"/>
      <c r="M234" s="158"/>
      <c r="N234" s="158"/>
      <c r="O234" s="158"/>
      <c r="P234" s="158"/>
      <c r="Q234" s="158"/>
      <c r="R234" s="158"/>
      <c r="S234" s="158"/>
      <c r="T234" s="158"/>
      <c r="U234" s="158"/>
      <c r="V234" s="158"/>
      <c r="W234" s="158"/>
      <c r="X234" s="158"/>
      <c r="Y234" s="158"/>
      <c r="Z234" s="158"/>
    </row>
    <row r="235" spans="1:26" ht="12" customHeight="1">
      <c r="A235" s="147"/>
      <c r="B235" s="158"/>
      <c r="C235" s="158"/>
      <c r="D235" s="158"/>
      <c r="E235" s="158"/>
      <c r="F235" s="158"/>
      <c r="G235" s="158"/>
      <c r="H235" s="158"/>
      <c r="I235" s="158"/>
      <c r="J235" s="158"/>
      <c r="K235" s="158"/>
      <c r="L235" s="158"/>
      <c r="M235" s="158"/>
      <c r="N235" s="158"/>
      <c r="O235" s="158"/>
      <c r="P235" s="158"/>
      <c r="Q235" s="158"/>
      <c r="R235" s="158"/>
      <c r="S235" s="158"/>
      <c r="T235" s="158"/>
      <c r="U235" s="158"/>
      <c r="V235" s="158"/>
      <c r="W235" s="158"/>
      <c r="X235" s="158"/>
      <c r="Y235" s="158"/>
      <c r="Z235" s="158"/>
    </row>
    <row r="236" spans="1:26" ht="12" customHeight="1">
      <c r="A236" s="147"/>
      <c r="B236" s="158"/>
      <c r="C236" s="158"/>
      <c r="D236" s="158"/>
      <c r="E236" s="158"/>
      <c r="F236" s="158"/>
      <c r="G236" s="158"/>
      <c r="H236" s="158"/>
      <c r="I236" s="158"/>
      <c r="J236" s="158"/>
      <c r="K236" s="158"/>
      <c r="L236" s="158"/>
      <c r="M236" s="158"/>
      <c r="N236" s="158"/>
      <c r="O236" s="158"/>
      <c r="P236" s="158"/>
      <c r="Q236" s="158"/>
      <c r="R236" s="158"/>
      <c r="S236" s="158"/>
      <c r="T236" s="158"/>
      <c r="U236" s="158"/>
      <c r="V236" s="158"/>
      <c r="W236" s="158"/>
      <c r="X236" s="158"/>
      <c r="Y236" s="158"/>
      <c r="Z236" s="158"/>
    </row>
    <row r="237" spans="1:26" ht="12" customHeight="1">
      <c r="A237" s="147"/>
      <c r="B237" s="158"/>
      <c r="C237" s="158"/>
      <c r="D237" s="158"/>
      <c r="E237" s="158"/>
      <c r="F237" s="158"/>
      <c r="G237" s="158"/>
      <c r="H237" s="158"/>
      <c r="I237" s="158"/>
      <c r="J237" s="158"/>
      <c r="K237" s="158"/>
      <c r="L237" s="158"/>
      <c r="M237" s="158"/>
      <c r="N237" s="158"/>
      <c r="O237" s="158"/>
      <c r="P237" s="158"/>
      <c r="Q237" s="158"/>
      <c r="R237" s="158"/>
      <c r="S237" s="158"/>
      <c r="T237" s="158"/>
      <c r="U237" s="158"/>
      <c r="V237" s="158"/>
      <c r="W237" s="158"/>
      <c r="X237" s="158"/>
      <c r="Y237" s="158"/>
      <c r="Z237" s="158"/>
    </row>
    <row r="238" spans="1:26" ht="12" customHeight="1">
      <c r="A238" s="147"/>
      <c r="B238" s="158"/>
      <c r="C238" s="158"/>
      <c r="D238" s="158"/>
      <c r="E238" s="158"/>
      <c r="F238" s="158"/>
      <c r="G238" s="158"/>
      <c r="H238" s="158"/>
      <c r="I238" s="158"/>
      <c r="J238" s="158"/>
      <c r="K238" s="158"/>
      <c r="L238" s="158"/>
      <c r="M238" s="158"/>
      <c r="N238" s="158"/>
      <c r="O238" s="158"/>
      <c r="P238" s="158"/>
      <c r="Q238" s="158"/>
      <c r="R238" s="158"/>
      <c r="S238" s="158"/>
      <c r="T238" s="158"/>
      <c r="U238" s="158"/>
      <c r="V238" s="158"/>
      <c r="W238" s="158"/>
      <c r="X238" s="158"/>
      <c r="Y238" s="158"/>
      <c r="Z238" s="158"/>
    </row>
    <row r="239" spans="1:26" ht="12" customHeight="1">
      <c r="A239" s="147"/>
      <c r="B239" s="158"/>
      <c r="C239" s="158"/>
      <c r="D239" s="158"/>
      <c r="E239" s="158"/>
      <c r="F239" s="158"/>
      <c r="G239" s="158"/>
      <c r="H239" s="158"/>
      <c r="I239" s="158"/>
      <c r="J239" s="158"/>
      <c r="K239" s="158"/>
      <c r="L239" s="158"/>
      <c r="M239" s="158"/>
      <c r="N239" s="158"/>
      <c r="O239" s="158"/>
      <c r="P239" s="158"/>
      <c r="Q239" s="158"/>
      <c r="R239" s="158"/>
      <c r="S239" s="158"/>
      <c r="T239" s="158"/>
      <c r="U239" s="158"/>
      <c r="V239" s="158"/>
      <c r="W239" s="158"/>
      <c r="X239" s="158"/>
      <c r="Y239" s="158"/>
      <c r="Z239" s="158"/>
    </row>
    <row r="240" spans="1:26" ht="12" customHeight="1">
      <c r="A240" s="147"/>
      <c r="B240" s="158"/>
      <c r="C240" s="158"/>
      <c r="D240" s="158"/>
      <c r="E240" s="158"/>
      <c r="F240" s="158"/>
      <c r="G240" s="158"/>
      <c r="H240" s="158"/>
      <c r="I240" s="158"/>
      <c r="J240" s="158"/>
      <c r="K240" s="158"/>
      <c r="L240" s="158"/>
      <c r="M240" s="158"/>
      <c r="N240" s="158"/>
      <c r="O240" s="158"/>
      <c r="P240" s="158"/>
      <c r="Q240" s="158"/>
      <c r="R240" s="158"/>
      <c r="S240" s="158"/>
      <c r="T240" s="158"/>
      <c r="U240" s="158"/>
      <c r="V240" s="158"/>
      <c r="W240" s="158"/>
      <c r="X240" s="158"/>
      <c r="Y240" s="158"/>
      <c r="Z240" s="158"/>
    </row>
    <row r="241" spans="1:26" ht="12" customHeight="1">
      <c r="A241" s="147"/>
      <c r="B241" s="158"/>
      <c r="C241" s="158"/>
      <c r="D241" s="158"/>
      <c r="E241" s="158"/>
      <c r="F241" s="158"/>
      <c r="G241" s="158"/>
      <c r="H241" s="158"/>
      <c r="I241" s="158"/>
      <c r="J241" s="158"/>
      <c r="K241" s="158"/>
      <c r="L241" s="158"/>
      <c r="M241" s="158"/>
      <c r="N241" s="158"/>
      <c r="O241" s="158"/>
      <c r="P241" s="158"/>
      <c r="Q241" s="158"/>
      <c r="R241" s="158"/>
      <c r="S241" s="158"/>
      <c r="T241" s="158"/>
      <c r="U241" s="158"/>
      <c r="V241" s="158"/>
      <c r="W241" s="158"/>
      <c r="X241" s="158"/>
      <c r="Y241" s="158"/>
      <c r="Z241" s="158"/>
    </row>
    <row r="242" spans="1:26" ht="12" customHeight="1">
      <c r="A242" s="147"/>
      <c r="B242" s="158"/>
      <c r="C242" s="158"/>
      <c r="D242" s="158"/>
      <c r="E242" s="158"/>
      <c r="F242" s="158"/>
      <c r="G242" s="158"/>
      <c r="H242" s="158"/>
      <c r="I242" s="158"/>
      <c r="J242" s="158"/>
      <c r="K242" s="158"/>
      <c r="L242" s="158"/>
      <c r="M242" s="158"/>
      <c r="N242" s="158"/>
      <c r="O242" s="158"/>
      <c r="P242" s="158"/>
      <c r="Q242" s="158"/>
      <c r="R242" s="158"/>
      <c r="S242" s="158"/>
      <c r="T242" s="158"/>
      <c r="U242" s="158"/>
      <c r="V242" s="158"/>
      <c r="W242" s="158"/>
      <c r="X242" s="158"/>
      <c r="Y242" s="158"/>
      <c r="Z242" s="158"/>
    </row>
    <row r="243" spans="1:26" ht="12" customHeight="1">
      <c r="A243" s="147"/>
      <c r="B243" s="158"/>
      <c r="C243" s="158"/>
      <c r="D243" s="158"/>
      <c r="E243" s="158"/>
      <c r="F243" s="158"/>
      <c r="G243" s="158"/>
      <c r="H243" s="158"/>
      <c r="I243" s="158"/>
      <c r="J243" s="158"/>
      <c r="K243" s="158"/>
      <c r="L243" s="158"/>
      <c r="M243" s="158"/>
      <c r="N243" s="158"/>
      <c r="O243" s="158"/>
      <c r="P243" s="158"/>
      <c r="Q243" s="158"/>
      <c r="R243" s="158"/>
      <c r="S243" s="158"/>
      <c r="T243" s="158"/>
      <c r="U243" s="158"/>
      <c r="V243" s="158"/>
      <c r="W243" s="158"/>
      <c r="X243" s="158"/>
      <c r="Y243" s="158"/>
      <c r="Z243" s="158"/>
    </row>
    <row r="244" spans="1:26" ht="12" customHeight="1">
      <c r="A244" s="147"/>
      <c r="B244" s="158"/>
      <c r="C244" s="158"/>
      <c r="D244" s="158"/>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row>
    <row r="245" spans="1:26" ht="12" customHeight="1">
      <c r="A245" s="147"/>
      <c r="B245" s="158"/>
      <c r="C245" s="158"/>
      <c r="D245" s="158"/>
      <c r="E245" s="158"/>
      <c r="F245" s="158"/>
      <c r="G245" s="158"/>
      <c r="H245" s="158"/>
      <c r="I245" s="158"/>
      <c r="J245" s="158"/>
      <c r="K245" s="158"/>
      <c r="L245" s="158"/>
      <c r="M245" s="158"/>
      <c r="N245" s="158"/>
      <c r="O245" s="158"/>
      <c r="P245" s="158"/>
      <c r="Q245" s="158"/>
      <c r="R245" s="158"/>
      <c r="S245" s="158"/>
      <c r="T245" s="158"/>
      <c r="U245" s="158"/>
      <c r="V245" s="158"/>
      <c r="W245" s="158"/>
      <c r="X245" s="158"/>
      <c r="Y245" s="158"/>
      <c r="Z245" s="158"/>
    </row>
    <row r="246" spans="1:26" ht="12" customHeight="1">
      <c r="A246" s="147"/>
      <c r="B246" s="158"/>
      <c r="C246" s="158"/>
      <c r="D246" s="158"/>
      <c r="E246" s="158"/>
      <c r="F246" s="158"/>
      <c r="G246" s="158"/>
      <c r="H246" s="158"/>
      <c r="I246" s="158"/>
      <c r="J246" s="158"/>
      <c r="K246" s="158"/>
      <c r="L246" s="158"/>
      <c r="M246" s="158"/>
      <c r="N246" s="158"/>
      <c r="O246" s="158"/>
      <c r="P246" s="158"/>
      <c r="Q246" s="158"/>
      <c r="R246" s="158"/>
      <c r="S246" s="158"/>
      <c r="T246" s="158"/>
      <c r="U246" s="158"/>
      <c r="V246" s="158"/>
      <c r="W246" s="158"/>
      <c r="X246" s="158"/>
      <c r="Y246" s="158"/>
      <c r="Z246" s="158"/>
    </row>
    <row r="247" spans="1:26" ht="12" customHeight="1">
      <c r="A247" s="147"/>
      <c r="B247" s="158"/>
      <c r="C247" s="158"/>
      <c r="D247" s="158"/>
      <c r="E247" s="158"/>
      <c r="F247" s="158"/>
      <c r="G247" s="158"/>
      <c r="H247" s="158"/>
      <c r="I247" s="158"/>
      <c r="J247" s="158"/>
      <c r="K247" s="158"/>
      <c r="L247" s="158"/>
      <c r="M247" s="158"/>
      <c r="N247" s="158"/>
      <c r="O247" s="158"/>
      <c r="P247" s="158"/>
      <c r="Q247" s="158"/>
      <c r="R247" s="158"/>
      <c r="S247" s="158"/>
      <c r="T247" s="158"/>
      <c r="U247" s="158"/>
      <c r="V247" s="158"/>
      <c r="W247" s="158"/>
      <c r="X247" s="158"/>
      <c r="Y247" s="158"/>
      <c r="Z247" s="158"/>
    </row>
    <row r="248" spans="1:26" ht="12" customHeight="1">
      <c r="A248" s="147"/>
      <c r="B248" s="158"/>
      <c r="C248" s="158"/>
      <c r="D248" s="158"/>
      <c r="E248" s="158"/>
      <c r="F248" s="158"/>
      <c r="G248" s="158"/>
      <c r="H248" s="158"/>
      <c r="I248" s="158"/>
      <c r="J248" s="158"/>
      <c r="K248" s="158"/>
      <c r="L248" s="158"/>
      <c r="M248" s="158"/>
      <c r="N248" s="158"/>
      <c r="O248" s="158"/>
      <c r="P248" s="158"/>
      <c r="Q248" s="158"/>
      <c r="R248" s="158"/>
      <c r="S248" s="158"/>
      <c r="T248" s="158"/>
      <c r="U248" s="158"/>
      <c r="V248" s="158"/>
      <c r="W248" s="158"/>
      <c r="X248" s="158"/>
      <c r="Y248" s="158"/>
      <c r="Z248" s="158"/>
    </row>
    <row r="249" spans="1:26" ht="12" customHeight="1">
      <c r="A249" s="147"/>
      <c r="B249" s="158"/>
      <c r="C249" s="158"/>
      <c r="D249" s="158"/>
      <c r="E249" s="158"/>
      <c r="F249" s="158"/>
      <c r="G249" s="158"/>
      <c r="H249" s="158"/>
      <c r="I249" s="158"/>
      <c r="J249" s="158"/>
      <c r="K249" s="158"/>
      <c r="L249" s="158"/>
      <c r="M249" s="158"/>
      <c r="N249" s="158"/>
      <c r="O249" s="158"/>
      <c r="P249" s="158"/>
      <c r="Q249" s="158"/>
      <c r="R249" s="158"/>
      <c r="S249" s="158"/>
      <c r="T249" s="158"/>
      <c r="U249" s="158"/>
      <c r="V249" s="158"/>
      <c r="W249" s="158"/>
      <c r="X249" s="158"/>
      <c r="Y249" s="158"/>
      <c r="Z249" s="158"/>
    </row>
    <row r="250" spans="1:26" ht="12" customHeight="1">
      <c r="A250" s="147"/>
      <c r="B250" s="158"/>
      <c r="C250" s="158"/>
      <c r="D250" s="158"/>
      <c r="E250" s="158"/>
      <c r="F250" s="158"/>
      <c r="G250" s="158"/>
      <c r="H250" s="158"/>
      <c r="I250" s="158"/>
      <c r="J250" s="158"/>
      <c r="K250" s="158"/>
      <c r="L250" s="158"/>
      <c r="M250" s="158"/>
      <c r="N250" s="158"/>
      <c r="O250" s="158"/>
      <c r="P250" s="158"/>
      <c r="Q250" s="158"/>
      <c r="R250" s="158"/>
      <c r="S250" s="158"/>
      <c r="T250" s="158"/>
      <c r="U250" s="158"/>
      <c r="V250" s="158"/>
      <c r="W250" s="158"/>
      <c r="X250" s="158"/>
      <c r="Y250" s="158"/>
      <c r="Z250" s="158"/>
    </row>
    <row r="251" spans="1:26" ht="12" customHeight="1">
      <c r="A251" s="147"/>
      <c r="B251" s="158"/>
      <c r="C251" s="158"/>
      <c r="D251" s="158"/>
      <c r="E251" s="158"/>
      <c r="F251" s="158"/>
      <c r="G251" s="158"/>
      <c r="H251" s="158"/>
      <c r="I251" s="158"/>
      <c r="J251" s="158"/>
      <c r="K251" s="158"/>
      <c r="L251" s="158"/>
      <c r="M251" s="158"/>
      <c r="N251" s="158"/>
      <c r="O251" s="158"/>
      <c r="P251" s="158"/>
      <c r="Q251" s="158"/>
      <c r="R251" s="158"/>
      <c r="S251" s="158"/>
      <c r="T251" s="158"/>
      <c r="U251" s="158"/>
      <c r="V251" s="158"/>
      <c r="W251" s="158"/>
      <c r="X251" s="158"/>
      <c r="Y251" s="158"/>
      <c r="Z251" s="158"/>
    </row>
    <row r="252" spans="1:26" ht="12" customHeight="1">
      <c r="A252" s="147"/>
      <c r="B252" s="158"/>
      <c r="C252" s="158"/>
      <c r="D252" s="158"/>
      <c r="E252" s="158"/>
      <c r="F252" s="158"/>
      <c r="G252" s="158"/>
      <c r="H252" s="158"/>
      <c r="I252" s="158"/>
      <c r="J252" s="158"/>
      <c r="K252" s="158"/>
      <c r="L252" s="158"/>
      <c r="M252" s="158"/>
      <c r="N252" s="158"/>
      <c r="O252" s="158"/>
      <c r="P252" s="158"/>
      <c r="Q252" s="158"/>
      <c r="R252" s="158"/>
      <c r="S252" s="158"/>
      <c r="T252" s="158"/>
      <c r="U252" s="158"/>
      <c r="V252" s="158"/>
      <c r="W252" s="158"/>
      <c r="X252" s="158"/>
      <c r="Y252" s="158"/>
      <c r="Z252" s="158"/>
    </row>
    <row r="253" spans="1:26" ht="12" customHeight="1">
      <c r="A253" s="147"/>
      <c r="B253" s="158"/>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row>
    <row r="254" spans="1:26" ht="12" customHeight="1">
      <c r="A254" s="147"/>
      <c r="B254" s="158"/>
      <c r="C254" s="158"/>
      <c r="D254" s="158"/>
      <c r="E254" s="158"/>
      <c r="F254" s="158"/>
      <c r="G254" s="158"/>
      <c r="H254" s="158"/>
      <c r="I254" s="158"/>
      <c r="J254" s="158"/>
      <c r="K254" s="158"/>
      <c r="L254" s="158"/>
      <c r="M254" s="158"/>
      <c r="N254" s="158"/>
      <c r="O254" s="158"/>
      <c r="P254" s="158"/>
      <c r="Q254" s="158"/>
      <c r="R254" s="158"/>
      <c r="S254" s="158"/>
      <c r="T254" s="158"/>
      <c r="U254" s="158"/>
      <c r="V254" s="158"/>
      <c r="W254" s="158"/>
      <c r="X254" s="158"/>
      <c r="Y254" s="158"/>
      <c r="Z254" s="158"/>
    </row>
    <row r="255" spans="1:26" ht="12" customHeight="1">
      <c r="A255" s="147"/>
      <c r="B255" s="158"/>
      <c r="C255" s="158"/>
      <c r="D255" s="158"/>
      <c r="E255" s="158"/>
      <c r="F255" s="158"/>
      <c r="G255" s="158"/>
      <c r="H255" s="158"/>
      <c r="I255" s="158"/>
      <c r="J255" s="158"/>
      <c r="K255" s="158"/>
      <c r="L255" s="158"/>
      <c r="M255" s="158"/>
      <c r="N255" s="158"/>
      <c r="O255" s="158"/>
      <c r="P255" s="158"/>
      <c r="Q255" s="158"/>
      <c r="R255" s="158"/>
      <c r="S255" s="158"/>
      <c r="T255" s="158"/>
      <c r="U255" s="158"/>
      <c r="V255" s="158"/>
      <c r="W255" s="158"/>
      <c r="X255" s="158"/>
      <c r="Y255" s="158"/>
      <c r="Z255" s="158"/>
    </row>
    <row r="256" spans="1:26" ht="12" customHeight="1">
      <c r="A256" s="147"/>
      <c r="B256" s="158"/>
      <c r="C256" s="158"/>
      <c r="D256" s="158"/>
      <c r="E256" s="158"/>
      <c r="F256" s="158"/>
      <c r="G256" s="158"/>
      <c r="H256" s="158"/>
      <c r="I256" s="158"/>
      <c r="J256" s="158"/>
      <c r="K256" s="158"/>
      <c r="L256" s="158"/>
      <c r="M256" s="158"/>
      <c r="N256" s="158"/>
      <c r="O256" s="158"/>
      <c r="P256" s="158"/>
      <c r="Q256" s="158"/>
      <c r="R256" s="158"/>
      <c r="S256" s="158"/>
      <c r="T256" s="158"/>
      <c r="U256" s="158"/>
      <c r="V256" s="158"/>
      <c r="W256" s="158"/>
      <c r="X256" s="158"/>
      <c r="Y256" s="158"/>
      <c r="Z256" s="158"/>
    </row>
    <row r="257" spans="1:26" ht="12" customHeight="1">
      <c r="A257" s="147"/>
      <c r="B257" s="158"/>
      <c r="C257" s="158"/>
      <c r="D257" s="158"/>
      <c r="E257" s="158"/>
      <c r="F257" s="158"/>
      <c r="G257" s="158"/>
      <c r="H257" s="158"/>
      <c r="I257" s="158"/>
      <c r="J257" s="158"/>
      <c r="K257" s="158"/>
      <c r="L257" s="158"/>
      <c r="M257" s="158"/>
      <c r="N257" s="158"/>
      <c r="O257" s="158"/>
      <c r="P257" s="158"/>
      <c r="Q257" s="158"/>
      <c r="R257" s="158"/>
      <c r="S257" s="158"/>
      <c r="T257" s="158"/>
      <c r="U257" s="158"/>
      <c r="V257" s="158"/>
      <c r="W257" s="158"/>
      <c r="X257" s="158"/>
      <c r="Y257" s="158"/>
      <c r="Z257" s="158"/>
    </row>
    <row r="258" spans="1:26" ht="12" customHeight="1">
      <c r="A258" s="147"/>
      <c r="B258" s="158"/>
      <c r="C258" s="158"/>
      <c r="D258" s="158"/>
      <c r="E258" s="158"/>
      <c r="F258" s="158"/>
      <c r="G258" s="158"/>
      <c r="H258" s="158"/>
      <c r="I258" s="158"/>
      <c r="J258" s="158"/>
      <c r="K258" s="158"/>
      <c r="L258" s="158"/>
      <c r="M258" s="158"/>
      <c r="N258" s="158"/>
      <c r="O258" s="158"/>
      <c r="P258" s="158"/>
      <c r="Q258" s="158"/>
      <c r="R258" s="158"/>
      <c r="S258" s="158"/>
      <c r="T258" s="158"/>
      <c r="U258" s="158"/>
      <c r="V258" s="158"/>
      <c r="W258" s="158"/>
      <c r="X258" s="158"/>
      <c r="Y258" s="158"/>
      <c r="Z258" s="158"/>
    </row>
    <row r="259" spans="1:26" ht="12" customHeight="1">
      <c r="A259" s="147"/>
      <c r="B259" s="158"/>
      <c r="C259" s="158"/>
      <c r="D259" s="158"/>
      <c r="E259" s="158"/>
      <c r="F259" s="158"/>
      <c r="G259" s="158"/>
      <c r="H259" s="158"/>
      <c r="I259" s="158"/>
      <c r="J259" s="158"/>
      <c r="K259" s="158"/>
      <c r="L259" s="158"/>
      <c r="M259" s="158"/>
      <c r="N259" s="158"/>
      <c r="O259" s="158"/>
      <c r="P259" s="158"/>
      <c r="Q259" s="158"/>
      <c r="R259" s="158"/>
      <c r="S259" s="158"/>
      <c r="T259" s="158"/>
      <c r="U259" s="158"/>
      <c r="V259" s="158"/>
      <c r="W259" s="158"/>
      <c r="X259" s="158"/>
      <c r="Y259" s="158"/>
      <c r="Z259" s="158"/>
    </row>
    <row r="260" spans="1:26" ht="12" customHeight="1">
      <c r="A260" s="147"/>
      <c r="B260" s="158"/>
      <c r="C260" s="158"/>
      <c r="D260" s="158"/>
      <c r="E260" s="158"/>
      <c r="F260" s="158"/>
      <c r="G260" s="158"/>
      <c r="H260" s="158"/>
      <c r="I260" s="158"/>
      <c r="J260" s="158"/>
      <c r="K260" s="158"/>
      <c r="L260" s="158"/>
      <c r="M260" s="158"/>
      <c r="N260" s="158"/>
      <c r="O260" s="158"/>
      <c r="P260" s="158"/>
      <c r="Q260" s="158"/>
      <c r="R260" s="158"/>
      <c r="S260" s="158"/>
      <c r="T260" s="158"/>
      <c r="U260" s="158"/>
      <c r="V260" s="158"/>
      <c r="W260" s="158"/>
      <c r="X260" s="158"/>
      <c r="Y260" s="158"/>
      <c r="Z260" s="158"/>
    </row>
    <row r="261" spans="1:26" ht="12" customHeight="1">
      <c r="A261" s="147"/>
      <c r="B261" s="158"/>
      <c r="C261" s="158"/>
      <c r="D261" s="158"/>
      <c r="E261" s="158"/>
      <c r="F261" s="158"/>
      <c r="G261" s="158"/>
      <c r="H261" s="158"/>
      <c r="I261" s="158"/>
      <c r="J261" s="158"/>
      <c r="K261" s="158"/>
      <c r="L261" s="158"/>
      <c r="M261" s="158"/>
      <c r="N261" s="158"/>
      <c r="O261" s="158"/>
      <c r="P261" s="158"/>
      <c r="Q261" s="158"/>
      <c r="R261" s="158"/>
      <c r="S261" s="158"/>
      <c r="T261" s="158"/>
      <c r="U261" s="158"/>
      <c r="V261" s="158"/>
      <c r="W261" s="158"/>
      <c r="X261" s="158"/>
      <c r="Y261" s="158"/>
      <c r="Z261" s="158"/>
    </row>
    <row r="262" spans="1:26" ht="12" customHeight="1">
      <c r="A262" s="147"/>
      <c r="B262" s="158"/>
      <c r="C262" s="158"/>
      <c r="D262" s="158"/>
      <c r="E262" s="158"/>
      <c r="F262" s="158"/>
      <c r="G262" s="158"/>
      <c r="H262" s="158"/>
      <c r="I262" s="158"/>
      <c r="J262" s="158"/>
      <c r="K262" s="158"/>
      <c r="L262" s="158"/>
      <c r="M262" s="158"/>
      <c r="N262" s="158"/>
      <c r="O262" s="158"/>
      <c r="P262" s="158"/>
      <c r="Q262" s="158"/>
      <c r="R262" s="158"/>
      <c r="S262" s="158"/>
      <c r="T262" s="158"/>
      <c r="U262" s="158"/>
      <c r="V262" s="158"/>
      <c r="W262" s="158"/>
      <c r="X262" s="158"/>
      <c r="Y262" s="158"/>
      <c r="Z262" s="158"/>
    </row>
    <row r="263" spans="1:26" ht="12" customHeight="1">
      <c r="A263" s="147"/>
      <c r="B263" s="158"/>
      <c r="C263" s="158"/>
      <c r="D263" s="158"/>
      <c r="E263" s="158"/>
      <c r="F263" s="158"/>
      <c r="G263" s="158"/>
      <c r="H263" s="158"/>
      <c r="I263" s="158"/>
      <c r="J263" s="158"/>
      <c r="K263" s="158"/>
      <c r="L263" s="158"/>
      <c r="M263" s="158"/>
      <c r="N263" s="158"/>
      <c r="O263" s="158"/>
      <c r="P263" s="158"/>
      <c r="Q263" s="158"/>
      <c r="R263" s="158"/>
      <c r="S263" s="158"/>
      <c r="T263" s="158"/>
      <c r="U263" s="158"/>
      <c r="V263" s="158"/>
      <c r="W263" s="158"/>
      <c r="X263" s="158"/>
      <c r="Y263" s="158"/>
      <c r="Z263" s="158"/>
    </row>
    <row r="264" spans="1:26" ht="12" customHeight="1">
      <c r="A264" s="147"/>
      <c r="B264" s="158"/>
      <c r="C264" s="158"/>
      <c r="D264" s="158"/>
      <c r="E264" s="158"/>
      <c r="F264" s="158"/>
      <c r="G264" s="158"/>
      <c r="H264" s="158"/>
      <c r="I264" s="158"/>
      <c r="J264" s="158"/>
      <c r="K264" s="158"/>
      <c r="L264" s="158"/>
      <c r="M264" s="158"/>
      <c r="N264" s="158"/>
      <c r="O264" s="158"/>
      <c r="P264" s="158"/>
      <c r="Q264" s="158"/>
      <c r="R264" s="158"/>
      <c r="S264" s="158"/>
      <c r="T264" s="158"/>
      <c r="U264" s="158"/>
      <c r="V264" s="158"/>
      <c r="W264" s="158"/>
      <c r="X264" s="158"/>
      <c r="Y264" s="158"/>
      <c r="Z264" s="158"/>
    </row>
    <row r="265" spans="1:26" ht="12" customHeight="1">
      <c r="A265" s="147"/>
      <c r="B265" s="158"/>
      <c r="C265" s="158"/>
      <c r="D265" s="158"/>
      <c r="E265" s="158"/>
      <c r="F265" s="158"/>
      <c r="G265" s="158"/>
      <c r="H265" s="158"/>
      <c r="I265" s="158"/>
      <c r="J265" s="158"/>
      <c r="K265" s="158"/>
      <c r="L265" s="158"/>
      <c r="M265" s="158"/>
      <c r="N265" s="158"/>
      <c r="O265" s="158"/>
      <c r="P265" s="158"/>
      <c r="Q265" s="158"/>
      <c r="R265" s="158"/>
      <c r="S265" s="158"/>
      <c r="T265" s="158"/>
      <c r="U265" s="158"/>
      <c r="V265" s="158"/>
      <c r="W265" s="158"/>
      <c r="X265" s="158"/>
      <c r="Y265" s="158"/>
      <c r="Z265" s="158"/>
    </row>
    <row r="266" spans="1:26" ht="12" customHeight="1">
      <c r="A266" s="147"/>
      <c r="B266" s="158"/>
      <c r="C266" s="158"/>
      <c r="D266" s="158"/>
      <c r="E266" s="158"/>
      <c r="F266" s="158"/>
      <c r="G266" s="158"/>
      <c r="H266" s="158"/>
      <c r="I266" s="158"/>
      <c r="J266" s="158"/>
      <c r="K266" s="158"/>
      <c r="L266" s="158"/>
      <c r="M266" s="158"/>
      <c r="N266" s="158"/>
      <c r="O266" s="158"/>
      <c r="P266" s="158"/>
      <c r="Q266" s="158"/>
      <c r="R266" s="158"/>
      <c r="S266" s="158"/>
      <c r="T266" s="158"/>
      <c r="U266" s="158"/>
      <c r="V266" s="158"/>
      <c r="W266" s="158"/>
      <c r="X266" s="158"/>
      <c r="Y266" s="158"/>
      <c r="Z266" s="158"/>
    </row>
    <row r="267" spans="1:26" ht="12" customHeight="1">
      <c r="A267" s="147"/>
      <c r="B267" s="158"/>
      <c r="C267" s="158"/>
      <c r="D267" s="158"/>
      <c r="E267" s="158"/>
      <c r="F267" s="158"/>
      <c r="G267" s="158"/>
      <c r="H267" s="158"/>
      <c r="I267" s="158"/>
      <c r="J267" s="158"/>
      <c r="K267" s="158"/>
      <c r="L267" s="158"/>
      <c r="M267" s="158"/>
      <c r="N267" s="158"/>
      <c r="O267" s="158"/>
      <c r="P267" s="158"/>
      <c r="Q267" s="158"/>
      <c r="R267" s="158"/>
      <c r="S267" s="158"/>
      <c r="T267" s="158"/>
      <c r="U267" s="158"/>
      <c r="V267" s="158"/>
      <c r="W267" s="158"/>
      <c r="X267" s="158"/>
      <c r="Y267" s="158"/>
      <c r="Z267" s="158"/>
    </row>
    <row r="268" spans="1:26" ht="12" customHeight="1">
      <c r="A268" s="147"/>
      <c r="B268" s="158"/>
      <c r="C268" s="158"/>
      <c r="D268" s="158"/>
      <c r="E268" s="158"/>
      <c r="F268" s="158"/>
      <c r="G268" s="158"/>
      <c r="H268" s="158"/>
      <c r="I268" s="158"/>
      <c r="J268" s="158"/>
      <c r="K268" s="158"/>
      <c r="L268" s="158"/>
      <c r="M268" s="158"/>
      <c r="N268" s="158"/>
      <c r="O268" s="158"/>
      <c r="P268" s="158"/>
      <c r="Q268" s="158"/>
      <c r="R268" s="158"/>
      <c r="S268" s="158"/>
      <c r="T268" s="158"/>
      <c r="U268" s="158"/>
      <c r="V268" s="158"/>
      <c r="W268" s="158"/>
      <c r="X268" s="158"/>
      <c r="Y268" s="158"/>
      <c r="Z268" s="158"/>
    </row>
    <row r="269" spans="1:26" ht="12" customHeight="1">
      <c r="A269" s="147"/>
      <c r="B269" s="158"/>
      <c r="C269" s="158"/>
      <c r="D269" s="158"/>
      <c r="E269" s="158"/>
      <c r="F269" s="158"/>
      <c r="G269" s="158"/>
      <c r="H269" s="158"/>
      <c r="I269" s="158"/>
      <c r="J269" s="158"/>
      <c r="K269" s="158"/>
      <c r="L269" s="158"/>
      <c r="M269" s="158"/>
      <c r="N269" s="158"/>
      <c r="O269" s="158"/>
      <c r="P269" s="158"/>
      <c r="Q269" s="158"/>
      <c r="R269" s="158"/>
      <c r="S269" s="158"/>
      <c r="T269" s="158"/>
      <c r="U269" s="158"/>
      <c r="V269" s="158"/>
      <c r="W269" s="158"/>
      <c r="X269" s="158"/>
      <c r="Y269" s="158"/>
      <c r="Z269" s="158"/>
    </row>
    <row r="270" spans="1:26" ht="12" customHeight="1">
      <c r="A270" s="147"/>
      <c r="B270" s="158"/>
      <c r="C270" s="158"/>
      <c r="D270" s="158"/>
      <c r="E270" s="158"/>
      <c r="F270" s="158"/>
      <c r="G270" s="158"/>
      <c r="H270" s="158"/>
      <c r="I270" s="158"/>
      <c r="J270" s="158"/>
      <c r="K270" s="158"/>
      <c r="L270" s="158"/>
      <c r="M270" s="158"/>
      <c r="N270" s="158"/>
      <c r="O270" s="158"/>
      <c r="P270" s="158"/>
      <c r="Q270" s="158"/>
      <c r="R270" s="158"/>
      <c r="S270" s="158"/>
      <c r="T270" s="158"/>
      <c r="U270" s="158"/>
      <c r="V270" s="158"/>
      <c r="W270" s="158"/>
      <c r="X270" s="158"/>
      <c r="Y270" s="158"/>
      <c r="Z270" s="158"/>
    </row>
    <row r="271" spans="1:26" ht="12" customHeight="1">
      <c r="A271" s="147"/>
      <c r="B271" s="158"/>
      <c r="C271" s="158"/>
      <c r="D271" s="158"/>
      <c r="E271" s="158"/>
      <c r="F271" s="158"/>
      <c r="G271" s="158"/>
      <c r="H271" s="158"/>
      <c r="I271" s="158"/>
      <c r="J271" s="158"/>
      <c r="K271" s="158"/>
      <c r="L271" s="158"/>
      <c r="M271" s="158"/>
      <c r="N271" s="158"/>
      <c r="O271" s="158"/>
      <c r="P271" s="158"/>
      <c r="Q271" s="158"/>
      <c r="R271" s="158"/>
      <c r="S271" s="158"/>
      <c r="T271" s="158"/>
      <c r="U271" s="158"/>
      <c r="V271" s="158"/>
      <c r="W271" s="158"/>
      <c r="X271" s="158"/>
      <c r="Y271" s="158"/>
      <c r="Z271" s="158"/>
    </row>
    <row r="272" spans="1:26" ht="12" customHeight="1">
      <c r="A272" s="147"/>
      <c r="B272" s="158"/>
      <c r="C272" s="158"/>
      <c r="D272" s="158"/>
      <c r="E272" s="158"/>
      <c r="F272" s="158"/>
      <c r="G272" s="158"/>
      <c r="H272" s="158"/>
      <c r="I272" s="158"/>
      <c r="J272" s="158"/>
      <c r="K272" s="158"/>
      <c r="L272" s="158"/>
      <c r="M272" s="158"/>
      <c r="N272" s="158"/>
      <c r="O272" s="158"/>
      <c r="P272" s="158"/>
      <c r="Q272" s="158"/>
      <c r="R272" s="158"/>
      <c r="S272" s="158"/>
      <c r="T272" s="158"/>
      <c r="U272" s="158"/>
      <c r="V272" s="158"/>
      <c r="W272" s="158"/>
      <c r="X272" s="158"/>
      <c r="Y272" s="158"/>
      <c r="Z272" s="158"/>
    </row>
    <row r="273" spans="1:26" ht="12" customHeight="1">
      <c r="A273" s="147"/>
      <c r="B273" s="158"/>
      <c r="C273" s="158"/>
      <c r="D273" s="158"/>
      <c r="E273" s="158"/>
      <c r="F273" s="158"/>
      <c r="G273" s="158"/>
      <c r="H273" s="158"/>
      <c r="I273" s="158"/>
      <c r="J273" s="158"/>
      <c r="K273" s="158"/>
      <c r="L273" s="158"/>
      <c r="M273" s="158"/>
      <c r="N273" s="158"/>
      <c r="O273" s="158"/>
      <c r="P273" s="158"/>
      <c r="Q273" s="158"/>
      <c r="R273" s="158"/>
      <c r="S273" s="158"/>
      <c r="T273" s="158"/>
      <c r="U273" s="158"/>
      <c r="V273" s="158"/>
      <c r="W273" s="158"/>
      <c r="X273" s="158"/>
      <c r="Y273" s="158"/>
      <c r="Z273" s="158"/>
    </row>
    <row r="274" spans="1:26" ht="12" customHeight="1">
      <c r="A274" s="147"/>
      <c r="B274" s="158"/>
      <c r="C274" s="158"/>
      <c r="D274" s="158"/>
      <c r="E274" s="158"/>
      <c r="F274" s="158"/>
      <c r="G274" s="158"/>
      <c r="H274" s="158"/>
      <c r="I274" s="158"/>
      <c r="J274" s="158"/>
      <c r="K274" s="158"/>
      <c r="L274" s="158"/>
      <c r="M274" s="158"/>
      <c r="N274" s="158"/>
      <c r="O274" s="158"/>
      <c r="P274" s="158"/>
      <c r="Q274" s="158"/>
      <c r="R274" s="158"/>
      <c r="S274" s="158"/>
      <c r="T274" s="158"/>
      <c r="U274" s="158"/>
      <c r="V274" s="158"/>
      <c r="W274" s="158"/>
      <c r="X274" s="158"/>
      <c r="Y274" s="158"/>
      <c r="Z274" s="158"/>
    </row>
    <row r="275" spans="1:26" ht="12" customHeight="1">
      <c r="A275" s="147"/>
      <c r="B275" s="158"/>
      <c r="C275" s="158"/>
      <c r="D275" s="158"/>
      <c r="E275" s="158"/>
      <c r="F275" s="158"/>
      <c r="G275" s="158"/>
      <c r="H275" s="158"/>
      <c r="I275" s="158"/>
      <c r="J275" s="158"/>
      <c r="K275" s="158"/>
      <c r="L275" s="158"/>
      <c r="M275" s="158"/>
      <c r="N275" s="158"/>
      <c r="O275" s="158"/>
      <c r="P275" s="158"/>
      <c r="Q275" s="158"/>
      <c r="R275" s="158"/>
      <c r="S275" s="158"/>
      <c r="T275" s="158"/>
      <c r="U275" s="158"/>
      <c r="V275" s="158"/>
      <c r="W275" s="158"/>
      <c r="X275" s="158"/>
      <c r="Y275" s="158"/>
      <c r="Z275" s="158"/>
    </row>
    <row r="276" spans="1:26" ht="12" customHeight="1">
      <c r="A276" s="147"/>
      <c r="B276" s="158"/>
      <c r="C276" s="158"/>
      <c r="D276" s="158"/>
      <c r="E276" s="158"/>
      <c r="F276" s="158"/>
      <c r="G276" s="158"/>
      <c r="H276" s="158"/>
      <c r="I276" s="158"/>
      <c r="J276" s="158"/>
      <c r="K276" s="158"/>
      <c r="L276" s="158"/>
      <c r="M276" s="158"/>
      <c r="N276" s="158"/>
      <c r="O276" s="158"/>
      <c r="P276" s="158"/>
      <c r="Q276" s="158"/>
      <c r="R276" s="158"/>
      <c r="S276" s="158"/>
      <c r="T276" s="158"/>
      <c r="U276" s="158"/>
      <c r="V276" s="158"/>
      <c r="W276" s="158"/>
      <c r="X276" s="158"/>
      <c r="Y276" s="158"/>
      <c r="Z276" s="158"/>
    </row>
    <row r="277" spans="1:26" ht="12" customHeight="1">
      <c r="A277" s="147"/>
      <c r="B277" s="158"/>
      <c r="C277" s="158"/>
      <c r="D277" s="158"/>
      <c r="E277" s="158"/>
      <c r="F277" s="158"/>
      <c r="G277" s="158"/>
      <c r="H277" s="158"/>
      <c r="I277" s="158"/>
      <c r="J277" s="158"/>
      <c r="K277" s="158"/>
      <c r="L277" s="158"/>
      <c r="M277" s="158"/>
      <c r="N277" s="158"/>
      <c r="O277" s="158"/>
      <c r="P277" s="158"/>
      <c r="Q277" s="158"/>
      <c r="R277" s="158"/>
      <c r="S277" s="158"/>
      <c r="T277" s="158"/>
      <c r="U277" s="158"/>
      <c r="V277" s="158"/>
      <c r="W277" s="158"/>
      <c r="X277" s="158"/>
      <c r="Y277" s="158"/>
      <c r="Z277" s="158"/>
    </row>
    <row r="278" spans="1:26" ht="12" customHeight="1">
      <c r="A278" s="147"/>
      <c r="B278" s="158"/>
      <c r="C278" s="158"/>
      <c r="D278" s="158"/>
      <c r="E278" s="158"/>
      <c r="F278" s="158"/>
      <c r="G278" s="158"/>
      <c r="H278" s="158"/>
      <c r="I278" s="158"/>
      <c r="J278" s="158"/>
      <c r="K278" s="158"/>
      <c r="L278" s="158"/>
      <c r="M278" s="158"/>
      <c r="N278" s="158"/>
      <c r="O278" s="158"/>
      <c r="P278" s="158"/>
      <c r="Q278" s="158"/>
      <c r="R278" s="158"/>
      <c r="S278" s="158"/>
      <c r="T278" s="158"/>
      <c r="U278" s="158"/>
      <c r="V278" s="158"/>
      <c r="W278" s="158"/>
      <c r="X278" s="158"/>
      <c r="Y278" s="158"/>
      <c r="Z278" s="158"/>
    </row>
    <row r="279" spans="1:26" ht="12" customHeight="1">
      <c r="A279" s="147"/>
      <c r="B279" s="158"/>
      <c r="C279" s="158"/>
      <c r="D279" s="158"/>
      <c r="E279" s="158"/>
      <c r="F279" s="158"/>
      <c r="G279" s="158"/>
      <c r="H279" s="158"/>
      <c r="I279" s="158"/>
      <c r="J279" s="158"/>
      <c r="K279" s="158"/>
      <c r="L279" s="158"/>
      <c r="M279" s="158"/>
      <c r="N279" s="158"/>
      <c r="O279" s="158"/>
      <c r="P279" s="158"/>
      <c r="Q279" s="158"/>
      <c r="R279" s="158"/>
      <c r="S279" s="158"/>
      <c r="T279" s="158"/>
      <c r="U279" s="158"/>
      <c r="V279" s="158"/>
      <c r="W279" s="158"/>
      <c r="X279" s="158"/>
      <c r="Y279" s="158"/>
      <c r="Z279" s="158"/>
    </row>
    <row r="280" spans="1:26" ht="12" customHeight="1">
      <c r="A280" s="147"/>
      <c r="B280" s="158"/>
      <c r="C280" s="158"/>
      <c r="D280" s="158"/>
      <c r="E280" s="158"/>
      <c r="F280" s="158"/>
      <c r="G280" s="158"/>
      <c r="H280" s="158"/>
      <c r="I280" s="158"/>
      <c r="J280" s="158"/>
      <c r="K280" s="158"/>
      <c r="L280" s="158"/>
      <c r="M280" s="158"/>
      <c r="N280" s="158"/>
      <c r="O280" s="158"/>
      <c r="P280" s="158"/>
      <c r="Q280" s="158"/>
      <c r="R280" s="158"/>
      <c r="S280" s="158"/>
      <c r="T280" s="158"/>
      <c r="U280" s="158"/>
      <c r="V280" s="158"/>
      <c r="W280" s="158"/>
      <c r="X280" s="158"/>
      <c r="Y280" s="158"/>
      <c r="Z280" s="158"/>
    </row>
    <row r="281" spans="1:26" ht="12" customHeight="1">
      <c r="A281" s="147"/>
      <c r="B281" s="158"/>
      <c r="C281" s="158"/>
      <c r="D281" s="158"/>
      <c r="E281" s="158"/>
      <c r="F281" s="158"/>
      <c r="G281" s="158"/>
      <c r="H281" s="158"/>
      <c r="I281" s="158"/>
      <c r="J281" s="158"/>
      <c r="K281" s="158"/>
      <c r="L281" s="158"/>
      <c r="M281" s="158"/>
      <c r="N281" s="158"/>
      <c r="O281" s="158"/>
      <c r="P281" s="158"/>
      <c r="Q281" s="158"/>
      <c r="R281" s="158"/>
      <c r="S281" s="158"/>
      <c r="T281" s="158"/>
      <c r="U281" s="158"/>
      <c r="V281" s="158"/>
      <c r="W281" s="158"/>
      <c r="X281" s="158"/>
      <c r="Y281" s="158"/>
      <c r="Z281" s="158"/>
    </row>
    <row r="282" spans="1:26" ht="12" customHeight="1">
      <c r="A282" s="147"/>
      <c r="B282" s="158"/>
      <c r="C282" s="158"/>
      <c r="D282" s="158"/>
      <c r="E282" s="158"/>
      <c r="F282" s="158"/>
      <c r="G282" s="158"/>
      <c r="H282" s="158"/>
      <c r="I282" s="158"/>
      <c r="J282" s="158"/>
      <c r="K282" s="158"/>
      <c r="L282" s="158"/>
      <c r="M282" s="158"/>
      <c r="N282" s="158"/>
      <c r="O282" s="158"/>
      <c r="P282" s="158"/>
      <c r="Q282" s="158"/>
      <c r="R282" s="158"/>
      <c r="S282" s="158"/>
      <c r="T282" s="158"/>
      <c r="U282" s="158"/>
      <c r="V282" s="158"/>
      <c r="W282" s="158"/>
      <c r="X282" s="158"/>
      <c r="Y282" s="158"/>
      <c r="Z282" s="158"/>
    </row>
    <row r="283" spans="1:26" ht="12" customHeight="1">
      <c r="A283" s="147"/>
      <c r="B283" s="158"/>
      <c r="C283" s="158"/>
      <c r="D283" s="158"/>
      <c r="E283" s="158"/>
      <c r="F283" s="158"/>
      <c r="G283" s="158"/>
      <c r="H283" s="158"/>
      <c r="I283" s="158"/>
      <c r="J283" s="158"/>
      <c r="K283" s="158"/>
      <c r="L283" s="158"/>
      <c r="M283" s="158"/>
      <c r="N283" s="158"/>
      <c r="O283" s="158"/>
      <c r="P283" s="158"/>
      <c r="Q283" s="158"/>
      <c r="R283" s="158"/>
      <c r="S283" s="158"/>
      <c r="T283" s="158"/>
      <c r="U283" s="158"/>
      <c r="V283" s="158"/>
      <c r="W283" s="158"/>
      <c r="X283" s="158"/>
      <c r="Y283" s="158"/>
      <c r="Z283" s="158"/>
    </row>
    <row r="284" spans="1:26" ht="12" customHeight="1">
      <c r="A284" s="147"/>
      <c r="B284" s="158"/>
      <c r="C284" s="158"/>
      <c r="D284" s="158"/>
      <c r="E284" s="158"/>
      <c r="F284" s="158"/>
      <c r="G284" s="158"/>
      <c r="H284" s="158"/>
      <c r="I284" s="158"/>
      <c r="J284" s="158"/>
      <c r="K284" s="158"/>
      <c r="L284" s="158"/>
      <c r="M284" s="158"/>
      <c r="N284" s="158"/>
      <c r="O284" s="158"/>
      <c r="P284" s="158"/>
      <c r="Q284" s="158"/>
      <c r="R284" s="158"/>
      <c r="S284" s="158"/>
      <c r="T284" s="158"/>
      <c r="U284" s="158"/>
      <c r="V284" s="158"/>
      <c r="W284" s="158"/>
      <c r="X284" s="158"/>
      <c r="Y284" s="158"/>
      <c r="Z284" s="158"/>
    </row>
    <row r="285" spans="1:26" ht="12" customHeight="1">
      <c r="A285" s="147"/>
      <c r="B285" s="158"/>
      <c r="C285" s="158"/>
      <c r="D285" s="158"/>
      <c r="E285" s="158"/>
      <c r="F285" s="158"/>
      <c r="G285" s="158"/>
      <c r="H285" s="158"/>
      <c r="I285" s="158"/>
      <c r="J285" s="158"/>
      <c r="K285" s="158"/>
      <c r="L285" s="158"/>
      <c r="M285" s="158"/>
      <c r="N285" s="158"/>
      <c r="O285" s="158"/>
      <c r="P285" s="158"/>
      <c r="Q285" s="158"/>
      <c r="R285" s="158"/>
      <c r="S285" s="158"/>
      <c r="T285" s="158"/>
      <c r="U285" s="158"/>
      <c r="V285" s="158"/>
      <c r="W285" s="158"/>
      <c r="X285" s="158"/>
      <c r="Y285" s="158"/>
      <c r="Z285" s="158"/>
    </row>
    <row r="286" spans="1:26" ht="12" customHeight="1">
      <c r="A286" s="147"/>
      <c r="B286" s="158"/>
      <c r="C286" s="158"/>
      <c r="D286" s="158"/>
      <c r="E286" s="158"/>
      <c r="F286" s="158"/>
      <c r="G286" s="158"/>
      <c r="H286" s="158"/>
      <c r="I286" s="158"/>
      <c r="J286" s="158"/>
      <c r="K286" s="158"/>
      <c r="L286" s="158"/>
      <c r="M286" s="158"/>
      <c r="N286" s="158"/>
      <c r="O286" s="158"/>
      <c r="P286" s="158"/>
      <c r="Q286" s="158"/>
      <c r="R286" s="158"/>
      <c r="S286" s="158"/>
      <c r="T286" s="158"/>
      <c r="U286" s="158"/>
      <c r="V286" s="158"/>
      <c r="W286" s="158"/>
      <c r="X286" s="158"/>
      <c r="Y286" s="158"/>
      <c r="Z286" s="158"/>
    </row>
    <row r="287" spans="1:26" ht="12" customHeight="1">
      <c r="A287" s="147"/>
      <c r="B287" s="158"/>
      <c r="C287" s="158"/>
      <c r="D287" s="158"/>
      <c r="E287" s="158"/>
      <c r="F287" s="158"/>
      <c r="G287" s="158"/>
      <c r="H287" s="158"/>
      <c r="I287" s="158"/>
      <c r="J287" s="158"/>
      <c r="K287" s="158"/>
      <c r="L287" s="158"/>
      <c r="M287" s="158"/>
      <c r="N287" s="158"/>
      <c r="O287" s="158"/>
      <c r="P287" s="158"/>
      <c r="Q287" s="158"/>
      <c r="R287" s="158"/>
      <c r="S287" s="158"/>
      <c r="T287" s="158"/>
      <c r="U287" s="158"/>
      <c r="V287" s="158"/>
      <c r="W287" s="158"/>
      <c r="X287" s="158"/>
      <c r="Y287" s="158"/>
      <c r="Z287" s="158"/>
    </row>
    <row r="288" spans="1:26" ht="12" customHeight="1">
      <c r="A288" s="147"/>
      <c r="B288" s="158"/>
      <c r="C288" s="158"/>
      <c r="D288" s="158"/>
      <c r="E288" s="158"/>
      <c r="F288" s="158"/>
      <c r="G288" s="158"/>
      <c r="H288" s="158"/>
      <c r="I288" s="158"/>
      <c r="J288" s="158"/>
      <c r="K288" s="158"/>
      <c r="L288" s="158"/>
      <c r="M288" s="158"/>
      <c r="N288" s="158"/>
      <c r="O288" s="158"/>
      <c r="P288" s="158"/>
      <c r="Q288" s="158"/>
      <c r="R288" s="158"/>
      <c r="S288" s="158"/>
      <c r="T288" s="158"/>
      <c r="U288" s="158"/>
      <c r="V288" s="158"/>
      <c r="W288" s="158"/>
      <c r="X288" s="158"/>
      <c r="Y288" s="158"/>
      <c r="Z288" s="158"/>
    </row>
    <row r="289" spans="1:26" ht="12" customHeight="1">
      <c r="A289" s="147"/>
      <c r="B289" s="158"/>
      <c r="C289" s="158"/>
      <c r="D289" s="158"/>
      <c r="E289" s="158"/>
      <c r="F289" s="158"/>
      <c r="G289" s="158"/>
      <c r="H289" s="158"/>
      <c r="I289" s="158"/>
      <c r="J289" s="158"/>
      <c r="K289" s="158"/>
      <c r="L289" s="158"/>
      <c r="M289" s="158"/>
      <c r="N289" s="158"/>
      <c r="O289" s="158"/>
      <c r="P289" s="158"/>
      <c r="Q289" s="158"/>
      <c r="R289" s="158"/>
      <c r="S289" s="158"/>
      <c r="T289" s="158"/>
      <c r="U289" s="158"/>
      <c r="V289" s="158"/>
      <c r="W289" s="158"/>
      <c r="X289" s="158"/>
      <c r="Y289" s="158"/>
      <c r="Z289" s="158"/>
    </row>
    <row r="290" spans="1:26" ht="12" customHeight="1">
      <c r="A290" s="147"/>
      <c r="B290" s="158"/>
      <c r="C290" s="158"/>
      <c r="D290" s="158"/>
      <c r="E290" s="158"/>
      <c r="F290" s="158"/>
      <c r="G290" s="158"/>
      <c r="H290" s="158"/>
      <c r="I290" s="158"/>
      <c r="J290" s="158"/>
      <c r="K290" s="158"/>
      <c r="L290" s="158"/>
      <c r="M290" s="158"/>
      <c r="N290" s="158"/>
      <c r="O290" s="158"/>
      <c r="P290" s="158"/>
      <c r="Q290" s="158"/>
      <c r="R290" s="158"/>
      <c r="S290" s="158"/>
      <c r="T290" s="158"/>
      <c r="U290" s="158"/>
      <c r="V290" s="158"/>
      <c r="W290" s="158"/>
      <c r="X290" s="158"/>
      <c r="Y290" s="158"/>
      <c r="Z290" s="158"/>
    </row>
    <row r="291" spans="1:26" ht="12" customHeight="1">
      <c r="A291" s="147"/>
      <c r="B291" s="158"/>
      <c r="C291" s="158"/>
      <c r="D291" s="158"/>
      <c r="E291" s="158"/>
      <c r="F291" s="158"/>
      <c r="G291" s="158"/>
      <c r="H291" s="158"/>
      <c r="I291" s="158"/>
      <c r="J291" s="158"/>
      <c r="K291" s="158"/>
      <c r="L291" s="158"/>
      <c r="M291" s="158"/>
      <c r="N291" s="158"/>
      <c r="O291" s="158"/>
      <c r="P291" s="158"/>
      <c r="Q291" s="158"/>
      <c r="R291" s="158"/>
      <c r="S291" s="158"/>
      <c r="T291" s="158"/>
      <c r="U291" s="158"/>
      <c r="V291" s="158"/>
      <c r="W291" s="158"/>
      <c r="X291" s="158"/>
      <c r="Y291" s="158"/>
      <c r="Z291" s="158"/>
    </row>
    <row r="292" spans="1:26" ht="12" customHeight="1">
      <c r="A292" s="147"/>
      <c r="B292" s="158"/>
      <c r="C292" s="158"/>
      <c r="D292" s="158"/>
      <c r="E292" s="158"/>
      <c r="F292" s="158"/>
      <c r="G292" s="158"/>
      <c r="H292" s="158"/>
      <c r="I292" s="158"/>
      <c r="J292" s="158"/>
      <c r="K292" s="158"/>
      <c r="L292" s="158"/>
      <c r="M292" s="158"/>
      <c r="N292" s="158"/>
      <c r="O292" s="158"/>
      <c r="P292" s="158"/>
      <c r="Q292" s="158"/>
      <c r="R292" s="158"/>
      <c r="S292" s="158"/>
      <c r="T292" s="158"/>
      <c r="U292" s="158"/>
      <c r="V292" s="158"/>
      <c r="W292" s="158"/>
      <c r="X292" s="158"/>
      <c r="Y292" s="158"/>
      <c r="Z292" s="158"/>
    </row>
    <row r="293" spans="1:26" ht="12" customHeight="1">
      <c r="A293" s="147"/>
      <c r="B293" s="158"/>
      <c r="C293" s="158"/>
      <c r="D293" s="158"/>
      <c r="E293" s="158"/>
      <c r="F293" s="158"/>
      <c r="G293" s="158"/>
      <c r="H293" s="158"/>
      <c r="I293" s="158"/>
      <c r="J293" s="158"/>
      <c r="K293" s="158"/>
      <c r="L293" s="158"/>
      <c r="M293" s="158"/>
      <c r="N293" s="158"/>
      <c r="O293" s="158"/>
      <c r="P293" s="158"/>
      <c r="Q293" s="158"/>
      <c r="R293" s="158"/>
      <c r="S293" s="158"/>
      <c r="T293" s="158"/>
      <c r="U293" s="158"/>
      <c r="V293" s="158"/>
      <c r="W293" s="158"/>
      <c r="X293" s="158"/>
      <c r="Y293" s="158"/>
      <c r="Z293" s="158"/>
    </row>
    <row r="294" spans="1:26" ht="12" customHeight="1">
      <c r="A294" s="147"/>
      <c r="B294" s="158"/>
      <c r="C294" s="158"/>
      <c r="D294" s="158"/>
      <c r="E294" s="158"/>
      <c r="F294" s="158"/>
      <c r="G294" s="158"/>
      <c r="H294" s="158"/>
      <c r="I294" s="158"/>
      <c r="J294" s="158"/>
      <c r="K294" s="158"/>
      <c r="L294" s="158"/>
      <c r="M294" s="158"/>
      <c r="N294" s="158"/>
      <c r="O294" s="158"/>
      <c r="P294" s="158"/>
      <c r="Q294" s="158"/>
      <c r="R294" s="158"/>
      <c r="S294" s="158"/>
      <c r="T294" s="158"/>
      <c r="U294" s="158"/>
      <c r="V294" s="158"/>
      <c r="W294" s="158"/>
      <c r="X294" s="158"/>
      <c r="Y294" s="158"/>
      <c r="Z294" s="158"/>
    </row>
    <row r="295" spans="1:26" ht="12" customHeight="1">
      <c r="A295" s="147"/>
      <c r="B295" s="158"/>
      <c r="C295" s="158"/>
      <c r="D295" s="158"/>
      <c r="E295" s="158"/>
      <c r="F295" s="158"/>
      <c r="G295" s="158"/>
      <c r="H295" s="158"/>
      <c r="I295" s="158"/>
      <c r="J295" s="158"/>
      <c r="K295" s="158"/>
      <c r="L295" s="158"/>
      <c r="M295" s="158"/>
      <c r="N295" s="158"/>
      <c r="O295" s="158"/>
      <c r="P295" s="158"/>
      <c r="Q295" s="158"/>
      <c r="R295" s="158"/>
      <c r="S295" s="158"/>
      <c r="T295" s="158"/>
      <c r="U295" s="158"/>
      <c r="V295" s="158"/>
      <c r="W295" s="158"/>
      <c r="X295" s="158"/>
      <c r="Y295" s="158"/>
      <c r="Z295" s="158"/>
    </row>
    <row r="296" spans="1:26" ht="12" customHeight="1">
      <c r="A296" s="147"/>
      <c r="B296" s="158"/>
      <c r="C296" s="158"/>
      <c r="D296" s="158"/>
      <c r="E296" s="158"/>
      <c r="F296" s="158"/>
      <c r="G296" s="158"/>
      <c r="H296" s="158"/>
      <c r="I296" s="158"/>
      <c r="J296" s="158"/>
      <c r="K296" s="158"/>
      <c r="L296" s="158"/>
      <c r="M296" s="158"/>
      <c r="N296" s="158"/>
      <c r="O296" s="158"/>
      <c r="P296" s="158"/>
      <c r="Q296" s="158"/>
      <c r="R296" s="158"/>
      <c r="S296" s="158"/>
      <c r="T296" s="158"/>
      <c r="U296" s="158"/>
      <c r="V296" s="158"/>
      <c r="W296" s="158"/>
      <c r="X296" s="158"/>
      <c r="Y296" s="158"/>
      <c r="Z296" s="158"/>
    </row>
    <row r="297" spans="1:26" ht="12" customHeight="1">
      <c r="A297" s="147"/>
      <c r="B297" s="158"/>
      <c r="C297" s="158"/>
      <c r="D297" s="158"/>
      <c r="E297" s="158"/>
      <c r="F297" s="158"/>
      <c r="G297" s="158"/>
      <c r="H297" s="158"/>
      <c r="I297" s="158"/>
      <c r="J297" s="158"/>
      <c r="K297" s="158"/>
      <c r="L297" s="158"/>
      <c r="M297" s="158"/>
      <c r="N297" s="158"/>
      <c r="O297" s="158"/>
      <c r="P297" s="158"/>
      <c r="Q297" s="158"/>
      <c r="R297" s="158"/>
      <c r="S297" s="158"/>
      <c r="T297" s="158"/>
      <c r="U297" s="158"/>
      <c r="V297" s="158"/>
      <c r="W297" s="158"/>
      <c r="X297" s="158"/>
      <c r="Y297" s="158"/>
      <c r="Z297" s="158"/>
    </row>
    <row r="298" spans="1:26" ht="12" customHeight="1">
      <c r="A298" s="147"/>
      <c r="B298" s="158"/>
      <c r="C298" s="158"/>
      <c r="D298" s="158"/>
      <c r="E298" s="158"/>
      <c r="F298" s="158"/>
      <c r="G298" s="158"/>
      <c r="H298" s="158"/>
      <c r="I298" s="158"/>
      <c r="J298" s="158"/>
      <c r="K298" s="158"/>
      <c r="L298" s="158"/>
      <c r="M298" s="158"/>
      <c r="N298" s="158"/>
      <c r="O298" s="158"/>
      <c r="P298" s="158"/>
      <c r="Q298" s="158"/>
      <c r="R298" s="158"/>
      <c r="S298" s="158"/>
      <c r="T298" s="158"/>
      <c r="U298" s="158"/>
      <c r="V298" s="158"/>
      <c r="W298" s="158"/>
      <c r="X298" s="158"/>
      <c r="Y298" s="158"/>
      <c r="Z298" s="158"/>
    </row>
    <row r="299" spans="1:26" ht="12" customHeight="1">
      <c r="A299" s="147"/>
      <c r="B299" s="158"/>
      <c r="C299" s="158"/>
      <c r="D299" s="158"/>
      <c r="E299" s="158"/>
      <c r="F299" s="158"/>
      <c r="G299" s="158"/>
      <c r="H299" s="158"/>
      <c r="I299" s="158"/>
      <c r="J299" s="158"/>
      <c r="K299" s="158"/>
      <c r="L299" s="158"/>
      <c r="M299" s="158"/>
      <c r="N299" s="158"/>
      <c r="O299" s="158"/>
      <c r="P299" s="158"/>
      <c r="Q299" s="158"/>
      <c r="R299" s="158"/>
      <c r="S299" s="158"/>
      <c r="T299" s="158"/>
      <c r="U299" s="158"/>
      <c r="V299" s="158"/>
      <c r="W299" s="158"/>
      <c r="X299" s="158"/>
      <c r="Y299" s="158"/>
      <c r="Z299" s="158"/>
    </row>
    <row r="300" spans="1:26" ht="12" customHeight="1">
      <c r="A300" s="147"/>
      <c r="B300" s="158"/>
      <c r="C300" s="158"/>
      <c r="D300" s="158"/>
      <c r="E300" s="158"/>
      <c r="F300" s="158"/>
      <c r="G300" s="158"/>
      <c r="H300" s="158"/>
      <c r="I300" s="158"/>
      <c r="J300" s="158"/>
      <c r="K300" s="158"/>
      <c r="L300" s="158"/>
      <c r="M300" s="158"/>
      <c r="N300" s="158"/>
      <c r="O300" s="158"/>
      <c r="P300" s="158"/>
      <c r="Q300" s="158"/>
      <c r="R300" s="158"/>
      <c r="S300" s="158"/>
      <c r="T300" s="158"/>
      <c r="U300" s="158"/>
      <c r="V300" s="158"/>
      <c r="W300" s="158"/>
      <c r="X300" s="158"/>
      <c r="Y300" s="158"/>
      <c r="Z300" s="158"/>
    </row>
    <row r="301" spans="1:26" ht="12" customHeight="1">
      <c r="A301" s="147"/>
      <c r="B301" s="158"/>
      <c r="C301" s="158"/>
      <c r="D301" s="158"/>
      <c r="E301" s="158"/>
      <c r="F301" s="158"/>
      <c r="G301" s="158"/>
      <c r="H301" s="158"/>
      <c r="I301" s="158"/>
      <c r="J301" s="158"/>
      <c r="K301" s="158"/>
      <c r="L301" s="158"/>
      <c r="M301" s="158"/>
      <c r="N301" s="158"/>
      <c r="O301" s="158"/>
      <c r="P301" s="158"/>
      <c r="Q301" s="158"/>
      <c r="R301" s="158"/>
      <c r="S301" s="158"/>
      <c r="T301" s="158"/>
      <c r="U301" s="158"/>
      <c r="V301" s="158"/>
      <c r="W301" s="158"/>
      <c r="X301" s="158"/>
      <c r="Y301" s="158"/>
      <c r="Z301" s="158"/>
    </row>
    <row r="302" spans="1:26" ht="12" customHeight="1">
      <c r="A302" s="147"/>
      <c r="B302" s="158"/>
      <c r="C302" s="158"/>
      <c r="D302" s="158"/>
      <c r="E302" s="158"/>
      <c r="F302" s="158"/>
      <c r="G302" s="158"/>
      <c r="H302" s="158"/>
      <c r="I302" s="158"/>
      <c r="J302" s="158"/>
      <c r="K302" s="158"/>
      <c r="L302" s="158"/>
      <c r="M302" s="158"/>
      <c r="N302" s="158"/>
      <c r="O302" s="158"/>
      <c r="P302" s="158"/>
      <c r="Q302" s="158"/>
      <c r="R302" s="158"/>
      <c r="S302" s="158"/>
      <c r="T302" s="158"/>
      <c r="U302" s="158"/>
      <c r="V302" s="158"/>
      <c r="W302" s="158"/>
      <c r="X302" s="158"/>
      <c r="Y302" s="158"/>
      <c r="Z302" s="158"/>
    </row>
    <row r="303" spans="1:26" ht="12" customHeight="1">
      <c r="A303" s="147"/>
      <c r="B303" s="158"/>
      <c r="C303" s="158"/>
      <c r="D303" s="158"/>
      <c r="E303" s="158"/>
      <c r="F303" s="158"/>
      <c r="G303" s="158"/>
      <c r="H303" s="158"/>
      <c r="I303" s="158"/>
      <c r="J303" s="158"/>
      <c r="K303" s="158"/>
      <c r="L303" s="158"/>
      <c r="M303" s="158"/>
      <c r="N303" s="158"/>
      <c r="O303" s="158"/>
      <c r="P303" s="158"/>
      <c r="Q303" s="158"/>
      <c r="R303" s="158"/>
      <c r="S303" s="158"/>
      <c r="T303" s="158"/>
      <c r="U303" s="158"/>
      <c r="V303" s="158"/>
      <c r="W303" s="158"/>
      <c r="X303" s="158"/>
      <c r="Y303" s="158"/>
      <c r="Z303" s="158"/>
    </row>
    <row r="304" spans="1:26" ht="12" customHeight="1">
      <c r="A304" s="147"/>
      <c r="B304" s="158"/>
      <c r="C304" s="158"/>
      <c r="D304" s="158"/>
      <c r="E304" s="158"/>
      <c r="F304" s="158"/>
      <c r="G304" s="158"/>
      <c r="H304" s="158"/>
      <c r="I304" s="158"/>
      <c r="J304" s="158"/>
      <c r="K304" s="158"/>
      <c r="L304" s="158"/>
      <c r="M304" s="158"/>
      <c r="N304" s="158"/>
      <c r="O304" s="158"/>
      <c r="P304" s="158"/>
      <c r="Q304" s="158"/>
      <c r="R304" s="158"/>
      <c r="S304" s="158"/>
      <c r="T304" s="158"/>
      <c r="U304" s="158"/>
      <c r="V304" s="158"/>
      <c r="W304" s="158"/>
      <c r="X304" s="158"/>
      <c r="Y304" s="158"/>
      <c r="Z304" s="158"/>
    </row>
    <row r="305" spans="1:26" ht="12" customHeight="1">
      <c r="A305" s="147"/>
      <c r="B305" s="158"/>
      <c r="C305" s="158"/>
      <c r="D305" s="158"/>
      <c r="E305" s="158"/>
      <c r="F305" s="158"/>
      <c r="G305" s="158"/>
      <c r="H305" s="158"/>
      <c r="I305" s="158"/>
      <c r="J305" s="158"/>
      <c r="K305" s="158"/>
      <c r="L305" s="158"/>
      <c r="M305" s="158"/>
      <c r="N305" s="158"/>
      <c r="O305" s="158"/>
      <c r="P305" s="158"/>
      <c r="Q305" s="158"/>
      <c r="R305" s="158"/>
      <c r="S305" s="158"/>
      <c r="T305" s="158"/>
      <c r="U305" s="158"/>
      <c r="V305" s="158"/>
      <c r="W305" s="158"/>
      <c r="X305" s="158"/>
      <c r="Y305" s="158"/>
      <c r="Z305" s="158"/>
    </row>
    <row r="306" spans="1:26" ht="12" customHeight="1">
      <c r="A306" s="147"/>
      <c r="B306" s="158"/>
      <c r="C306" s="158"/>
      <c r="D306" s="158"/>
      <c r="E306" s="158"/>
      <c r="F306" s="158"/>
      <c r="G306" s="158"/>
      <c r="H306" s="158"/>
      <c r="I306" s="158"/>
      <c r="J306" s="158"/>
      <c r="K306" s="158"/>
      <c r="L306" s="158"/>
      <c r="M306" s="158"/>
      <c r="N306" s="158"/>
      <c r="O306" s="158"/>
      <c r="P306" s="158"/>
      <c r="Q306" s="158"/>
      <c r="R306" s="158"/>
      <c r="S306" s="158"/>
      <c r="T306" s="158"/>
      <c r="U306" s="158"/>
      <c r="V306" s="158"/>
      <c r="W306" s="158"/>
      <c r="X306" s="158"/>
      <c r="Y306" s="158"/>
      <c r="Z306" s="158"/>
    </row>
    <row r="307" spans="1:26" ht="12" customHeight="1">
      <c r="A307" s="147"/>
      <c r="B307" s="158"/>
      <c r="C307" s="158"/>
      <c r="D307" s="158"/>
      <c r="E307" s="158"/>
      <c r="F307" s="158"/>
      <c r="G307" s="158"/>
      <c r="H307" s="158"/>
      <c r="I307" s="158"/>
      <c r="J307" s="158"/>
      <c r="K307" s="158"/>
      <c r="L307" s="158"/>
      <c r="M307" s="158"/>
      <c r="N307" s="158"/>
      <c r="O307" s="158"/>
      <c r="P307" s="158"/>
      <c r="Q307" s="158"/>
      <c r="R307" s="158"/>
      <c r="S307" s="158"/>
      <c r="T307" s="158"/>
      <c r="U307" s="158"/>
      <c r="V307" s="158"/>
      <c r="W307" s="158"/>
      <c r="X307" s="158"/>
      <c r="Y307" s="158"/>
      <c r="Z307" s="158"/>
    </row>
    <row r="308" spans="1:26" ht="12" customHeight="1">
      <c r="A308" s="147"/>
      <c r="B308" s="158"/>
      <c r="C308" s="158"/>
      <c r="D308" s="158"/>
      <c r="E308" s="158"/>
      <c r="F308" s="158"/>
      <c r="G308" s="158"/>
      <c r="H308" s="158"/>
      <c r="I308" s="158"/>
      <c r="J308" s="158"/>
      <c r="K308" s="158"/>
      <c r="L308" s="158"/>
      <c r="M308" s="158"/>
      <c r="N308" s="158"/>
      <c r="O308" s="158"/>
      <c r="P308" s="158"/>
      <c r="Q308" s="158"/>
      <c r="R308" s="158"/>
      <c r="S308" s="158"/>
      <c r="T308" s="158"/>
      <c r="U308" s="158"/>
      <c r="V308" s="158"/>
      <c r="W308" s="158"/>
      <c r="X308" s="158"/>
      <c r="Y308" s="158"/>
      <c r="Z308" s="158"/>
    </row>
    <row r="309" spans="1:26" ht="12" customHeight="1">
      <c r="A309" s="147"/>
      <c r="B309" s="158"/>
      <c r="C309" s="158"/>
      <c r="D309" s="158"/>
      <c r="E309" s="158"/>
      <c r="F309" s="158"/>
      <c r="G309" s="158"/>
      <c r="H309" s="158"/>
      <c r="I309" s="158"/>
      <c r="J309" s="158"/>
      <c r="K309" s="158"/>
      <c r="L309" s="158"/>
      <c r="M309" s="158"/>
      <c r="N309" s="158"/>
      <c r="O309" s="158"/>
      <c r="P309" s="158"/>
      <c r="Q309" s="158"/>
      <c r="R309" s="158"/>
      <c r="S309" s="158"/>
      <c r="T309" s="158"/>
      <c r="U309" s="158"/>
      <c r="V309" s="158"/>
      <c r="W309" s="158"/>
      <c r="X309" s="158"/>
      <c r="Y309" s="158"/>
      <c r="Z309" s="158"/>
    </row>
    <row r="310" spans="1:26" ht="12" customHeight="1">
      <c r="A310" s="147"/>
      <c r="B310" s="158"/>
      <c r="C310" s="158"/>
      <c r="D310" s="158"/>
      <c r="E310" s="158"/>
      <c r="F310" s="158"/>
      <c r="G310" s="158"/>
      <c r="H310" s="158"/>
      <c r="I310" s="158"/>
      <c r="J310" s="158"/>
      <c r="K310" s="158"/>
      <c r="L310" s="158"/>
      <c r="M310" s="158"/>
      <c r="N310" s="158"/>
      <c r="O310" s="158"/>
      <c r="P310" s="158"/>
      <c r="Q310" s="158"/>
      <c r="R310" s="158"/>
      <c r="S310" s="158"/>
      <c r="T310" s="158"/>
      <c r="U310" s="158"/>
      <c r="V310" s="158"/>
      <c r="W310" s="158"/>
      <c r="X310" s="158"/>
      <c r="Y310" s="158"/>
      <c r="Z310" s="158"/>
    </row>
    <row r="311" spans="1:26" ht="12" customHeight="1">
      <c r="A311" s="147"/>
      <c r="B311" s="158"/>
      <c r="C311" s="158"/>
      <c r="D311" s="158"/>
      <c r="E311" s="158"/>
      <c r="F311" s="158"/>
      <c r="G311" s="158"/>
      <c r="H311" s="158"/>
      <c r="I311" s="158"/>
      <c r="J311" s="158"/>
      <c r="K311" s="158"/>
      <c r="L311" s="158"/>
      <c r="M311" s="158"/>
      <c r="N311" s="158"/>
      <c r="O311" s="158"/>
      <c r="P311" s="158"/>
      <c r="Q311" s="158"/>
      <c r="R311" s="158"/>
      <c r="S311" s="158"/>
      <c r="T311" s="158"/>
      <c r="U311" s="158"/>
      <c r="V311" s="158"/>
      <c r="W311" s="158"/>
      <c r="X311" s="158"/>
      <c r="Y311" s="158"/>
      <c r="Z311" s="158"/>
    </row>
    <row r="312" spans="1:26" ht="12" customHeight="1">
      <c r="A312" s="147"/>
      <c r="B312" s="158"/>
      <c r="C312" s="158"/>
      <c r="D312" s="158"/>
      <c r="E312" s="158"/>
      <c r="F312" s="158"/>
      <c r="G312" s="158"/>
      <c r="H312" s="158"/>
      <c r="I312" s="158"/>
      <c r="J312" s="158"/>
      <c r="K312" s="158"/>
      <c r="L312" s="158"/>
      <c r="M312" s="158"/>
      <c r="N312" s="158"/>
      <c r="O312" s="158"/>
      <c r="P312" s="158"/>
      <c r="Q312" s="158"/>
      <c r="R312" s="158"/>
      <c r="S312" s="158"/>
      <c r="T312" s="158"/>
      <c r="U312" s="158"/>
      <c r="V312" s="158"/>
      <c r="W312" s="158"/>
      <c r="X312" s="158"/>
      <c r="Y312" s="158"/>
      <c r="Z312" s="158"/>
    </row>
    <row r="313" spans="1:26" ht="12" customHeight="1">
      <c r="A313" s="147"/>
      <c r="B313" s="158"/>
      <c r="C313" s="158"/>
      <c r="D313" s="158"/>
      <c r="E313" s="158"/>
      <c r="F313" s="158"/>
      <c r="G313" s="158"/>
      <c r="H313" s="158"/>
      <c r="I313" s="158"/>
      <c r="J313" s="158"/>
      <c r="K313" s="158"/>
      <c r="L313" s="158"/>
      <c r="M313" s="158"/>
      <c r="N313" s="158"/>
      <c r="O313" s="158"/>
      <c r="P313" s="158"/>
      <c r="Q313" s="158"/>
      <c r="R313" s="158"/>
      <c r="S313" s="158"/>
      <c r="T313" s="158"/>
      <c r="U313" s="158"/>
      <c r="V313" s="158"/>
      <c r="W313" s="158"/>
      <c r="X313" s="158"/>
      <c r="Y313" s="158"/>
      <c r="Z313" s="158"/>
    </row>
    <row r="314" spans="1:26" ht="12" customHeight="1">
      <c r="A314" s="147"/>
      <c r="B314" s="158"/>
      <c r="C314" s="158"/>
      <c r="D314" s="158"/>
      <c r="E314" s="158"/>
      <c r="F314" s="158"/>
      <c r="G314" s="158"/>
      <c r="H314" s="158"/>
      <c r="I314" s="158"/>
      <c r="J314" s="158"/>
      <c r="K314" s="158"/>
      <c r="L314" s="158"/>
      <c r="M314" s="158"/>
      <c r="N314" s="158"/>
      <c r="O314" s="158"/>
      <c r="P314" s="158"/>
      <c r="Q314" s="158"/>
      <c r="R314" s="158"/>
      <c r="S314" s="158"/>
      <c r="T314" s="158"/>
      <c r="U314" s="158"/>
      <c r="V314" s="158"/>
      <c r="W314" s="158"/>
      <c r="X314" s="158"/>
      <c r="Y314" s="158"/>
      <c r="Z314" s="158"/>
    </row>
    <row r="315" spans="1:26" ht="12" customHeight="1">
      <c r="A315" s="147"/>
      <c r="B315" s="158"/>
      <c r="C315" s="158"/>
      <c r="D315" s="158"/>
      <c r="E315" s="158"/>
      <c r="F315" s="158"/>
      <c r="G315" s="158"/>
      <c r="H315" s="158"/>
      <c r="I315" s="158"/>
      <c r="J315" s="158"/>
      <c r="K315" s="158"/>
      <c r="L315" s="158"/>
      <c r="M315" s="158"/>
      <c r="N315" s="158"/>
      <c r="O315" s="158"/>
      <c r="P315" s="158"/>
      <c r="Q315" s="158"/>
      <c r="R315" s="158"/>
      <c r="S315" s="158"/>
      <c r="T315" s="158"/>
      <c r="U315" s="158"/>
      <c r="V315" s="158"/>
      <c r="W315" s="158"/>
      <c r="X315" s="158"/>
      <c r="Y315" s="158"/>
      <c r="Z315" s="158"/>
    </row>
    <row r="316" spans="1:26" ht="12" customHeight="1">
      <c r="A316" s="147"/>
      <c r="B316" s="158"/>
      <c r="C316" s="158"/>
      <c r="D316" s="158"/>
      <c r="E316" s="158"/>
      <c r="F316" s="158"/>
      <c r="G316" s="158"/>
      <c r="H316" s="158"/>
      <c r="I316" s="158"/>
      <c r="J316" s="158"/>
      <c r="K316" s="158"/>
      <c r="L316" s="158"/>
      <c r="M316" s="158"/>
      <c r="N316" s="158"/>
      <c r="O316" s="158"/>
      <c r="P316" s="158"/>
      <c r="Q316" s="158"/>
      <c r="R316" s="158"/>
      <c r="S316" s="158"/>
      <c r="T316" s="158"/>
      <c r="U316" s="158"/>
      <c r="V316" s="158"/>
      <c r="W316" s="158"/>
      <c r="X316" s="158"/>
      <c r="Y316" s="158"/>
      <c r="Z316" s="158"/>
    </row>
    <row r="317" spans="1:26" ht="12" customHeight="1">
      <c r="A317" s="147"/>
      <c r="B317" s="158"/>
      <c r="C317" s="158"/>
      <c r="D317" s="158"/>
      <c r="E317" s="158"/>
      <c r="F317" s="158"/>
      <c r="G317" s="158"/>
      <c r="H317" s="158"/>
      <c r="I317" s="158"/>
      <c r="J317" s="158"/>
      <c r="K317" s="158"/>
      <c r="L317" s="158"/>
      <c r="M317" s="158"/>
      <c r="N317" s="158"/>
      <c r="O317" s="158"/>
      <c r="P317" s="158"/>
      <c r="Q317" s="158"/>
      <c r="R317" s="158"/>
      <c r="S317" s="158"/>
      <c r="T317" s="158"/>
      <c r="U317" s="158"/>
      <c r="V317" s="158"/>
      <c r="W317" s="158"/>
      <c r="X317" s="158"/>
      <c r="Y317" s="158"/>
      <c r="Z317" s="158"/>
    </row>
    <row r="318" spans="1:26" ht="12" customHeight="1">
      <c r="A318" s="147"/>
      <c r="B318" s="158"/>
      <c r="C318" s="158"/>
      <c r="D318" s="158"/>
      <c r="E318" s="158"/>
      <c r="F318" s="158"/>
      <c r="G318" s="158"/>
      <c r="H318" s="158"/>
      <c r="I318" s="158"/>
      <c r="J318" s="158"/>
      <c r="K318" s="158"/>
      <c r="L318" s="158"/>
      <c r="M318" s="158"/>
      <c r="N318" s="158"/>
      <c r="O318" s="158"/>
      <c r="P318" s="158"/>
      <c r="Q318" s="158"/>
      <c r="R318" s="158"/>
      <c r="S318" s="158"/>
      <c r="T318" s="158"/>
      <c r="U318" s="158"/>
      <c r="V318" s="158"/>
      <c r="W318" s="158"/>
      <c r="X318" s="158"/>
      <c r="Y318" s="158"/>
      <c r="Z318" s="158"/>
    </row>
    <row r="319" spans="1:26" ht="12" customHeight="1">
      <c r="A319" s="147"/>
      <c r="B319" s="158"/>
      <c r="C319" s="158"/>
      <c r="D319" s="158"/>
      <c r="E319" s="158"/>
      <c r="F319" s="158"/>
      <c r="G319" s="158"/>
      <c r="H319" s="158"/>
      <c r="I319" s="158"/>
      <c r="J319" s="158"/>
      <c r="K319" s="158"/>
      <c r="L319" s="158"/>
      <c r="M319" s="158"/>
      <c r="N319" s="158"/>
      <c r="O319" s="158"/>
      <c r="P319" s="158"/>
      <c r="Q319" s="158"/>
      <c r="R319" s="158"/>
      <c r="S319" s="158"/>
      <c r="T319" s="158"/>
      <c r="U319" s="158"/>
      <c r="V319" s="158"/>
      <c r="W319" s="158"/>
      <c r="X319" s="158"/>
      <c r="Y319" s="158"/>
      <c r="Z319" s="158"/>
    </row>
    <row r="320" spans="1:26" ht="12" customHeight="1">
      <c r="A320" s="147"/>
      <c r="B320" s="158"/>
      <c r="C320" s="158"/>
      <c r="D320" s="158"/>
      <c r="E320" s="158"/>
      <c r="F320" s="158"/>
      <c r="G320" s="158"/>
      <c r="H320" s="158"/>
      <c r="I320" s="158"/>
      <c r="J320" s="158"/>
      <c r="K320" s="158"/>
      <c r="L320" s="158"/>
      <c r="M320" s="158"/>
      <c r="N320" s="158"/>
      <c r="O320" s="158"/>
      <c r="P320" s="158"/>
      <c r="Q320" s="158"/>
      <c r="R320" s="158"/>
      <c r="S320" s="158"/>
      <c r="T320" s="158"/>
      <c r="U320" s="158"/>
      <c r="V320" s="158"/>
      <c r="W320" s="158"/>
      <c r="X320" s="158"/>
      <c r="Y320" s="158"/>
      <c r="Z320" s="158"/>
    </row>
    <row r="321" spans="1:26" ht="12" customHeight="1">
      <c r="A321" s="147"/>
      <c r="B321" s="158"/>
      <c r="C321" s="158"/>
      <c r="D321" s="158"/>
      <c r="E321" s="158"/>
      <c r="F321" s="158"/>
      <c r="G321" s="158"/>
      <c r="H321" s="158"/>
      <c r="I321" s="158"/>
      <c r="J321" s="158"/>
      <c r="K321" s="158"/>
      <c r="L321" s="158"/>
      <c r="M321" s="158"/>
      <c r="N321" s="158"/>
      <c r="O321" s="158"/>
      <c r="P321" s="158"/>
      <c r="Q321" s="158"/>
      <c r="R321" s="158"/>
      <c r="S321" s="158"/>
      <c r="T321" s="158"/>
      <c r="U321" s="158"/>
      <c r="V321" s="158"/>
      <c r="W321" s="158"/>
      <c r="X321" s="158"/>
      <c r="Y321" s="158"/>
      <c r="Z321" s="158"/>
    </row>
    <row r="322" spans="1:26" ht="12" customHeight="1">
      <c r="A322" s="147"/>
      <c r="B322" s="158"/>
      <c r="C322" s="158"/>
      <c r="D322" s="158"/>
      <c r="E322" s="158"/>
      <c r="F322" s="158"/>
      <c r="G322" s="158"/>
      <c r="H322" s="158"/>
      <c r="I322" s="158"/>
      <c r="J322" s="158"/>
      <c r="K322" s="158"/>
      <c r="L322" s="158"/>
      <c r="M322" s="158"/>
      <c r="N322" s="158"/>
      <c r="O322" s="158"/>
      <c r="P322" s="158"/>
      <c r="Q322" s="158"/>
      <c r="R322" s="158"/>
      <c r="S322" s="158"/>
      <c r="T322" s="158"/>
      <c r="U322" s="158"/>
      <c r="V322" s="158"/>
      <c r="W322" s="158"/>
      <c r="X322" s="158"/>
      <c r="Y322" s="158"/>
      <c r="Z322" s="158"/>
    </row>
    <row r="323" spans="1:26" ht="12" customHeight="1">
      <c r="A323" s="147"/>
      <c r="B323" s="158"/>
      <c r="C323" s="158"/>
      <c r="D323" s="158"/>
      <c r="E323" s="158"/>
      <c r="F323" s="158"/>
      <c r="G323" s="158"/>
      <c r="H323" s="158"/>
      <c r="I323" s="158"/>
      <c r="J323" s="158"/>
      <c r="K323" s="158"/>
      <c r="L323" s="158"/>
      <c r="M323" s="158"/>
      <c r="N323" s="158"/>
      <c r="O323" s="158"/>
      <c r="P323" s="158"/>
      <c r="Q323" s="158"/>
      <c r="R323" s="158"/>
      <c r="S323" s="158"/>
      <c r="T323" s="158"/>
      <c r="U323" s="158"/>
      <c r="V323" s="158"/>
      <c r="W323" s="158"/>
      <c r="X323" s="158"/>
      <c r="Y323" s="158"/>
      <c r="Z323" s="158"/>
    </row>
    <row r="324" spans="1:26" ht="12" customHeight="1">
      <c r="A324" s="147"/>
      <c r="B324" s="158"/>
      <c r="C324" s="158"/>
      <c r="D324" s="158"/>
      <c r="E324" s="158"/>
      <c r="F324" s="158"/>
      <c r="G324" s="158"/>
      <c r="H324" s="158"/>
      <c r="I324" s="158"/>
      <c r="J324" s="158"/>
      <c r="K324" s="158"/>
      <c r="L324" s="158"/>
      <c r="M324" s="158"/>
      <c r="N324" s="158"/>
      <c r="O324" s="158"/>
      <c r="P324" s="158"/>
      <c r="Q324" s="158"/>
      <c r="R324" s="158"/>
      <c r="S324" s="158"/>
      <c r="T324" s="158"/>
      <c r="U324" s="158"/>
      <c r="V324" s="158"/>
      <c r="W324" s="158"/>
      <c r="X324" s="158"/>
      <c r="Y324" s="158"/>
      <c r="Z324" s="158"/>
    </row>
    <row r="325" spans="1:26" ht="12" customHeight="1">
      <c r="A325" s="147"/>
      <c r="B325" s="158"/>
      <c r="C325" s="158"/>
      <c r="D325" s="158"/>
      <c r="E325" s="158"/>
      <c r="F325" s="158"/>
      <c r="G325" s="158"/>
      <c r="H325" s="158"/>
      <c r="I325" s="158"/>
      <c r="J325" s="158"/>
      <c r="K325" s="158"/>
      <c r="L325" s="158"/>
      <c r="M325" s="158"/>
      <c r="N325" s="158"/>
      <c r="O325" s="158"/>
      <c r="P325" s="158"/>
      <c r="Q325" s="158"/>
      <c r="R325" s="158"/>
      <c r="S325" s="158"/>
      <c r="T325" s="158"/>
      <c r="U325" s="158"/>
      <c r="V325" s="158"/>
      <c r="W325" s="158"/>
      <c r="X325" s="158"/>
      <c r="Y325" s="158"/>
      <c r="Z325" s="158"/>
    </row>
    <row r="326" spans="1:26" ht="12" customHeight="1">
      <c r="A326" s="147"/>
      <c r="B326" s="158"/>
      <c r="C326" s="158"/>
      <c r="D326" s="158"/>
      <c r="E326" s="158"/>
      <c r="F326" s="158"/>
      <c r="G326" s="158"/>
      <c r="H326" s="158"/>
      <c r="I326" s="158"/>
      <c r="J326" s="158"/>
      <c r="K326" s="158"/>
      <c r="L326" s="158"/>
      <c r="M326" s="158"/>
      <c r="N326" s="158"/>
      <c r="O326" s="158"/>
      <c r="P326" s="158"/>
      <c r="Q326" s="158"/>
      <c r="R326" s="158"/>
      <c r="S326" s="158"/>
      <c r="T326" s="158"/>
      <c r="U326" s="158"/>
      <c r="V326" s="158"/>
      <c r="W326" s="158"/>
      <c r="X326" s="158"/>
      <c r="Y326" s="158"/>
      <c r="Z326" s="158"/>
    </row>
    <row r="327" spans="1:26" ht="12" customHeight="1">
      <c r="A327" s="147"/>
      <c r="B327" s="158"/>
      <c r="C327" s="158"/>
      <c r="D327" s="158"/>
      <c r="E327" s="158"/>
      <c r="F327" s="158"/>
      <c r="G327" s="158"/>
      <c r="H327" s="158"/>
      <c r="I327" s="158"/>
      <c r="J327" s="158"/>
      <c r="K327" s="158"/>
      <c r="L327" s="158"/>
      <c r="M327" s="158"/>
      <c r="N327" s="158"/>
      <c r="O327" s="158"/>
      <c r="P327" s="158"/>
      <c r="Q327" s="158"/>
      <c r="R327" s="158"/>
      <c r="S327" s="158"/>
      <c r="T327" s="158"/>
      <c r="U327" s="158"/>
      <c r="V327" s="158"/>
      <c r="W327" s="158"/>
      <c r="X327" s="158"/>
      <c r="Y327" s="158"/>
      <c r="Z327" s="158"/>
    </row>
    <row r="328" spans="1:26" ht="12" customHeight="1">
      <c r="A328" s="147"/>
      <c r="B328" s="158"/>
      <c r="C328" s="158"/>
      <c r="D328" s="158"/>
      <c r="E328" s="158"/>
      <c r="F328" s="158"/>
      <c r="G328" s="158"/>
      <c r="H328" s="158"/>
      <c r="I328" s="158"/>
      <c r="J328" s="158"/>
      <c r="K328" s="158"/>
      <c r="L328" s="158"/>
      <c r="M328" s="158"/>
      <c r="N328" s="158"/>
      <c r="O328" s="158"/>
      <c r="P328" s="158"/>
      <c r="Q328" s="158"/>
      <c r="R328" s="158"/>
      <c r="S328" s="158"/>
      <c r="T328" s="158"/>
      <c r="U328" s="158"/>
      <c r="V328" s="158"/>
      <c r="W328" s="158"/>
      <c r="X328" s="158"/>
      <c r="Y328" s="158"/>
      <c r="Z328" s="158"/>
    </row>
    <row r="329" spans="1:26" ht="12" customHeight="1">
      <c r="A329" s="147"/>
      <c r="B329" s="158"/>
      <c r="C329" s="158"/>
      <c r="D329" s="158"/>
      <c r="E329" s="158"/>
      <c r="F329" s="158"/>
      <c r="G329" s="158"/>
      <c r="H329" s="158"/>
      <c r="I329" s="158"/>
      <c r="J329" s="158"/>
      <c r="K329" s="158"/>
      <c r="L329" s="158"/>
      <c r="M329" s="158"/>
      <c r="N329" s="158"/>
      <c r="O329" s="158"/>
      <c r="P329" s="158"/>
      <c r="Q329" s="158"/>
      <c r="R329" s="158"/>
      <c r="S329" s="158"/>
      <c r="T329" s="158"/>
      <c r="U329" s="158"/>
      <c r="V329" s="158"/>
      <c r="W329" s="158"/>
      <c r="X329" s="158"/>
      <c r="Y329" s="158"/>
      <c r="Z329" s="158"/>
    </row>
    <row r="330" spans="1:26" ht="12" customHeight="1">
      <c r="A330" s="147"/>
      <c r="B330" s="158"/>
      <c r="C330" s="158"/>
      <c r="D330" s="158"/>
      <c r="E330" s="158"/>
      <c r="F330" s="158"/>
      <c r="G330" s="158"/>
      <c r="H330" s="158"/>
      <c r="I330" s="158"/>
      <c r="J330" s="158"/>
      <c r="K330" s="158"/>
      <c r="L330" s="158"/>
      <c r="M330" s="158"/>
      <c r="N330" s="158"/>
      <c r="O330" s="158"/>
      <c r="P330" s="158"/>
      <c r="Q330" s="158"/>
      <c r="R330" s="158"/>
      <c r="S330" s="158"/>
      <c r="T330" s="158"/>
      <c r="U330" s="158"/>
      <c r="V330" s="158"/>
      <c r="W330" s="158"/>
      <c r="X330" s="158"/>
      <c r="Y330" s="158"/>
      <c r="Z330" s="158"/>
    </row>
    <row r="331" spans="1:26" ht="12" customHeight="1">
      <c r="A331" s="147"/>
      <c r="B331" s="158"/>
      <c r="C331" s="158"/>
      <c r="D331" s="158"/>
      <c r="E331" s="158"/>
      <c r="F331" s="158"/>
      <c r="G331" s="158"/>
      <c r="H331" s="158"/>
      <c r="I331" s="158"/>
      <c r="J331" s="158"/>
      <c r="K331" s="158"/>
      <c r="L331" s="158"/>
      <c r="M331" s="158"/>
      <c r="N331" s="158"/>
      <c r="O331" s="158"/>
      <c r="P331" s="158"/>
      <c r="Q331" s="158"/>
      <c r="R331" s="158"/>
      <c r="S331" s="158"/>
      <c r="T331" s="158"/>
      <c r="U331" s="158"/>
      <c r="V331" s="158"/>
      <c r="W331" s="158"/>
      <c r="X331" s="158"/>
      <c r="Y331" s="158"/>
      <c r="Z331" s="158"/>
    </row>
    <row r="332" spans="1:26" ht="12" customHeight="1">
      <c r="A332" s="147"/>
      <c r="B332" s="158"/>
      <c r="C332" s="158"/>
      <c r="D332" s="158"/>
      <c r="E332" s="158"/>
      <c r="F332" s="158"/>
      <c r="G332" s="158"/>
      <c r="H332" s="158"/>
      <c r="I332" s="158"/>
      <c r="J332" s="158"/>
      <c r="K332" s="158"/>
      <c r="L332" s="158"/>
      <c r="M332" s="158"/>
      <c r="N332" s="158"/>
      <c r="O332" s="158"/>
      <c r="P332" s="158"/>
      <c r="Q332" s="158"/>
      <c r="R332" s="158"/>
      <c r="S332" s="158"/>
      <c r="T332" s="158"/>
      <c r="U332" s="158"/>
      <c r="V332" s="158"/>
      <c r="W332" s="158"/>
      <c r="X332" s="158"/>
      <c r="Y332" s="158"/>
      <c r="Z332" s="158"/>
    </row>
    <row r="333" spans="1:26" ht="12" customHeight="1">
      <c r="A333" s="147"/>
      <c r="B333" s="158"/>
      <c r="C333" s="158"/>
      <c r="D333" s="158"/>
      <c r="E333" s="158"/>
      <c r="F333" s="158"/>
      <c r="G333" s="158"/>
      <c r="H333" s="158"/>
      <c r="I333" s="158"/>
      <c r="J333" s="158"/>
      <c r="K333" s="158"/>
      <c r="L333" s="158"/>
      <c r="M333" s="158"/>
      <c r="N333" s="158"/>
      <c r="O333" s="158"/>
      <c r="P333" s="158"/>
      <c r="Q333" s="158"/>
      <c r="R333" s="158"/>
      <c r="S333" s="158"/>
      <c r="T333" s="158"/>
      <c r="U333" s="158"/>
      <c r="V333" s="158"/>
      <c r="W333" s="158"/>
      <c r="X333" s="158"/>
      <c r="Y333" s="158"/>
      <c r="Z333" s="158"/>
    </row>
    <row r="334" spans="1:26" ht="12" customHeight="1">
      <c r="A334" s="147"/>
      <c r="B334" s="158"/>
      <c r="C334" s="158"/>
      <c r="D334" s="158"/>
      <c r="E334" s="158"/>
      <c r="F334" s="158"/>
      <c r="G334" s="158"/>
      <c r="H334" s="158"/>
      <c r="I334" s="158"/>
      <c r="J334" s="158"/>
      <c r="K334" s="158"/>
      <c r="L334" s="158"/>
      <c r="M334" s="158"/>
      <c r="N334" s="158"/>
      <c r="O334" s="158"/>
      <c r="P334" s="158"/>
      <c r="Q334" s="158"/>
      <c r="R334" s="158"/>
      <c r="S334" s="158"/>
      <c r="T334" s="158"/>
      <c r="U334" s="158"/>
      <c r="V334" s="158"/>
      <c r="W334" s="158"/>
      <c r="X334" s="158"/>
      <c r="Y334" s="158"/>
      <c r="Z334" s="158"/>
    </row>
    <row r="335" spans="1:26" ht="12" customHeight="1">
      <c r="A335" s="147"/>
      <c r="B335" s="158"/>
      <c r="C335" s="158"/>
      <c r="D335" s="158"/>
      <c r="E335" s="158"/>
      <c r="F335" s="158"/>
      <c r="G335" s="158"/>
      <c r="H335" s="158"/>
      <c r="I335" s="158"/>
      <c r="J335" s="158"/>
      <c r="K335" s="158"/>
      <c r="L335" s="158"/>
      <c r="M335" s="158"/>
      <c r="N335" s="158"/>
      <c r="O335" s="158"/>
      <c r="P335" s="158"/>
      <c r="Q335" s="158"/>
      <c r="R335" s="158"/>
      <c r="S335" s="158"/>
      <c r="T335" s="158"/>
      <c r="U335" s="158"/>
      <c r="V335" s="158"/>
      <c r="W335" s="158"/>
      <c r="X335" s="158"/>
      <c r="Y335" s="158"/>
      <c r="Z335" s="158"/>
    </row>
    <row r="336" spans="1:26" ht="12" customHeight="1">
      <c r="A336" s="147"/>
      <c r="B336" s="158"/>
      <c r="C336" s="158"/>
      <c r="D336" s="158"/>
      <c r="E336" s="158"/>
      <c r="F336" s="158"/>
      <c r="G336" s="158"/>
      <c r="H336" s="158"/>
      <c r="I336" s="158"/>
      <c r="J336" s="158"/>
      <c r="K336" s="158"/>
      <c r="L336" s="158"/>
      <c r="M336" s="158"/>
      <c r="N336" s="158"/>
      <c r="O336" s="158"/>
      <c r="P336" s="158"/>
      <c r="Q336" s="158"/>
      <c r="R336" s="158"/>
      <c r="S336" s="158"/>
      <c r="T336" s="158"/>
      <c r="U336" s="158"/>
      <c r="V336" s="158"/>
      <c r="W336" s="158"/>
      <c r="X336" s="158"/>
      <c r="Y336" s="158"/>
      <c r="Z336" s="158"/>
    </row>
    <row r="337" spans="1:26" ht="12" customHeight="1">
      <c r="A337" s="147"/>
      <c r="B337" s="158"/>
      <c r="C337" s="158"/>
      <c r="D337" s="158"/>
      <c r="E337" s="158"/>
      <c r="F337" s="158"/>
      <c r="G337" s="158"/>
      <c r="H337" s="158"/>
      <c r="I337" s="158"/>
      <c r="J337" s="158"/>
      <c r="K337" s="158"/>
      <c r="L337" s="158"/>
      <c r="M337" s="158"/>
      <c r="N337" s="158"/>
      <c r="O337" s="158"/>
      <c r="P337" s="158"/>
      <c r="Q337" s="158"/>
      <c r="R337" s="158"/>
      <c r="S337" s="158"/>
      <c r="T337" s="158"/>
      <c r="U337" s="158"/>
      <c r="V337" s="158"/>
      <c r="W337" s="158"/>
      <c r="X337" s="158"/>
      <c r="Y337" s="158"/>
      <c r="Z337" s="158"/>
    </row>
    <row r="338" spans="1:26" ht="12" customHeight="1">
      <c r="A338" s="147"/>
      <c r="B338" s="158"/>
      <c r="C338" s="158"/>
      <c r="D338" s="158"/>
      <c r="E338" s="158"/>
      <c r="F338" s="158"/>
      <c r="G338" s="158"/>
      <c r="H338" s="158"/>
      <c r="I338" s="158"/>
      <c r="J338" s="158"/>
      <c r="K338" s="158"/>
      <c r="L338" s="158"/>
      <c r="M338" s="158"/>
      <c r="N338" s="158"/>
      <c r="O338" s="158"/>
      <c r="P338" s="158"/>
      <c r="Q338" s="158"/>
      <c r="R338" s="158"/>
      <c r="S338" s="158"/>
      <c r="T338" s="158"/>
      <c r="U338" s="158"/>
      <c r="V338" s="158"/>
      <c r="W338" s="158"/>
      <c r="X338" s="158"/>
      <c r="Y338" s="158"/>
      <c r="Z338" s="158"/>
    </row>
    <row r="339" spans="1:26" ht="12" customHeight="1">
      <c r="A339" s="147"/>
      <c r="B339" s="158"/>
      <c r="C339" s="158"/>
      <c r="D339" s="158"/>
      <c r="E339" s="158"/>
      <c r="F339" s="158"/>
      <c r="G339" s="158"/>
      <c r="H339" s="158"/>
      <c r="I339" s="158"/>
      <c r="J339" s="158"/>
      <c r="K339" s="158"/>
      <c r="L339" s="158"/>
      <c r="M339" s="158"/>
      <c r="N339" s="158"/>
      <c r="O339" s="158"/>
      <c r="P339" s="158"/>
      <c r="Q339" s="158"/>
      <c r="R339" s="158"/>
      <c r="S339" s="158"/>
      <c r="T339" s="158"/>
      <c r="U339" s="158"/>
      <c r="V339" s="158"/>
      <c r="W339" s="158"/>
      <c r="X339" s="158"/>
      <c r="Y339" s="158"/>
      <c r="Z339" s="158"/>
    </row>
    <row r="340" spans="1:26" ht="12" customHeight="1">
      <c r="A340" s="147"/>
      <c r="B340" s="158"/>
      <c r="C340" s="158"/>
      <c r="D340" s="158"/>
      <c r="E340" s="158"/>
      <c r="F340" s="158"/>
      <c r="G340" s="158"/>
      <c r="H340" s="158"/>
      <c r="I340" s="158"/>
      <c r="J340" s="158"/>
      <c r="K340" s="158"/>
      <c r="L340" s="158"/>
      <c r="M340" s="158"/>
      <c r="N340" s="158"/>
      <c r="O340" s="158"/>
      <c r="P340" s="158"/>
      <c r="Q340" s="158"/>
      <c r="R340" s="158"/>
      <c r="S340" s="158"/>
      <c r="T340" s="158"/>
      <c r="U340" s="158"/>
      <c r="V340" s="158"/>
      <c r="W340" s="158"/>
      <c r="X340" s="158"/>
      <c r="Y340" s="158"/>
      <c r="Z340" s="158"/>
    </row>
    <row r="341" spans="1:26" ht="12" customHeight="1">
      <c r="A341" s="147"/>
      <c r="B341" s="158"/>
      <c r="C341" s="158"/>
      <c r="D341" s="158"/>
      <c r="E341" s="158"/>
      <c r="F341" s="158"/>
      <c r="G341" s="158"/>
      <c r="H341" s="158"/>
      <c r="I341" s="158"/>
      <c r="J341" s="158"/>
      <c r="K341" s="158"/>
      <c r="L341" s="158"/>
      <c r="M341" s="158"/>
      <c r="N341" s="158"/>
      <c r="O341" s="158"/>
      <c r="P341" s="158"/>
      <c r="Q341" s="158"/>
      <c r="R341" s="158"/>
      <c r="S341" s="158"/>
      <c r="T341" s="158"/>
      <c r="U341" s="158"/>
      <c r="V341" s="158"/>
      <c r="W341" s="158"/>
      <c r="X341" s="158"/>
      <c r="Y341" s="158"/>
      <c r="Z341" s="158"/>
    </row>
    <row r="342" spans="1:26" ht="12" customHeight="1">
      <c r="A342" s="147"/>
      <c r="B342" s="158"/>
      <c r="C342" s="158"/>
      <c r="D342" s="158"/>
      <c r="E342" s="158"/>
      <c r="F342" s="158"/>
      <c r="G342" s="158"/>
      <c r="H342" s="158"/>
      <c r="I342" s="158"/>
      <c r="J342" s="158"/>
      <c r="K342" s="158"/>
      <c r="L342" s="158"/>
      <c r="M342" s="158"/>
      <c r="N342" s="158"/>
      <c r="O342" s="158"/>
      <c r="P342" s="158"/>
      <c r="Q342" s="158"/>
      <c r="R342" s="158"/>
      <c r="S342" s="158"/>
      <c r="T342" s="158"/>
      <c r="U342" s="158"/>
      <c r="V342" s="158"/>
      <c r="W342" s="158"/>
      <c r="X342" s="158"/>
      <c r="Y342" s="158"/>
      <c r="Z342" s="158"/>
    </row>
    <row r="343" spans="1:26" ht="12" customHeight="1">
      <c r="A343" s="147"/>
      <c r="B343" s="158"/>
      <c r="C343" s="158"/>
      <c r="D343" s="158"/>
      <c r="E343" s="158"/>
      <c r="F343" s="158"/>
      <c r="G343" s="158"/>
      <c r="H343" s="158"/>
      <c r="I343" s="158"/>
      <c r="J343" s="158"/>
      <c r="K343" s="158"/>
      <c r="L343" s="158"/>
      <c r="M343" s="158"/>
      <c r="N343" s="158"/>
      <c r="O343" s="158"/>
      <c r="P343" s="158"/>
      <c r="Q343" s="158"/>
      <c r="R343" s="158"/>
      <c r="S343" s="158"/>
      <c r="T343" s="158"/>
      <c r="U343" s="158"/>
      <c r="V343" s="158"/>
      <c r="W343" s="158"/>
      <c r="X343" s="158"/>
      <c r="Y343" s="158"/>
      <c r="Z343" s="158"/>
    </row>
    <row r="344" spans="1:26" ht="12" customHeight="1">
      <c r="A344" s="147"/>
      <c r="B344" s="158"/>
      <c r="C344" s="158"/>
      <c r="D344" s="158"/>
      <c r="E344" s="158"/>
      <c r="F344" s="158"/>
      <c r="G344" s="158"/>
      <c r="H344" s="158"/>
      <c r="I344" s="158"/>
      <c r="J344" s="158"/>
      <c r="K344" s="158"/>
      <c r="L344" s="158"/>
      <c r="M344" s="158"/>
      <c r="N344" s="158"/>
      <c r="O344" s="158"/>
      <c r="P344" s="158"/>
      <c r="Q344" s="158"/>
      <c r="R344" s="158"/>
      <c r="S344" s="158"/>
      <c r="T344" s="158"/>
      <c r="U344" s="158"/>
      <c r="V344" s="158"/>
      <c r="W344" s="158"/>
      <c r="X344" s="158"/>
      <c r="Y344" s="158"/>
      <c r="Z344" s="158"/>
    </row>
    <row r="345" spans="1:26" ht="12" customHeight="1">
      <c r="A345" s="147"/>
      <c r="B345" s="158"/>
      <c r="C345" s="158"/>
      <c r="D345" s="158"/>
      <c r="E345" s="158"/>
      <c r="F345" s="158"/>
      <c r="G345" s="158"/>
      <c r="H345" s="158"/>
      <c r="I345" s="158"/>
      <c r="J345" s="158"/>
      <c r="K345" s="158"/>
      <c r="L345" s="158"/>
      <c r="M345" s="158"/>
      <c r="N345" s="158"/>
      <c r="O345" s="158"/>
      <c r="P345" s="158"/>
      <c r="Q345" s="158"/>
      <c r="R345" s="158"/>
      <c r="S345" s="158"/>
      <c r="T345" s="158"/>
      <c r="U345" s="158"/>
      <c r="V345" s="158"/>
      <c r="W345" s="158"/>
      <c r="X345" s="158"/>
      <c r="Y345" s="158"/>
      <c r="Z345" s="158"/>
    </row>
    <row r="346" spans="1:26" ht="12" customHeight="1">
      <c r="A346" s="147"/>
      <c r="B346" s="158"/>
      <c r="C346" s="158"/>
      <c r="D346" s="158"/>
      <c r="E346" s="158"/>
      <c r="F346" s="158"/>
      <c r="G346" s="158"/>
      <c r="H346" s="158"/>
      <c r="I346" s="158"/>
      <c r="J346" s="158"/>
      <c r="K346" s="158"/>
      <c r="L346" s="158"/>
      <c r="M346" s="158"/>
      <c r="N346" s="158"/>
      <c r="O346" s="158"/>
      <c r="P346" s="158"/>
      <c r="Q346" s="158"/>
      <c r="R346" s="158"/>
      <c r="S346" s="158"/>
      <c r="T346" s="158"/>
      <c r="U346" s="158"/>
      <c r="V346" s="158"/>
      <c r="W346" s="158"/>
      <c r="X346" s="158"/>
      <c r="Y346" s="158"/>
      <c r="Z346" s="158"/>
    </row>
    <row r="347" spans="1:26" ht="12" customHeight="1">
      <c r="A347" s="147"/>
      <c r="B347" s="158"/>
      <c r="C347" s="158"/>
      <c r="D347" s="158"/>
      <c r="E347" s="158"/>
      <c r="F347" s="158"/>
      <c r="G347" s="158"/>
      <c r="H347" s="158"/>
      <c r="I347" s="158"/>
      <c r="J347" s="158"/>
      <c r="K347" s="158"/>
      <c r="L347" s="158"/>
      <c r="M347" s="158"/>
      <c r="N347" s="158"/>
      <c r="O347" s="158"/>
      <c r="P347" s="158"/>
      <c r="Q347" s="158"/>
      <c r="R347" s="158"/>
      <c r="S347" s="158"/>
      <c r="T347" s="158"/>
      <c r="U347" s="158"/>
      <c r="V347" s="158"/>
      <c r="W347" s="158"/>
      <c r="X347" s="158"/>
      <c r="Y347" s="158"/>
      <c r="Z347" s="158"/>
    </row>
    <row r="348" spans="1:26" ht="12" customHeight="1">
      <c r="A348" s="147"/>
      <c r="B348" s="158"/>
      <c r="C348" s="158"/>
      <c r="D348" s="158"/>
      <c r="E348" s="158"/>
      <c r="F348" s="158"/>
      <c r="G348" s="158"/>
      <c r="H348" s="158"/>
      <c r="I348" s="158"/>
      <c r="J348" s="158"/>
      <c r="K348" s="158"/>
      <c r="L348" s="158"/>
      <c r="M348" s="158"/>
      <c r="N348" s="158"/>
      <c r="O348" s="158"/>
      <c r="P348" s="158"/>
      <c r="Q348" s="158"/>
      <c r="R348" s="158"/>
      <c r="S348" s="158"/>
      <c r="T348" s="158"/>
      <c r="U348" s="158"/>
      <c r="V348" s="158"/>
      <c r="W348" s="158"/>
      <c r="X348" s="158"/>
      <c r="Y348" s="158"/>
      <c r="Z348" s="158"/>
    </row>
    <row r="349" spans="1:26" ht="12" customHeight="1">
      <c r="A349" s="147"/>
      <c r="B349" s="158"/>
      <c r="C349" s="158"/>
      <c r="D349" s="158"/>
      <c r="E349" s="158"/>
      <c r="F349" s="158"/>
      <c r="G349" s="158"/>
      <c r="H349" s="158"/>
      <c r="I349" s="158"/>
      <c r="J349" s="158"/>
      <c r="K349" s="158"/>
      <c r="L349" s="158"/>
      <c r="M349" s="158"/>
      <c r="N349" s="158"/>
      <c r="O349" s="158"/>
      <c r="P349" s="158"/>
      <c r="Q349" s="158"/>
      <c r="R349" s="158"/>
      <c r="S349" s="158"/>
      <c r="T349" s="158"/>
      <c r="U349" s="158"/>
      <c r="V349" s="158"/>
      <c r="W349" s="158"/>
      <c r="X349" s="158"/>
      <c r="Y349" s="158"/>
      <c r="Z349" s="158"/>
    </row>
    <row r="350" spans="1:26" ht="12" customHeight="1">
      <c r="A350" s="147"/>
      <c r="B350" s="158"/>
      <c r="C350" s="158"/>
      <c r="D350" s="158"/>
      <c r="E350" s="158"/>
      <c r="F350" s="158"/>
      <c r="G350" s="158"/>
      <c r="H350" s="158"/>
      <c r="I350" s="158"/>
      <c r="J350" s="158"/>
      <c r="K350" s="158"/>
      <c r="L350" s="158"/>
      <c r="M350" s="158"/>
      <c r="N350" s="158"/>
      <c r="O350" s="158"/>
      <c r="P350" s="158"/>
      <c r="Q350" s="158"/>
      <c r="R350" s="158"/>
      <c r="S350" s="158"/>
      <c r="T350" s="158"/>
      <c r="U350" s="158"/>
      <c r="V350" s="158"/>
      <c r="W350" s="158"/>
      <c r="X350" s="158"/>
      <c r="Y350" s="158"/>
      <c r="Z350" s="158"/>
    </row>
    <row r="351" spans="1:26" ht="12" customHeight="1">
      <c r="A351" s="147"/>
      <c r="B351" s="158"/>
      <c r="C351" s="158"/>
      <c r="D351" s="158"/>
      <c r="E351" s="158"/>
      <c r="F351" s="158"/>
      <c r="G351" s="158"/>
      <c r="H351" s="158"/>
      <c r="I351" s="158"/>
      <c r="J351" s="158"/>
      <c r="K351" s="158"/>
      <c r="L351" s="158"/>
      <c r="M351" s="158"/>
      <c r="N351" s="158"/>
      <c r="O351" s="158"/>
      <c r="P351" s="158"/>
      <c r="Q351" s="158"/>
      <c r="R351" s="158"/>
      <c r="S351" s="158"/>
      <c r="T351" s="158"/>
      <c r="U351" s="158"/>
      <c r="V351" s="158"/>
      <c r="W351" s="158"/>
      <c r="X351" s="158"/>
      <c r="Y351" s="158"/>
      <c r="Z351" s="158"/>
    </row>
    <row r="352" spans="1:26" ht="12" customHeight="1">
      <c r="A352" s="147"/>
      <c r="B352" s="158"/>
      <c r="C352" s="158"/>
      <c r="D352" s="158"/>
      <c r="E352" s="158"/>
      <c r="F352" s="158"/>
      <c r="G352" s="158"/>
      <c r="H352" s="158"/>
      <c r="I352" s="158"/>
      <c r="J352" s="158"/>
      <c r="K352" s="158"/>
      <c r="L352" s="158"/>
      <c r="M352" s="158"/>
      <c r="N352" s="158"/>
      <c r="O352" s="158"/>
      <c r="P352" s="158"/>
      <c r="Q352" s="158"/>
      <c r="R352" s="158"/>
      <c r="S352" s="158"/>
      <c r="T352" s="158"/>
      <c r="U352" s="158"/>
      <c r="V352" s="158"/>
      <c r="W352" s="158"/>
      <c r="X352" s="158"/>
      <c r="Y352" s="158"/>
      <c r="Z352" s="158"/>
    </row>
    <row r="353" spans="1:26" ht="12" customHeight="1">
      <c r="A353" s="147"/>
      <c r="B353" s="158"/>
      <c r="C353" s="158"/>
      <c r="D353" s="158"/>
      <c r="E353" s="158"/>
      <c r="F353" s="158"/>
      <c r="G353" s="158"/>
      <c r="H353" s="158"/>
      <c r="I353" s="158"/>
      <c r="J353" s="158"/>
      <c r="K353" s="158"/>
      <c r="L353" s="158"/>
      <c r="M353" s="158"/>
      <c r="N353" s="158"/>
      <c r="O353" s="158"/>
      <c r="P353" s="158"/>
      <c r="Q353" s="158"/>
      <c r="R353" s="158"/>
      <c r="S353" s="158"/>
      <c r="T353" s="158"/>
      <c r="U353" s="158"/>
      <c r="V353" s="158"/>
      <c r="W353" s="158"/>
      <c r="X353" s="158"/>
      <c r="Y353" s="158"/>
      <c r="Z353" s="158"/>
    </row>
    <row r="354" spans="1:26" ht="12" customHeight="1">
      <c r="A354" s="147"/>
      <c r="B354" s="158"/>
      <c r="C354" s="158"/>
      <c r="D354" s="158"/>
      <c r="E354" s="158"/>
      <c r="F354" s="158"/>
      <c r="G354" s="158"/>
      <c r="H354" s="158"/>
      <c r="I354" s="158"/>
      <c r="J354" s="158"/>
      <c r="K354" s="158"/>
      <c r="L354" s="158"/>
      <c r="M354" s="158"/>
      <c r="N354" s="158"/>
      <c r="O354" s="158"/>
      <c r="P354" s="158"/>
      <c r="Q354" s="158"/>
      <c r="R354" s="158"/>
      <c r="S354" s="158"/>
      <c r="T354" s="158"/>
      <c r="U354" s="158"/>
      <c r="V354" s="158"/>
      <c r="W354" s="158"/>
      <c r="X354" s="158"/>
      <c r="Y354" s="158"/>
      <c r="Z354" s="158"/>
    </row>
    <row r="355" spans="1:26" ht="12" customHeight="1">
      <c r="A355" s="147"/>
      <c r="B355" s="158"/>
      <c r="C355" s="158"/>
      <c r="D355" s="158"/>
      <c r="E355" s="158"/>
      <c r="F355" s="158"/>
      <c r="G355" s="158"/>
      <c r="H355" s="158"/>
      <c r="I355" s="158"/>
      <c r="J355" s="158"/>
      <c r="K355" s="158"/>
      <c r="L355" s="158"/>
      <c r="M355" s="158"/>
      <c r="N355" s="158"/>
      <c r="O355" s="158"/>
      <c r="P355" s="158"/>
      <c r="Q355" s="158"/>
      <c r="R355" s="158"/>
      <c r="S355" s="158"/>
      <c r="T355" s="158"/>
      <c r="U355" s="158"/>
      <c r="V355" s="158"/>
      <c r="W355" s="158"/>
      <c r="X355" s="158"/>
      <c r="Y355" s="158"/>
      <c r="Z355" s="158"/>
    </row>
    <row r="356" spans="1:26" ht="12" customHeight="1">
      <c r="A356" s="147"/>
      <c r="B356" s="158"/>
      <c r="C356" s="158"/>
      <c r="D356" s="158"/>
      <c r="E356" s="158"/>
      <c r="F356" s="158"/>
      <c r="G356" s="158"/>
      <c r="H356" s="158"/>
      <c r="I356" s="158"/>
      <c r="J356" s="158"/>
      <c r="K356" s="158"/>
      <c r="L356" s="158"/>
      <c r="M356" s="158"/>
      <c r="N356" s="158"/>
      <c r="O356" s="158"/>
      <c r="P356" s="158"/>
      <c r="Q356" s="158"/>
      <c r="R356" s="158"/>
      <c r="S356" s="158"/>
      <c r="T356" s="158"/>
      <c r="U356" s="158"/>
      <c r="V356" s="158"/>
      <c r="W356" s="158"/>
      <c r="X356" s="158"/>
      <c r="Y356" s="158"/>
      <c r="Z356" s="158"/>
    </row>
    <row r="357" spans="1:26" ht="12" customHeight="1">
      <c r="A357" s="147"/>
      <c r="B357" s="158"/>
      <c r="C357" s="158"/>
      <c r="D357" s="158"/>
      <c r="E357" s="158"/>
      <c r="F357" s="158"/>
      <c r="G357" s="158"/>
      <c r="H357" s="158"/>
      <c r="I357" s="158"/>
      <c r="J357" s="158"/>
      <c r="K357" s="158"/>
      <c r="L357" s="158"/>
      <c r="M357" s="158"/>
      <c r="N357" s="158"/>
      <c r="O357" s="158"/>
      <c r="P357" s="158"/>
      <c r="Q357" s="158"/>
      <c r="R357" s="158"/>
      <c r="S357" s="158"/>
      <c r="T357" s="158"/>
      <c r="U357" s="158"/>
      <c r="V357" s="158"/>
      <c r="W357" s="158"/>
      <c r="X357" s="158"/>
      <c r="Y357" s="158"/>
      <c r="Z357" s="158"/>
    </row>
    <row r="358" spans="1:26" ht="12" customHeight="1">
      <c r="A358" s="147"/>
      <c r="B358" s="158"/>
      <c r="C358" s="158"/>
      <c r="D358" s="158"/>
      <c r="E358" s="158"/>
      <c r="F358" s="158"/>
      <c r="G358" s="158"/>
      <c r="H358" s="158"/>
      <c r="I358" s="158"/>
      <c r="J358" s="158"/>
      <c r="K358" s="158"/>
      <c r="L358" s="158"/>
      <c r="M358" s="158"/>
      <c r="N358" s="158"/>
      <c r="O358" s="158"/>
      <c r="P358" s="158"/>
      <c r="Q358" s="158"/>
      <c r="R358" s="158"/>
      <c r="S358" s="158"/>
      <c r="T358" s="158"/>
      <c r="U358" s="158"/>
      <c r="V358" s="158"/>
      <c r="W358" s="158"/>
      <c r="X358" s="158"/>
      <c r="Y358" s="158"/>
      <c r="Z358" s="158"/>
    </row>
    <row r="359" spans="1:26" ht="12" customHeight="1">
      <c r="A359" s="147"/>
      <c r="B359" s="158"/>
      <c r="C359" s="158"/>
      <c r="D359" s="158"/>
      <c r="E359" s="158"/>
      <c r="F359" s="158"/>
      <c r="G359" s="158"/>
      <c r="H359" s="158"/>
      <c r="I359" s="158"/>
      <c r="J359" s="158"/>
      <c r="K359" s="158"/>
      <c r="L359" s="158"/>
      <c r="M359" s="158"/>
      <c r="N359" s="158"/>
      <c r="O359" s="158"/>
      <c r="P359" s="158"/>
      <c r="Q359" s="158"/>
      <c r="R359" s="158"/>
      <c r="S359" s="158"/>
      <c r="T359" s="158"/>
      <c r="U359" s="158"/>
      <c r="V359" s="158"/>
      <c r="W359" s="158"/>
      <c r="X359" s="158"/>
      <c r="Y359" s="158"/>
      <c r="Z359" s="158"/>
    </row>
    <row r="360" spans="1:26" ht="12" customHeight="1">
      <c r="A360" s="147"/>
      <c r="B360" s="158"/>
      <c r="C360" s="158"/>
      <c r="D360" s="158"/>
      <c r="E360" s="158"/>
      <c r="F360" s="158"/>
      <c r="G360" s="158"/>
      <c r="H360" s="158"/>
      <c r="I360" s="158"/>
      <c r="J360" s="158"/>
      <c r="K360" s="158"/>
      <c r="L360" s="158"/>
      <c r="M360" s="158"/>
      <c r="N360" s="158"/>
      <c r="O360" s="158"/>
      <c r="P360" s="158"/>
      <c r="Q360" s="158"/>
      <c r="R360" s="158"/>
      <c r="S360" s="158"/>
      <c r="T360" s="158"/>
      <c r="U360" s="158"/>
      <c r="V360" s="158"/>
      <c r="W360" s="158"/>
      <c r="X360" s="158"/>
      <c r="Y360" s="158"/>
      <c r="Z360" s="158"/>
    </row>
    <row r="361" spans="1:26" ht="12" customHeight="1">
      <c r="A361" s="147"/>
      <c r="B361" s="158"/>
      <c r="C361" s="158"/>
      <c r="D361" s="158"/>
      <c r="E361" s="158"/>
      <c r="F361" s="158"/>
      <c r="G361" s="158"/>
      <c r="H361" s="158"/>
      <c r="I361" s="158"/>
      <c r="J361" s="158"/>
      <c r="K361" s="158"/>
      <c r="L361" s="158"/>
      <c r="M361" s="158"/>
      <c r="N361" s="158"/>
      <c r="O361" s="158"/>
      <c r="P361" s="158"/>
      <c r="Q361" s="158"/>
      <c r="R361" s="158"/>
      <c r="S361" s="158"/>
      <c r="T361" s="158"/>
      <c r="U361" s="158"/>
      <c r="V361" s="158"/>
      <c r="W361" s="158"/>
      <c r="X361" s="158"/>
      <c r="Y361" s="158"/>
      <c r="Z361" s="158"/>
    </row>
    <row r="362" spans="1:26" ht="12" customHeight="1">
      <c r="A362" s="147"/>
      <c r="B362" s="158"/>
      <c r="C362" s="158"/>
      <c r="D362" s="158"/>
      <c r="E362" s="158"/>
      <c r="F362" s="158"/>
      <c r="G362" s="158"/>
      <c r="H362" s="158"/>
      <c r="I362" s="158"/>
      <c r="J362" s="158"/>
      <c r="K362" s="158"/>
      <c r="L362" s="158"/>
      <c r="M362" s="158"/>
      <c r="N362" s="158"/>
      <c r="O362" s="158"/>
      <c r="P362" s="158"/>
      <c r="Q362" s="158"/>
      <c r="R362" s="158"/>
      <c r="S362" s="158"/>
      <c r="T362" s="158"/>
      <c r="U362" s="158"/>
      <c r="V362" s="158"/>
      <c r="W362" s="158"/>
      <c r="X362" s="158"/>
      <c r="Y362" s="158"/>
      <c r="Z362" s="158"/>
    </row>
    <row r="363" spans="1:26" ht="12" customHeight="1">
      <c r="A363" s="147"/>
      <c r="B363" s="158"/>
      <c r="C363" s="158"/>
      <c r="D363" s="158"/>
      <c r="E363" s="158"/>
      <c r="F363" s="158"/>
      <c r="G363" s="158"/>
      <c r="H363" s="158"/>
      <c r="I363" s="158"/>
      <c r="J363" s="158"/>
      <c r="K363" s="158"/>
      <c r="L363" s="158"/>
      <c r="M363" s="158"/>
      <c r="N363" s="158"/>
      <c r="O363" s="158"/>
      <c r="P363" s="158"/>
      <c r="Q363" s="158"/>
      <c r="R363" s="158"/>
      <c r="S363" s="158"/>
      <c r="T363" s="158"/>
      <c r="U363" s="158"/>
      <c r="V363" s="158"/>
      <c r="W363" s="158"/>
      <c r="X363" s="158"/>
      <c r="Y363" s="158"/>
      <c r="Z363" s="158"/>
    </row>
    <row r="364" spans="1:26" ht="12" customHeight="1">
      <c r="A364" s="147"/>
      <c r="B364" s="158"/>
      <c r="C364" s="158"/>
      <c r="D364" s="158"/>
      <c r="E364" s="158"/>
      <c r="F364" s="158"/>
      <c r="G364" s="158"/>
      <c r="H364" s="158"/>
      <c r="I364" s="158"/>
      <c r="J364" s="158"/>
      <c r="K364" s="158"/>
      <c r="L364" s="158"/>
      <c r="M364" s="158"/>
      <c r="N364" s="158"/>
      <c r="O364" s="158"/>
      <c r="P364" s="158"/>
      <c r="Q364" s="158"/>
      <c r="R364" s="158"/>
      <c r="S364" s="158"/>
      <c r="T364" s="158"/>
      <c r="U364" s="158"/>
      <c r="V364" s="158"/>
      <c r="W364" s="158"/>
      <c r="X364" s="158"/>
      <c r="Y364" s="158"/>
      <c r="Z364" s="158"/>
    </row>
    <row r="365" spans="1:26" ht="12" customHeight="1">
      <c r="A365" s="147"/>
      <c r="B365" s="158"/>
      <c r="C365" s="158"/>
      <c r="D365" s="158"/>
      <c r="E365" s="158"/>
      <c r="F365" s="158"/>
      <c r="G365" s="158"/>
      <c r="H365" s="158"/>
      <c r="I365" s="158"/>
      <c r="J365" s="158"/>
      <c r="K365" s="158"/>
      <c r="L365" s="158"/>
      <c r="M365" s="158"/>
      <c r="N365" s="158"/>
      <c r="O365" s="158"/>
      <c r="P365" s="158"/>
      <c r="Q365" s="158"/>
      <c r="R365" s="158"/>
      <c r="S365" s="158"/>
      <c r="T365" s="158"/>
      <c r="U365" s="158"/>
      <c r="V365" s="158"/>
      <c r="W365" s="158"/>
      <c r="X365" s="158"/>
      <c r="Y365" s="158"/>
      <c r="Z365" s="158"/>
    </row>
    <row r="366" spans="1:26" ht="12" customHeight="1">
      <c r="A366" s="147"/>
      <c r="B366" s="158"/>
      <c r="C366" s="158"/>
      <c r="D366" s="158"/>
      <c r="E366" s="158"/>
      <c r="F366" s="158"/>
      <c r="G366" s="158"/>
      <c r="H366" s="158"/>
      <c r="I366" s="158"/>
      <c r="J366" s="158"/>
      <c r="K366" s="158"/>
      <c r="L366" s="158"/>
      <c r="M366" s="158"/>
      <c r="N366" s="158"/>
      <c r="O366" s="158"/>
      <c r="P366" s="158"/>
      <c r="Q366" s="158"/>
      <c r="R366" s="158"/>
      <c r="S366" s="158"/>
      <c r="T366" s="158"/>
      <c r="U366" s="158"/>
      <c r="V366" s="158"/>
      <c r="W366" s="158"/>
      <c r="X366" s="158"/>
      <c r="Y366" s="158"/>
      <c r="Z366" s="158"/>
    </row>
    <row r="367" spans="1:26" ht="12" customHeight="1">
      <c r="A367" s="147"/>
      <c r="B367" s="158"/>
      <c r="C367" s="158"/>
      <c r="D367" s="158"/>
      <c r="E367" s="158"/>
      <c r="F367" s="158"/>
      <c r="G367" s="158"/>
      <c r="H367" s="158"/>
      <c r="I367" s="158"/>
      <c r="J367" s="158"/>
      <c r="K367" s="158"/>
      <c r="L367" s="158"/>
      <c r="M367" s="158"/>
      <c r="N367" s="158"/>
      <c r="O367" s="158"/>
      <c r="P367" s="158"/>
      <c r="Q367" s="158"/>
      <c r="R367" s="158"/>
      <c r="S367" s="158"/>
      <c r="T367" s="158"/>
      <c r="U367" s="158"/>
      <c r="V367" s="158"/>
      <c r="W367" s="158"/>
      <c r="X367" s="158"/>
      <c r="Y367" s="158"/>
      <c r="Z367" s="158"/>
    </row>
    <row r="368" spans="1:26" ht="12" customHeight="1">
      <c r="A368" s="147"/>
      <c r="B368" s="158"/>
      <c r="C368" s="158"/>
      <c r="D368" s="158"/>
      <c r="E368" s="158"/>
      <c r="F368" s="158"/>
      <c r="G368" s="158"/>
      <c r="H368" s="158"/>
      <c r="I368" s="158"/>
      <c r="J368" s="158"/>
      <c r="K368" s="158"/>
      <c r="L368" s="158"/>
      <c r="M368" s="158"/>
      <c r="N368" s="158"/>
      <c r="O368" s="158"/>
      <c r="P368" s="158"/>
      <c r="Q368" s="158"/>
      <c r="R368" s="158"/>
      <c r="S368" s="158"/>
      <c r="T368" s="158"/>
      <c r="U368" s="158"/>
      <c r="V368" s="158"/>
      <c r="W368" s="158"/>
      <c r="X368" s="158"/>
      <c r="Y368" s="158"/>
      <c r="Z368" s="158"/>
    </row>
    <row r="369" spans="1:26" ht="12" customHeight="1">
      <c r="A369" s="147"/>
      <c r="B369" s="158"/>
      <c r="C369" s="158"/>
      <c r="D369" s="158"/>
      <c r="E369" s="158"/>
      <c r="F369" s="158"/>
      <c r="G369" s="158"/>
      <c r="H369" s="158"/>
      <c r="I369" s="158"/>
      <c r="J369" s="158"/>
      <c r="K369" s="158"/>
      <c r="L369" s="158"/>
      <c r="M369" s="158"/>
      <c r="N369" s="158"/>
      <c r="O369" s="158"/>
      <c r="P369" s="158"/>
      <c r="Q369" s="158"/>
      <c r="R369" s="158"/>
      <c r="S369" s="158"/>
      <c r="T369" s="158"/>
      <c r="U369" s="158"/>
      <c r="V369" s="158"/>
      <c r="W369" s="158"/>
      <c r="X369" s="158"/>
      <c r="Y369" s="158"/>
      <c r="Z369" s="158"/>
    </row>
    <row r="370" spans="1:26" ht="12" customHeight="1">
      <c r="A370" s="147"/>
      <c r="B370" s="158"/>
      <c r="C370" s="158"/>
      <c r="D370" s="158"/>
      <c r="E370" s="158"/>
      <c r="F370" s="158"/>
      <c r="G370" s="158"/>
      <c r="H370" s="158"/>
      <c r="I370" s="158"/>
      <c r="J370" s="158"/>
      <c r="K370" s="158"/>
      <c r="L370" s="158"/>
      <c r="M370" s="158"/>
      <c r="N370" s="158"/>
      <c r="O370" s="158"/>
      <c r="P370" s="158"/>
      <c r="Q370" s="158"/>
      <c r="R370" s="158"/>
      <c r="S370" s="158"/>
      <c r="T370" s="158"/>
      <c r="U370" s="158"/>
      <c r="V370" s="158"/>
      <c r="W370" s="158"/>
      <c r="X370" s="158"/>
      <c r="Y370" s="158"/>
      <c r="Z370" s="158"/>
    </row>
    <row r="371" spans="1:26" ht="12" customHeight="1">
      <c r="A371" s="147"/>
      <c r="B371" s="158"/>
      <c r="C371" s="158"/>
      <c r="D371" s="158"/>
      <c r="E371" s="158"/>
      <c r="F371" s="158"/>
      <c r="G371" s="158"/>
      <c r="H371" s="158"/>
      <c r="I371" s="158"/>
      <c r="J371" s="158"/>
      <c r="K371" s="158"/>
      <c r="L371" s="158"/>
      <c r="M371" s="158"/>
      <c r="N371" s="158"/>
      <c r="O371" s="158"/>
      <c r="P371" s="158"/>
      <c r="Q371" s="158"/>
      <c r="R371" s="158"/>
      <c r="S371" s="158"/>
      <c r="T371" s="158"/>
      <c r="U371" s="158"/>
      <c r="V371" s="158"/>
      <c r="W371" s="158"/>
      <c r="X371" s="158"/>
      <c r="Y371" s="158"/>
      <c r="Z371" s="158"/>
    </row>
    <row r="372" spans="1:26" ht="12" customHeight="1">
      <c r="A372" s="147"/>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row>
    <row r="373" spans="1:26" ht="12" customHeight="1">
      <c r="A373" s="147"/>
      <c r="B373" s="158"/>
      <c r="C373" s="158"/>
      <c r="D373" s="158"/>
      <c r="E373" s="158"/>
      <c r="F373" s="158"/>
      <c r="G373" s="158"/>
      <c r="H373" s="158"/>
      <c r="I373" s="158"/>
      <c r="J373" s="158"/>
      <c r="K373" s="158"/>
      <c r="L373" s="158"/>
      <c r="M373" s="158"/>
      <c r="N373" s="158"/>
      <c r="O373" s="158"/>
      <c r="P373" s="158"/>
      <c r="Q373" s="158"/>
      <c r="R373" s="158"/>
      <c r="S373" s="158"/>
      <c r="T373" s="158"/>
      <c r="U373" s="158"/>
      <c r="V373" s="158"/>
      <c r="W373" s="158"/>
      <c r="X373" s="158"/>
      <c r="Y373" s="158"/>
      <c r="Z373" s="158"/>
    </row>
    <row r="374" spans="1:26" ht="12" customHeight="1">
      <c r="A374" s="147"/>
      <c r="B374" s="158"/>
      <c r="C374" s="158"/>
      <c r="D374" s="158"/>
      <c r="E374" s="158"/>
      <c r="F374" s="158"/>
      <c r="G374" s="158"/>
      <c r="H374" s="158"/>
      <c r="I374" s="158"/>
      <c r="J374" s="158"/>
      <c r="K374" s="158"/>
      <c r="L374" s="158"/>
      <c r="M374" s="158"/>
      <c r="N374" s="158"/>
      <c r="O374" s="158"/>
      <c r="P374" s="158"/>
      <c r="Q374" s="158"/>
      <c r="R374" s="158"/>
      <c r="S374" s="158"/>
      <c r="T374" s="158"/>
      <c r="U374" s="158"/>
      <c r="V374" s="158"/>
      <c r="W374" s="158"/>
      <c r="X374" s="158"/>
      <c r="Y374" s="158"/>
      <c r="Z374" s="158"/>
    </row>
    <row r="375" spans="1:26" ht="12" customHeight="1">
      <c r="A375" s="147"/>
      <c r="B375" s="158"/>
      <c r="C375" s="158"/>
      <c r="D375" s="158"/>
      <c r="E375" s="158"/>
      <c r="F375" s="158"/>
      <c r="G375" s="158"/>
      <c r="H375" s="158"/>
      <c r="I375" s="158"/>
      <c r="J375" s="158"/>
      <c r="K375" s="158"/>
      <c r="L375" s="158"/>
      <c r="M375" s="158"/>
      <c r="N375" s="158"/>
      <c r="O375" s="158"/>
      <c r="P375" s="158"/>
      <c r="Q375" s="158"/>
      <c r="R375" s="158"/>
      <c r="S375" s="158"/>
      <c r="T375" s="158"/>
      <c r="U375" s="158"/>
      <c r="V375" s="158"/>
      <c r="W375" s="158"/>
      <c r="X375" s="158"/>
      <c r="Y375" s="158"/>
      <c r="Z375" s="158"/>
    </row>
    <row r="376" spans="1:26" ht="12" customHeight="1">
      <c r="A376" s="147"/>
      <c r="B376" s="158"/>
      <c r="C376" s="158"/>
      <c r="D376" s="158"/>
      <c r="E376" s="158"/>
      <c r="F376" s="158"/>
      <c r="G376" s="158"/>
      <c r="H376" s="158"/>
      <c r="I376" s="158"/>
      <c r="J376" s="158"/>
      <c r="K376" s="158"/>
      <c r="L376" s="158"/>
      <c r="M376" s="158"/>
      <c r="N376" s="158"/>
      <c r="O376" s="158"/>
      <c r="P376" s="158"/>
      <c r="Q376" s="158"/>
      <c r="R376" s="158"/>
      <c r="S376" s="158"/>
      <c r="T376" s="158"/>
      <c r="U376" s="158"/>
      <c r="V376" s="158"/>
      <c r="W376" s="158"/>
      <c r="X376" s="158"/>
      <c r="Y376" s="158"/>
      <c r="Z376" s="158"/>
    </row>
    <row r="377" spans="1:26" ht="12" customHeight="1">
      <c r="A377" s="147"/>
      <c r="B377" s="158"/>
      <c r="C377" s="158"/>
      <c r="D377" s="158"/>
      <c r="E377" s="158"/>
      <c r="F377" s="158"/>
      <c r="G377" s="158"/>
      <c r="H377" s="158"/>
      <c r="I377" s="158"/>
      <c r="J377" s="158"/>
      <c r="K377" s="158"/>
      <c r="L377" s="158"/>
      <c r="M377" s="158"/>
      <c r="N377" s="158"/>
      <c r="O377" s="158"/>
      <c r="P377" s="158"/>
      <c r="Q377" s="158"/>
      <c r="R377" s="158"/>
      <c r="S377" s="158"/>
      <c r="T377" s="158"/>
      <c r="U377" s="158"/>
      <c r="V377" s="158"/>
      <c r="W377" s="158"/>
      <c r="X377" s="158"/>
      <c r="Y377" s="158"/>
      <c r="Z377" s="158"/>
    </row>
    <row r="378" spans="1:26" ht="12" customHeight="1">
      <c r="A378" s="147"/>
      <c r="B378" s="158"/>
      <c r="C378" s="158"/>
      <c r="D378" s="158"/>
      <c r="E378" s="158"/>
      <c r="F378" s="158"/>
      <c r="G378" s="158"/>
      <c r="H378" s="158"/>
      <c r="I378" s="158"/>
      <c r="J378" s="158"/>
      <c r="K378" s="158"/>
      <c r="L378" s="158"/>
      <c r="M378" s="158"/>
      <c r="N378" s="158"/>
      <c r="O378" s="158"/>
      <c r="P378" s="158"/>
      <c r="Q378" s="158"/>
      <c r="R378" s="158"/>
      <c r="S378" s="158"/>
      <c r="T378" s="158"/>
      <c r="U378" s="158"/>
      <c r="V378" s="158"/>
      <c r="W378" s="158"/>
      <c r="X378" s="158"/>
      <c r="Y378" s="158"/>
      <c r="Z378" s="158"/>
    </row>
    <row r="379" spans="1:26" ht="12" customHeight="1">
      <c r="A379" s="147"/>
      <c r="B379" s="158"/>
      <c r="C379" s="158"/>
      <c r="D379" s="158"/>
      <c r="E379" s="158"/>
      <c r="F379" s="158"/>
      <c r="G379" s="158"/>
      <c r="H379" s="158"/>
      <c r="I379" s="158"/>
      <c r="J379" s="158"/>
      <c r="K379" s="158"/>
      <c r="L379" s="158"/>
      <c r="M379" s="158"/>
      <c r="N379" s="158"/>
      <c r="O379" s="158"/>
      <c r="P379" s="158"/>
      <c r="Q379" s="158"/>
      <c r="R379" s="158"/>
      <c r="S379" s="158"/>
      <c r="T379" s="158"/>
      <c r="U379" s="158"/>
      <c r="V379" s="158"/>
      <c r="W379" s="158"/>
      <c r="X379" s="158"/>
      <c r="Y379" s="158"/>
      <c r="Z379" s="158"/>
    </row>
    <row r="380" spans="1:26" ht="12" customHeight="1">
      <c r="A380" s="147"/>
      <c r="B380" s="158"/>
      <c r="C380" s="158"/>
      <c r="D380" s="158"/>
      <c r="E380" s="158"/>
      <c r="F380" s="158"/>
      <c r="G380" s="158"/>
      <c r="H380" s="158"/>
      <c r="I380" s="158"/>
      <c r="J380" s="158"/>
      <c r="K380" s="158"/>
      <c r="L380" s="158"/>
      <c r="M380" s="158"/>
      <c r="N380" s="158"/>
      <c r="O380" s="158"/>
      <c r="P380" s="158"/>
      <c r="Q380" s="158"/>
      <c r="R380" s="158"/>
      <c r="S380" s="158"/>
      <c r="T380" s="158"/>
      <c r="U380" s="158"/>
      <c r="V380" s="158"/>
      <c r="W380" s="158"/>
      <c r="X380" s="158"/>
      <c r="Y380" s="158"/>
      <c r="Z380" s="158"/>
    </row>
    <row r="381" spans="1:26" ht="12" customHeight="1">
      <c r="A381" s="147"/>
      <c r="B381" s="158"/>
      <c r="C381" s="158"/>
      <c r="D381" s="158"/>
      <c r="E381" s="158"/>
      <c r="F381" s="158"/>
      <c r="G381" s="158"/>
      <c r="H381" s="158"/>
      <c r="I381" s="158"/>
      <c r="J381" s="158"/>
      <c r="K381" s="158"/>
      <c r="L381" s="158"/>
      <c r="M381" s="158"/>
      <c r="N381" s="158"/>
      <c r="O381" s="158"/>
      <c r="P381" s="158"/>
      <c r="Q381" s="158"/>
      <c r="R381" s="158"/>
      <c r="S381" s="158"/>
      <c r="T381" s="158"/>
      <c r="U381" s="158"/>
      <c r="V381" s="158"/>
      <c r="W381" s="158"/>
      <c r="X381" s="158"/>
      <c r="Y381" s="158"/>
      <c r="Z381" s="158"/>
    </row>
    <row r="382" spans="1:26" ht="12" customHeight="1">
      <c r="A382" s="147"/>
      <c r="B382" s="158"/>
      <c r="C382" s="158"/>
      <c r="D382" s="158"/>
      <c r="E382" s="158"/>
      <c r="F382" s="158"/>
      <c r="G382" s="158"/>
      <c r="H382" s="158"/>
      <c r="I382" s="158"/>
      <c r="J382" s="158"/>
      <c r="K382" s="158"/>
      <c r="L382" s="158"/>
      <c r="M382" s="158"/>
      <c r="N382" s="158"/>
      <c r="O382" s="158"/>
      <c r="P382" s="158"/>
      <c r="Q382" s="158"/>
      <c r="R382" s="158"/>
      <c r="S382" s="158"/>
      <c r="T382" s="158"/>
      <c r="U382" s="158"/>
      <c r="V382" s="158"/>
      <c r="W382" s="158"/>
      <c r="X382" s="158"/>
      <c r="Y382" s="158"/>
      <c r="Z382" s="158"/>
    </row>
    <row r="383" spans="1:26" ht="12" customHeight="1">
      <c r="A383" s="147"/>
      <c r="B383" s="158"/>
      <c r="C383" s="158"/>
      <c r="D383" s="158"/>
      <c r="E383" s="158"/>
      <c r="F383" s="158"/>
      <c r="G383" s="158"/>
      <c r="H383" s="158"/>
      <c r="I383" s="158"/>
      <c r="J383" s="158"/>
      <c r="K383" s="158"/>
      <c r="L383" s="158"/>
      <c r="M383" s="158"/>
      <c r="N383" s="158"/>
      <c r="O383" s="158"/>
      <c r="P383" s="158"/>
      <c r="Q383" s="158"/>
      <c r="R383" s="158"/>
      <c r="S383" s="158"/>
      <c r="T383" s="158"/>
      <c r="U383" s="158"/>
      <c r="V383" s="158"/>
      <c r="W383" s="158"/>
      <c r="X383" s="158"/>
      <c r="Y383" s="158"/>
      <c r="Z383" s="158"/>
    </row>
    <row r="384" spans="1:26" ht="12" customHeight="1">
      <c r="A384" s="147"/>
      <c r="B384" s="158"/>
      <c r="C384" s="158"/>
      <c r="D384" s="158"/>
      <c r="E384" s="158"/>
      <c r="F384" s="158"/>
      <c r="G384" s="158"/>
      <c r="H384" s="158"/>
      <c r="I384" s="158"/>
      <c r="J384" s="158"/>
      <c r="K384" s="158"/>
      <c r="L384" s="158"/>
      <c r="M384" s="158"/>
      <c r="N384" s="158"/>
      <c r="O384" s="158"/>
      <c r="P384" s="158"/>
      <c r="Q384" s="158"/>
      <c r="R384" s="158"/>
      <c r="S384" s="158"/>
      <c r="T384" s="158"/>
      <c r="U384" s="158"/>
      <c r="V384" s="158"/>
      <c r="W384" s="158"/>
      <c r="X384" s="158"/>
      <c r="Y384" s="158"/>
      <c r="Z384" s="158"/>
    </row>
    <row r="385" spans="1:26" ht="12" customHeight="1">
      <c r="A385" s="147"/>
      <c r="B385" s="158"/>
      <c r="C385" s="158"/>
      <c r="D385" s="158"/>
      <c r="E385" s="158"/>
      <c r="F385" s="158"/>
      <c r="G385" s="158"/>
      <c r="H385" s="158"/>
      <c r="I385" s="158"/>
      <c r="J385" s="158"/>
      <c r="K385" s="158"/>
      <c r="L385" s="158"/>
      <c r="M385" s="158"/>
      <c r="N385" s="158"/>
      <c r="O385" s="158"/>
      <c r="P385" s="158"/>
      <c r="Q385" s="158"/>
      <c r="R385" s="158"/>
      <c r="S385" s="158"/>
      <c r="T385" s="158"/>
      <c r="U385" s="158"/>
      <c r="V385" s="158"/>
      <c r="W385" s="158"/>
      <c r="X385" s="158"/>
      <c r="Y385" s="158"/>
      <c r="Z385" s="158"/>
    </row>
    <row r="386" spans="1:26" ht="12" customHeight="1">
      <c r="A386" s="147"/>
      <c r="B386" s="158"/>
      <c r="C386" s="158"/>
      <c r="D386" s="158"/>
      <c r="E386" s="158"/>
      <c r="F386" s="158"/>
      <c r="G386" s="158"/>
      <c r="H386" s="158"/>
      <c r="I386" s="158"/>
      <c r="J386" s="158"/>
      <c r="K386" s="158"/>
      <c r="L386" s="158"/>
      <c r="M386" s="158"/>
      <c r="N386" s="158"/>
      <c r="O386" s="158"/>
      <c r="P386" s="158"/>
      <c r="Q386" s="158"/>
      <c r="R386" s="158"/>
      <c r="S386" s="158"/>
      <c r="T386" s="158"/>
      <c r="U386" s="158"/>
      <c r="V386" s="158"/>
      <c r="W386" s="158"/>
      <c r="X386" s="158"/>
      <c r="Y386" s="158"/>
      <c r="Z386" s="158"/>
    </row>
    <row r="387" spans="1:26" ht="12" customHeight="1">
      <c r="A387" s="147"/>
      <c r="B387" s="158"/>
      <c r="C387" s="158"/>
      <c r="D387" s="158"/>
      <c r="E387" s="158"/>
      <c r="F387" s="158"/>
      <c r="G387" s="158"/>
      <c r="H387" s="158"/>
      <c r="I387" s="158"/>
      <c r="J387" s="158"/>
      <c r="K387" s="158"/>
      <c r="L387" s="158"/>
      <c r="M387" s="158"/>
      <c r="N387" s="158"/>
      <c r="O387" s="158"/>
      <c r="P387" s="158"/>
      <c r="Q387" s="158"/>
      <c r="R387" s="158"/>
      <c r="S387" s="158"/>
      <c r="T387" s="158"/>
      <c r="U387" s="158"/>
      <c r="V387" s="158"/>
      <c r="W387" s="158"/>
      <c r="X387" s="158"/>
      <c r="Y387" s="158"/>
      <c r="Z387" s="158"/>
    </row>
    <row r="388" spans="1:26" ht="12" customHeight="1">
      <c r="A388" s="147"/>
      <c r="B388" s="158"/>
      <c r="C388" s="158"/>
      <c r="D388" s="158"/>
      <c r="E388" s="158"/>
      <c r="F388" s="158"/>
      <c r="G388" s="158"/>
      <c r="H388" s="158"/>
      <c r="I388" s="158"/>
      <c r="J388" s="158"/>
      <c r="K388" s="158"/>
      <c r="L388" s="158"/>
      <c r="M388" s="158"/>
      <c r="N388" s="158"/>
      <c r="O388" s="158"/>
      <c r="P388" s="158"/>
      <c r="Q388" s="158"/>
      <c r="R388" s="158"/>
      <c r="S388" s="158"/>
      <c r="T388" s="158"/>
      <c r="U388" s="158"/>
      <c r="V388" s="158"/>
      <c r="W388" s="158"/>
      <c r="X388" s="158"/>
      <c r="Y388" s="158"/>
      <c r="Z388" s="158"/>
    </row>
    <row r="389" spans="1:26" ht="12" customHeight="1">
      <c r="A389" s="147"/>
      <c r="B389" s="158"/>
      <c r="C389" s="158"/>
      <c r="D389" s="158"/>
      <c r="E389" s="158"/>
      <c r="F389" s="158"/>
      <c r="G389" s="158"/>
      <c r="H389" s="158"/>
      <c r="I389" s="158"/>
      <c r="J389" s="158"/>
      <c r="K389" s="158"/>
      <c r="L389" s="158"/>
      <c r="M389" s="158"/>
      <c r="N389" s="158"/>
      <c r="O389" s="158"/>
      <c r="P389" s="158"/>
      <c r="Q389" s="158"/>
      <c r="R389" s="158"/>
      <c r="S389" s="158"/>
      <c r="T389" s="158"/>
      <c r="U389" s="158"/>
      <c r="V389" s="158"/>
      <c r="W389" s="158"/>
      <c r="X389" s="158"/>
      <c r="Y389" s="158"/>
      <c r="Z389" s="158"/>
    </row>
    <row r="390" spans="1:26" ht="12" customHeight="1">
      <c r="A390" s="147"/>
      <c r="B390" s="158"/>
      <c r="C390" s="158"/>
      <c r="D390" s="158"/>
      <c r="E390" s="158"/>
      <c r="F390" s="158"/>
      <c r="G390" s="158"/>
      <c r="H390" s="158"/>
      <c r="I390" s="158"/>
      <c r="J390" s="158"/>
      <c r="K390" s="158"/>
      <c r="L390" s="158"/>
      <c r="M390" s="158"/>
      <c r="N390" s="158"/>
      <c r="O390" s="158"/>
      <c r="P390" s="158"/>
      <c r="Q390" s="158"/>
      <c r="R390" s="158"/>
      <c r="S390" s="158"/>
      <c r="T390" s="158"/>
      <c r="U390" s="158"/>
      <c r="V390" s="158"/>
      <c r="W390" s="158"/>
      <c r="X390" s="158"/>
      <c r="Y390" s="158"/>
      <c r="Z390" s="158"/>
    </row>
    <row r="391" spans="1:26" ht="12" customHeight="1">
      <c r="A391" s="147"/>
      <c r="B391" s="158"/>
      <c r="C391" s="158"/>
      <c r="D391" s="158"/>
      <c r="E391" s="158"/>
      <c r="F391" s="158"/>
      <c r="G391" s="158"/>
      <c r="H391" s="158"/>
      <c r="I391" s="158"/>
      <c r="J391" s="158"/>
      <c r="K391" s="158"/>
      <c r="L391" s="158"/>
      <c r="M391" s="158"/>
      <c r="N391" s="158"/>
      <c r="O391" s="158"/>
      <c r="P391" s="158"/>
      <c r="Q391" s="158"/>
      <c r="R391" s="158"/>
      <c r="S391" s="158"/>
      <c r="T391" s="158"/>
      <c r="U391" s="158"/>
      <c r="V391" s="158"/>
      <c r="W391" s="158"/>
      <c r="X391" s="158"/>
      <c r="Y391" s="158"/>
      <c r="Z391" s="158"/>
    </row>
    <row r="392" spans="1:26" ht="12" customHeight="1">
      <c r="A392" s="147"/>
      <c r="B392" s="158"/>
      <c r="C392" s="158"/>
      <c r="D392" s="158"/>
      <c r="E392" s="158"/>
      <c r="F392" s="158"/>
      <c r="G392" s="158"/>
      <c r="H392" s="158"/>
      <c r="I392" s="158"/>
      <c r="J392" s="158"/>
      <c r="K392" s="158"/>
      <c r="L392" s="158"/>
      <c r="M392" s="158"/>
      <c r="N392" s="158"/>
      <c r="O392" s="158"/>
      <c r="P392" s="158"/>
      <c r="Q392" s="158"/>
      <c r="R392" s="158"/>
      <c r="S392" s="158"/>
      <c r="T392" s="158"/>
      <c r="U392" s="158"/>
      <c r="V392" s="158"/>
      <c r="W392" s="158"/>
      <c r="X392" s="158"/>
      <c r="Y392" s="158"/>
      <c r="Z392" s="158"/>
    </row>
    <row r="393" spans="1:26" ht="12" customHeight="1">
      <c r="A393" s="147"/>
      <c r="B393" s="158"/>
      <c r="C393" s="158"/>
      <c r="D393" s="158"/>
      <c r="E393" s="158"/>
      <c r="F393" s="158"/>
      <c r="G393" s="158"/>
      <c r="H393" s="158"/>
      <c r="I393" s="158"/>
      <c r="J393" s="158"/>
      <c r="K393" s="158"/>
      <c r="L393" s="158"/>
      <c r="M393" s="158"/>
      <c r="N393" s="158"/>
      <c r="O393" s="158"/>
      <c r="P393" s="158"/>
      <c r="Q393" s="158"/>
      <c r="R393" s="158"/>
      <c r="S393" s="158"/>
      <c r="T393" s="158"/>
      <c r="U393" s="158"/>
      <c r="V393" s="158"/>
      <c r="W393" s="158"/>
      <c r="X393" s="158"/>
      <c r="Y393" s="158"/>
      <c r="Z393" s="158"/>
    </row>
    <row r="394" spans="1:26" ht="12" customHeight="1">
      <c r="A394" s="147"/>
      <c r="B394" s="158"/>
      <c r="C394" s="158"/>
      <c r="D394" s="158"/>
      <c r="E394" s="158"/>
      <c r="F394" s="158"/>
      <c r="G394" s="158"/>
      <c r="H394" s="158"/>
      <c r="I394" s="158"/>
      <c r="J394" s="158"/>
      <c r="K394" s="158"/>
      <c r="L394" s="158"/>
      <c r="M394" s="158"/>
      <c r="N394" s="158"/>
      <c r="O394" s="158"/>
      <c r="P394" s="158"/>
      <c r="Q394" s="158"/>
      <c r="R394" s="158"/>
      <c r="S394" s="158"/>
      <c r="T394" s="158"/>
      <c r="U394" s="158"/>
      <c r="V394" s="158"/>
      <c r="W394" s="158"/>
      <c r="X394" s="158"/>
      <c r="Y394" s="158"/>
      <c r="Z394" s="158"/>
    </row>
    <row r="395" spans="1:26" ht="12" customHeight="1">
      <c r="A395" s="147"/>
      <c r="B395" s="158"/>
      <c r="C395" s="158"/>
      <c r="D395" s="158"/>
      <c r="E395" s="158"/>
      <c r="F395" s="158"/>
      <c r="G395" s="158"/>
      <c r="H395" s="158"/>
      <c r="I395" s="158"/>
      <c r="J395" s="158"/>
      <c r="K395" s="158"/>
      <c r="L395" s="158"/>
      <c r="M395" s="158"/>
      <c r="N395" s="158"/>
      <c r="O395" s="158"/>
      <c r="P395" s="158"/>
      <c r="Q395" s="158"/>
      <c r="R395" s="158"/>
      <c r="S395" s="158"/>
      <c r="T395" s="158"/>
      <c r="U395" s="158"/>
      <c r="V395" s="158"/>
      <c r="W395" s="158"/>
      <c r="X395" s="158"/>
      <c r="Y395" s="158"/>
      <c r="Z395" s="158"/>
    </row>
    <row r="396" spans="1:26" ht="12" customHeight="1">
      <c r="A396" s="147"/>
      <c r="B396" s="158"/>
      <c r="C396" s="158"/>
      <c r="D396" s="158"/>
      <c r="E396" s="158"/>
      <c r="F396" s="158"/>
      <c r="G396" s="158"/>
      <c r="H396" s="158"/>
      <c r="I396" s="158"/>
      <c r="J396" s="158"/>
      <c r="K396" s="158"/>
      <c r="L396" s="158"/>
      <c r="M396" s="158"/>
      <c r="N396" s="158"/>
      <c r="O396" s="158"/>
      <c r="P396" s="158"/>
      <c r="Q396" s="158"/>
      <c r="R396" s="158"/>
      <c r="S396" s="158"/>
      <c r="T396" s="158"/>
      <c r="U396" s="158"/>
      <c r="V396" s="158"/>
      <c r="W396" s="158"/>
      <c r="X396" s="158"/>
      <c r="Y396" s="158"/>
      <c r="Z396" s="158"/>
    </row>
    <row r="397" spans="1:26" ht="12" customHeight="1">
      <c r="A397" s="147"/>
      <c r="B397" s="158"/>
      <c r="C397" s="158"/>
      <c r="D397" s="158"/>
      <c r="E397" s="158"/>
      <c r="F397" s="158"/>
      <c r="G397" s="158"/>
      <c r="H397" s="158"/>
      <c r="I397" s="158"/>
      <c r="J397" s="158"/>
      <c r="K397" s="158"/>
      <c r="L397" s="158"/>
      <c r="M397" s="158"/>
      <c r="N397" s="158"/>
      <c r="O397" s="158"/>
      <c r="P397" s="158"/>
      <c r="Q397" s="158"/>
      <c r="R397" s="158"/>
      <c r="S397" s="158"/>
      <c r="T397" s="158"/>
      <c r="U397" s="158"/>
      <c r="V397" s="158"/>
      <c r="W397" s="158"/>
      <c r="X397" s="158"/>
      <c r="Y397" s="158"/>
      <c r="Z397" s="158"/>
    </row>
    <row r="398" spans="1:26" ht="12" customHeight="1">
      <c r="A398" s="147"/>
      <c r="B398" s="158"/>
      <c r="C398" s="158"/>
      <c r="D398" s="158"/>
      <c r="E398" s="158"/>
      <c r="F398" s="158"/>
      <c r="G398" s="158"/>
      <c r="H398" s="158"/>
      <c r="I398" s="158"/>
      <c r="J398" s="158"/>
      <c r="K398" s="158"/>
      <c r="L398" s="158"/>
      <c r="M398" s="158"/>
      <c r="N398" s="158"/>
      <c r="O398" s="158"/>
      <c r="P398" s="158"/>
      <c r="Q398" s="158"/>
      <c r="R398" s="158"/>
      <c r="S398" s="158"/>
      <c r="T398" s="158"/>
      <c r="U398" s="158"/>
      <c r="V398" s="158"/>
      <c r="W398" s="158"/>
      <c r="X398" s="158"/>
      <c r="Y398" s="158"/>
      <c r="Z398" s="158"/>
    </row>
    <row r="399" spans="1:26" ht="12" customHeight="1">
      <c r="A399" s="147"/>
      <c r="B399" s="158"/>
      <c r="C399" s="158"/>
      <c r="D399" s="158"/>
      <c r="E399" s="158"/>
      <c r="F399" s="158"/>
      <c r="G399" s="158"/>
      <c r="H399" s="158"/>
      <c r="I399" s="158"/>
      <c r="J399" s="158"/>
      <c r="K399" s="158"/>
      <c r="L399" s="158"/>
      <c r="M399" s="158"/>
      <c r="N399" s="158"/>
      <c r="O399" s="158"/>
      <c r="P399" s="158"/>
      <c r="Q399" s="158"/>
      <c r="R399" s="158"/>
      <c r="S399" s="158"/>
      <c r="T399" s="158"/>
      <c r="U399" s="158"/>
      <c r="V399" s="158"/>
      <c r="W399" s="158"/>
      <c r="X399" s="158"/>
      <c r="Y399" s="158"/>
      <c r="Z399" s="158"/>
    </row>
    <row r="400" spans="1:26" ht="12" customHeight="1">
      <c r="A400" s="147"/>
      <c r="B400" s="158"/>
      <c r="C400" s="158"/>
      <c r="D400" s="158"/>
      <c r="E400" s="158"/>
      <c r="F400" s="158"/>
      <c r="G400" s="158"/>
      <c r="H400" s="158"/>
      <c r="I400" s="158"/>
      <c r="J400" s="158"/>
      <c r="K400" s="158"/>
      <c r="L400" s="158"/>
      <c r="M400" s="158"/>
      <c r="N400" s="158"/>
      <c r="O400" s="158"/>
      <c r="P400" s="158"/>
      <c r="Q400" s="158"/>
      <c r="R400" s="158"/>
      <c r="S400" s="158"/>
      <c r="T400" s="158"/>
      <c r="U400" s="158"/>
      <c r="V400" s="158"/>
      <c r="W400" s="158"/>
      <c r="X400" s="158"/>
      <c r="Y400" s="158"/>
      <c r="Z400" s="158"/>
    </row>
    <row r="401" spans="1:26" ht="12" customHeight="1">
      <c r="A401" s="147"/>
      <c r="B401" s="158"/>
      <c r="C401" s="158"/>
      <c r="D401" s="158"/>
      <c r="E401" s="158"/>
      <c r="F401" s="158"/>
      <c r="G401" s="158"/>
      <c r="H401" s="158"/>
      <c r="I401" s="158"/>
      <c r="J401" s="158"/>
      <c r="K401" s="158"/>
      <c r="L401" s="158"/>
      <c r="M401" s="158"/>
      <c r="N401" s="158"/>
      <c r="O401" s="158"/>
      <c r="P401" s="158"/>
      <c r="Q401" s="158"/>
      <c r="R401" s="158"/>
      <c r="S401" s="158"/>
      <c r="T401" s="158"/>
      <c r="U401" s="158"/>
      <c r="V401" s="158"/>
      <c r="W401" s="158"/>
      <c r="X401" s="158"/>
      <c r="Y401" s="158"/>
      <c r="Z401" s="158"/>
    </row>
    <row r="402" spans="1:26" ht="12" customHeight="1">
      <c r="A402" s="147"/>
      <c r="B402" s="158"/>
      <c r="C402" s="158"/>
      <c r="D402" s="158"/>
      <c r="E402" s="158"/>
      <c r="F402" s="158"/>
      <c r="G402" s="158"/>
      <c r="H402" s="158"/>
      <c r="I402" s="158"/>
      <c r="J402" s="158"/>
      <c r="K402" s="158"/>
      <c r="L402" s="158"/>
      <c r="M402" s="158"/>
      <c r="N402" s="158"/>
      <c r="O402" s="158"/>
      <c r="P402" s="158"/>
      <c r="Q402" s="158"/>
      <c r="R402" s="158"/>
      <c r="S402" s="158"/>
      <c r="T402" s="158"/>
      <c r="U402" s="158"/>
      <c r="V402" s="158"/>
      <c r="W402" s="158"/>
      <c r="X402" s="158"/>
      <c r="Y402" s="158"/>
      <c r="Z402" s="158"/>
    </row>
    <row r="403" spans="1:26" ht="12" customHeight="1">
      <c r="A403" s="147"/>
      <c r="B403" s="158"/>
      <c r="C403" s="158"/>
      <c r="D403" s="158"/>
      <c r="E403" s="158"/>
      <c r="F403" s="158"/>
      <c r="G403" s="158"/>
      <c r="H403" s="158"/>
      <c r="I403" s="158"/>
      <c r="J403" s="158"/>
      <c r="K403" s="158"/>
      <c r="L403" s="158"/>
      <c r="M403" s="158"/>
      <c r="N403" s="158"/>
      <c r="O403" s="158"/>
      <c r="P403" s="158"/>
      <c r="Q403" s="158"/>
      <c r="R403" s="158"/>
      <c r="S403" s="158"/>
      <c r="T403" s="158"/>
      <c r="U403" s="158"/>
      <c r="V403" s="158"/>
      <c r="W403" s="158"/>
      <c r="X403" s="158"/>
      <c r="Y403" s="158"/>
      <c r="Z403" s="158"/>
    </row>
    <row r="404" spans="1:26" ht="12" customHeight="1">
      <c r="A404" s="147"/>
      <c r="B404" s="158"/>
      <c r="C404" s="158"/>
      <c r="D404" s="158"/>
      <c r="E404" s="158"/>
      <c r="F404" s="158"/>
      <c r="G404" s="158"/>
      <c r="H404" s="158"/>
      <c r="I404" s="158"/>
      <c r="J404" s="158"/>
      <c r="K404" s="158"/>
      <c r="L404" s="158"/>
      <c r="M404" s="158"/>
      <c r="N404" s="158"/>
      <c r="O404" s="158"/>
      <c r="P404" s="158"/>
      <c r="Q404" s="158"/>
      <c r="R404" s="158"/>
      <c r="S404" s="158"/>
      <c r="T404" s="158"/>
      <c r="U404" s="158"/>
      <c r="V404" s="158"/>
      <c r="W404" s="158"/>
      <c r="X404" s="158"/>
      <c r="Y404" s="158"/>
      <c r="Z404" s="158"/>
    </row>
    <row r="405" spans="1:26" ht="12" customHeight="1">
      <c r="A405" s="147"/>
      <c r="B405" s="158"/>
      <c r="C405" s="158"/>
      <c r="D405" s="158"/>
      <c r="E405" s="158"/>
      <c r="F405" s="158"/>
      <c r="G405" s="158"/>
      <c r="H405" s="158"/>
      <c r="I405" s="158"/>
      <c r="J405" s="158"/>
      <c r="K405" s="158"/>
      <c r="L405" s="158"/>
      <c r="M405" s="158"/>
      <c r="N405" s="158"/>
      <c r="O405" s="158"/>
      <c r="P405" s="158"/>
      <c r="Q405" s="158"/>
      <c r="R405" s="158"/>
      <c r="S405" s="158"/>
      <c r="T405" s="158"/>
      <c r="U405" s="158"/>
      <c r="V405" s="158"/>
      <c r="W405" s="158"/>
      <c r="X405" s="158"/>
      <c r="Y405" s="158"/>
      <c r="Z405" s="158"/>
    </row>
    <row r="406" spans="1:26" ht="12" customHeight="1">
      <c r="A406" s="147"/>
      <c r="B406" s="158"/>
      <c r="C406" s="158"/>
      <c r="D406" s="158"/>
      <c r="E406" s="158"/>
      <c r="F406" s="158"/>
      <c r="G406" s="158"/>
      <c r="H406" s="158"/>
      <c r="I406" s="158"/>
      <c r="J406" s="158"/>
      <c r="K406" s="158"/>
      <c r="L406" s="158"/>
      <c r="M406" s="158"/>
      <c r="N406" s="158"/>
      <c r="O406" s="158"/>
      <c r="P406" s="158"/>
      <c r="Q406" s="158"/>
      <c r="R406" s="158"/>
      <c r="S406" s="158"/>
      <c r="T406" s="158"/>
      <c r="U406" s="158"/>
      <c r="V406" s="158"/>
      <c r="W406" s="158"/>
      <c r="X406" s="158"/>
      <c r="Y406" s="158"/>
      <c r="Z406" s="158"/>
    </row>
    <row r="407" spans="1:26" ht="12" customHeight="1">
      <c r="A407" s="147"/>
      <c r="B407" s="158"/>
      <c r="C407" s="158"/>
      <c r="D407" s="158"/>
      <c r="E407" s="158"/>
      <c r="F407" s="158"/>
      <c r="G407" s="158"/>
      <c r="H407" s="158"/>
      <c r="I407" s="158"/>
      <c r="J407" s="158"/>
      <c r="K407" s="158"/>
      <c r="L407" s="158"/>
      <c r="M407" s="158"/>
      <c r="N407" s="158"/>
      <c r="O407" s="158"/>
      <c r="P407" s="158"/>
      <c r="Q407" s="158"/>
      <c r="R407" s="158"/>
      <c r="S407" s="158"/>
      <c r="T407" s="158"/>
      <c r="U407" s="158"/>
      <c r="V407" s="158"/>
      <c r="W407" s="158"/>
      <c r="X407" s="158"/>
      <c r="Y407" s="158"/>
      <c r="Z407" s="158"/>
    </row>
    <row r="408" spans="1:26" ht="12" customHeight="1">
      <c r="A408" s="147"/>
      <c r="B408" s="158"/>
      <c r="C408" s="158"/>
      <c r="D408" s="158"/>
      <c r="E408" s="158"/>
      <c r="F408" s="158"/>
      <c r="G408" s="158"/>
      <c r="H408" s="158"/>
      <c r="I408" s="158"/>
      <c r="J408" s="158"/>
      <c r="K408" s="158"/>
      <c r="L408" s="158"/>
      <c r="M408" s="158"/>
      <c r="N408" s="158"/>
      <c r="O408" s="158"/>
      <c r="P408" s="158"/>
      <c r="Q408" s="158"/>
      <c r="R408" s="158"/>
      <c r="S408" s="158"/>
      <c r="T408" s="158"/>
      <c r="U408" s="158"/>
      <c r="V408" s="158"/>
      <c r="W408" s="158"/>
      <c r="X408" s="158"/>
      <c r="Y408" s="158"/>
      <c r="Z408" s="158"/>
    </row>
    <row r="409" spans="1:26" ht="12" customHeight="1">
      <c r="A409" s="147"/>
      <c r="B409" s="158"/>
      <c r="C409" s="158"/>
      <c r="D409" s="158"/>
      <c r="E409" s="158"/>
      <c r="F409" s="158"/>
      <c r="G409" s="158"/>
      <c r="H409" s="158"/>
      <c r="I409" s="158"/>
      <c r="J409" s="158"/>
      <c r="K409" s="158"/>
      <c r="L409" s="158"/>
      <c r="M409" s="158"/>
      <c r="N409" s="158"/>
      <c r="O409" s="158"/>
      <c r="P409" s="158"/>
      <c r="Q409" s="158"/>
      <c r="R409" s="158"/>
      <c r="S409" s="158"/>
      <c r="T409" s="158"/>
      <c r="U409" s="158"/>
      <c r="V409" s="158"/>
      <c r="W409" s="158"/>
      <c r="X409" s="158"/>
      <c r="Y409" s="158"/>
      <c r="Z409" s="158"/>
    </row>
    <row r="410" spans="1:26" ht="12" customHeight="1">
      <c r="A410" s="147"/>
      <c r="B410" s="158"/>
      <c r="C410" s="158"/>
      <c r="D410" s="158"/>
      <c r="E410" s="158"/>
      <c r="F410" s="158"/>
      <c r="G410" s="158"/>
      <c r="H410" s="158"/>
      <c r="I410" s="158"/>
      <c r="J410" s="158"/>
      <c r="K410" s="158"/>
      <c r="L410" s="158"/>
      <c r="M410" s="158"/>
      <c r="N410" s="158"/>
      <c r="O410" s="158"/>
      <c r="P410" s="158"/>
      <c r="Q410" s="158"/>
      <c r="R410" s="158"/>
      <c r="S410" s="158"/>
      <c r="T410" s="158"/>
      <c r="U410" s="158"/>
      <c r="V410" s="158"/>
      <c r="W410" s="158"/>
      <c r="X410" s="158"/>
      <c r="Y410" s="158"/>
      <c r="Z410" s="158"/>
    </row>
    <row r="411" spans="1:26" ht="12" customHeight="1">
      <c r="A411" s="147"/>
      <c r="B411" s="158"/>
      <c r="C411" s="158"/>
      <c r="D411" s="158"/>
      <c r="E411" s="158"/>
      <c r="F411" s="158"/>
      <c r="G411" s="158"/>
      <c r="H411" s="158"/>
      <c r="I411" s="158"/>
      <c r="J411" s="158"/>
      <c r="K411" s="158"/>
      <c r="L411" s="158"/>
      <c r="M411" s="158"/>
      <c r="N411" s="158"/>
      <c r="O411" s="158"/>
      <c r="P411" s="158"/>
      <c r="Q411" s="158"/>
      <c r="R411" s="158"/>
      <c r="S411" s="158"/>
      <c r="T411" s="158"/>
      <c r="U411" s="158"/>
      <c r="V411" s="158"/>
      <c r="W411" s="158"/>
      <c r="X411" s="158"/>
      <c r="Y411" s="158"/>
      <c r="Z411" s="158"/>
    </row>
    <row r="412" spans="1:26" ht="12" customHeight="1">
      <c r="A412" s="147"/>
      <c r="B412" s="158"/>
      <c r="C412" s="158"/>
      <c r="D412" s="158"/>
      <c r="E412" s="158"/>
      <c r="F412" s="158"/>
      <c r="G412" s="158"/>
      <c r="H412" s="158"/>
      <c r="I412" s="158"/>
      <c r="J412" s="158"/>
      <c r="K412" s="158"/>
      <c r="L412" s="158"/>
      <c r="M412" s="158"/>
      <c r="N412" s="158"/>
      <c r="O412" s="158"/>
      <c r="P412" s="158"/>
      <c r="Q412" s="158"/>
      <c r="R412" s="158"/>
      <c r="S412" s="158"/>
      <c r="T412" s="158"/>
      <c r="U412" s="158"/>
      <c r="V412" s="158"/>
      <c r="W412" s="158"/>
      <c r="X412" s="158"/>
      <c r="Y412" s="158"/>
      <c r="Z412" s="158"/>
    </row>
    <row r="413" spans="1:26" ht="12" customHeight="1">
      <c r="A413" s="147"/>
      <c r="B413" s="158"/>
      <c r="C413" s="158"/>
      <c r="D413" s="158"/>
      <c r="E413" s="158"/>
      <c r="F413" s="158"/>
      <c r="G413" s="158"/>
      <c r="H413" s="158"/>
      <c r="I413" s="158"/>
      <c r="J413" s="158"/>
      <c r="K413" s="158"/>
      <c r="L413" s="158"/>
      <c r="M413" s="158"/>
      <c r="N413" s="158"/>
      <c r="O413" s="158"/>
      <c r="P413" s="158"/>
      <c r="Q413" s="158"/>
      <c r="R413" s="158"/>
      <c r="S413" s="158"/>
      <c r="T413" s="158"/>
      <c r="U413" s="158"/>
      <c r="V413" s="158"/>
      <c r="W413" s="158"/>
      <c r="X413" s="158"/>
      <c r="Y413" s="158"/>
      <c r="Z413" s="158"/>
    </row>
    <row r="414" spans="1:26" ht="12" customHeight="1">
      <c r="A414" s="147"/>
      <c r="B414" s="158"/>
      <c r="C414" s="158"/>
      <c r="D414" s="158"/>
      <c r="E414" s="158"/>
      <c r="F414" s="158"/>
      <c r="G414" s="158"/>
      <c r="H414" s="158"/>
      <c r="I414" s="158"/>
      <c r="J414" s="158"/>
      <c r="K414" s="158"/>
      <c r="L414" s="158"/>
      <c r="M414" s="158"/>
      <c r="N414" s="158"/>
      <c r="O414" s="158"/>
      <c r="P414" s="158"/>
      <c r="Q414" s="158"/>
      <c r="R414" s="158"/>
      <c r="S414" s="158"/>
      <c r="T414" s="158"/>
      <c r="U414" s="158"/>
      <c r="V414" s="158"/>
      <c r="W414" s="158"/>
      <c r="X414" s="158"/>
      <c r="Y414" s="158"/>
      <c r="Z414" s="158"/>
    </row>
    <row r="415" spans="1:26" ht="12" customHeight="1">
      <c r="A415" s="147"/>
      <c r="B415" s="158"/>
      <c r="C415" s="158"/>
      <c r="D415" s="158"/>
      <c r="E415" s="158"/>
      <c r="F415" s="158"/>
      <c r="G415" s="158"/>
      <c r="H415" s="158"/>
      <c r="I415" s="158"/>
      <c r="J415" s="158"/>
      <c r="K415" s="158"/>
      <c r="L415" s="158"/>
      <c r="M415" s="158"/>
      <c r="N415" s="158"/>
      <c r="O415" s="158"/>
      <c r="P415" s="158"/>
      <c r="Q415" s="158"/>
      <c r="R415" s="158"/>
      <c r="S415" s="158"/>
      <c r="T415" s="158"/>
      <c r="U415" s="158"/>
      <c r="V415" s="158"/>
      <c r="W415" s="158"/>
      <c r="X415" s="158"/>
      <c r="Y415" s="158"/>
      <c r="Z415" s="158"/>
    </row>
    <row r="416" spans="1:26" ht="12" customHeight="1">
      <c r="A416" s="147"/>
      <c r="B416" s="158"/>
      <c r="C416" s="158"/>
      <c r="D416" s="158"/>
      <c r="E416" s="158"/>
      <c r="F416" s="158"/>
      <c r="G416" s="158"/>
      <c r="H416" s="158"/>
      <c r="I416" s="158"/>
      <c r="J416" s="158"/>
      <c r="K416" s="158"/>
      <c r="L416" s="158"/>
      <c r="M416" s="158"/>
      <c r="N416" s="158"/>
      <c r="O416" s="158"/>
      <c r="P416" s="158"/>
      <c r="Q416" s="158"/>
      <c r="R416" s="158"/>
      <c r="S416" s="158"/>
      <c r="T416" s="158"/>
      <c r="U416" s="158"/>
      <c r="V416" s="158"/>
      <c r="W416" s="158"/>
      <c r="X416" s="158"/>
      <c r="Y416" s="158"/>
      <c r="Z416" s="158"/>
    </row>
    <row r="417" spans="1:26" ht="12" customHeight="1">
      <c r="A417" s="147"/>
      <c r="B417" s="158"/>
      <c r="C417" s="158"/>
      <c r="D417" s="158"/>
      <c r="E417" s="158"/>
      <c r="F417" s="158"/>
      <c r="G417" s="158"/>
      <c r="H417" s="158"/>
      <c r="I417" s="158"/>
      <c r="J417" s="158"/>
      <c r="K417" s="158"/>
      <c r="L417" s="158"/>
      <c r="M417" s="158"/>
      <c r="N417" s="158"/>
      <c r="O417" s="158"/>
      <c r="P417" s="158"/>
      <c r="Q417" s="158"/>
      <c r="R417" s="158"/>
      <c r="S417" s="158"/>
      <c r="T417" s="158"/>
      <c r="U417" s="158"/>
      <c r="V417" s="158"/>
      <c r="W417" s="158"/>
      <c r="X417" s="158"/>
      <c r="Y417" s="158"/>
      <c r="Z417" s="158"/>
    </row>
    <row r="418" spans="1:26" ht="12" customHeight="1">
      <c r="A418" s="147"/>
      <c r="B418" s="158"/>
      <c r="C418" s="158"/>
      <c r="D418" s="158"/>
      <c r="E418" s="158"/>
      <c r="F418" s="158"/>
      <c r="G418" s="158"/>
      <c r="H418" s="158"/>
      <c r="I418" s="158"/>
      <c r="J418" s="158"/>
      <c r="K418" s="158"/>
      <c r="L418" s="158"/>
      <c r="M418" s="158"/>
      <c r="N418" s="158"/>
      <c r="O418" s="158"/>
      <c r="P418" s="158"/>
      <c r="Q418" s="158"/>
      <c r="R418" s="158"/>
      <c r="S418" s="158"/>
      <c r="T418" s="158"/>
      <c r="U418" s="158"/>
      <c r="V418" s="158"/>
      <c r="W418" s="158"/>
      <c r="X418" s="158"/>
      <c r="Y418" s="158"/>
      <c r="Z418" s="158"/>
    </row>
    <row r="419" spans="1:26" ht="12" customHeight="1">
      <c r="A419" s="147"/>
      <c r="B419" s="158"/>
      <c r="C419" s="158"/>
      <c r="D419" s="158"/>
      <c r="E419" s="158"/>
      <c r="F419" s="158"/>
      <c r="G419" s="158"/>
      <c r="H419" s="158"/>
      <c r="I419" s="158"/>
      <c r="J419" s="158"/>
      <c r="K419" s="158"/>
      <c r="L419" s="158"/>
      <c r="M419" s="158"/>
      <c r="N419" s="158"/>
      <c r="O419" s="158"/>
      <c r="P419" s="158"/>
      <c r="Q419" s="158"/>
      <c r="R419" s="158"/>
      <c r="S419" s="158"/>
      <c r="T419" s="158"/>
      <c r="U419" s="158"/>
      <c r="V419" s="158"/>
      <c r="W419" s="158"/>
      <c r="X419" s="158"/>
      <c r="Y419" s="158"/>
      <c r="Z419" s="158"/>
    </row>
    <row r="420" spans="1:26" ht="12" customHeight="1">
      <c r="A420" s="147"/>
      <c r="B420" s="158"/>
      <c r="C420" s="158"/>
      <c r="D420" s="158"/>
      <c r="E420" s="158"/>
      <c r="F420" s="158"/>
      <c r="G420" s="158"/>
      <c r="H420" s="158"/>
      <c r="I420" s="158"/>
      <c r="J420" s="158"/>
      <c r="K420" s="158"/>
      <c r="L420" s="158"/>
      <c r="M420" s="158"/>
      <c r="N420" s="158"/>
      <c r="O420" s="158"/>
      <c r="P420" s="158"/>
      <c r="Q420" s="158"/>
      <c r="R420" s="158"/>
      <c r="S420" s="158"/>
      <c r="T420" s="158"/>
      <c r="U420" s="158"/>
      <c r="V420" s="158"/>
      <c r="W420" s="158"/>
      <c r="X420" s="158"/>
      <c r="Y420" s="158"/>
      <c r="Z420" s="158"/>
    </row>
    <row r="421" spans="1:26" ht="12" customHeight="1">
      <c r="A421" s="147"/>
      <c r="B421" s="158"/>
      <c r="C421" s="158"/>
      <c r="D421" s="158"/>
      <c r="E421" s="158"/>
      <c r="F421" s="158"/>
      <c r="G421" s="158"/>
      <c r="H421" s="158"/>
      <c r="I421" s="158"/>
      <c r="J421" s="158"/>
      <c r="K421" s="158"/>
      <c r="L421" s="158"/>
      <c r="M421" s="158"/>
      <c r="N421" s="158"/>
      <c r="O421" s="158"/>
      <c r="P421" s="158"/>
      <c r="Q421" s="158"/>
      <c r="R421" s="158"/>
      <c r="S421" s="158"/>
      <c r="T421" s="158"/>
      <c r="U421" s="158"/>
      <c r="V421" s="158"/>
      <c r="W421" s="158"/>
      <c r="X421" s="158"/>
      <c r="Y421" s="158"/>
      <c r="Z421" s="158"/>
    </row>
    <row r="422" spans="1:26" ht="12" customHeight="1">
      <c r="A422" s="147"/>
      <c r="B422" s="158"/>
      <c r="C422" s="158"/>
      <c r="D422" s="158"/>
      <c r="E422" s="158"/>
      <c r="F422" s="158"/>
      <c r="G422" s="158"/>
      <c r="H422" s="158"/>
      <c r="I422" s="158"/>
      <c r="J422" s="158"/>
      <c r="K422" s="158"/>
      <c r="L422" s="158"/>
      <c r="M422" s="158"/>
      <c r="N422" s="158"/>
      <c r="O422" s="158"/>
      <c r="P422" s="158"/>
      <c r="Q422" s="158"/>
      <c r="R422" s="158"/>
      <c r="S422" s="158"/>
      <c r="T422" s="158"/>
      <c r="U422" s="158"/>
      <c r="V422" s="158"/>
      <c r="W422" s="158"/>
      <c r="X422" s="158"/>
      <c r="Y422" s="158"/>
      <c r="Z422" s="158"/>
    </row>
    <row r="423" spans="1:26" ht="12" customHeight="1">
      <c r="A423" s="147"/>
      <c r="B423" s="158"/>
      <c r="C423" s="158"/>
      <c r="D423" s="158"/>
      <c r="E423" s="158"/>
      <c r="F423" s="158"/>
      <c r="G423" s="158"/>
      <c r="H423" s="158"/>
      <c r="I423" s="158"/>
      <c r="J423" s="158"/>
      <c r="K423" s="158"/>
      <c r="L423" s="158"/>
      <c r="M423" s="158"/>
      <c r="N423" s="158"/>
      <c r="O423" s="158"/>
      <c r="P423" s="158"/>
      <c r="Q423" s="158"/>
      <c r="R423" s="158"/>
      <c r="S423" s="158"/>
      <c r="T423" s="158"/>
      <c r="U423" s="158"/>
      <c r="V423" s="158"/>
      <c r="W423" s="158"/>
      <c r="X423" s="158"/>
      <c r="Y423" s="158"/>
      <c r="Z423" s="158"/>
    </row>
    <row r="424" spans="1:26" ht="12" customHeight="1">
      <c r="A424" s="147"/>
      <c r="B424" s="158"/>
      <c r="C424" s="158"/>
      <c r="D424" s="158"/>
      <c r="E424" s="158"/>
      <c r="F424" s="158"/>
      <c r="G424" s="158"/>
      <c r="H424" s="158"/>
      <c r="I424" s="158"/>
      <c r="J424" s="158"/>
      <c r="K424" s="158"/>
      <c r="L424" s="158"/>
      <c r="M424" s="158"/>
      <c r="N424" s="158"/>
      <c r="O424" s="158"/>
      <c r="P424" s="158"/>
      <c r="Q424" s="158"/>
      <c r="R424" s="158"/>
      <c r="S424" s="158"/>
      <c r="T424" s="158"/>
      <c r="U424" s="158"/>
      <c r="V424" s="158"/>
      <c r="W424" s="158"/>
      <c r="X424" s="158"/>
      <c r="Y424" s="158"/>
      <c r="Z424" s="158"/>
    </row>
    <row r="425" spans="1:26" ht="12" customHeight="1">
      <c r="A425" s="147"/>
      <c r="B425" s="158"/>
      <c r="C425" s="158"/>
      <c r="D425" s="158"/>
      <c r="E425" s="158"/>
      <c r="F425" s="158"/>
      <c r="G425" s="158"/>
      <c r="H425" s="158"/>
      <c r="I425" s="158"/>
      <c r="J425" s="158"/>
      <c r="K425" s="158"/>
      <c r="L425" s="158"/>
      <c r="M425" s="158"/>
      <c r="N425" s="158"/>
      <c r="O425" s="158"/>
      <c r="P425" s="158"/>
      <c r="Q425" s="158"/>
      <c r="R425" s="158"/>
      <c r="S425" s="158"/>
      <c r="T425" s="158"/>
      <c r="U425" s="158"/>
      <c r="V425" s="158"/>
      <c r="W425" s="158"/>
      <c r="X425" s="158"/>
      <c r="Y425" s="158"/>
      <c r="Z425" s="158"/>
    </row>
    <row r="426" spans="1:26" ht="12" customHeight="1">
      <c r="A426" s="147"/>
      <c r="B426" s="158"/>
      <c r="C426" s="158"/>
      <c r="D426" s="158"/>
      <c r="E426" s="158"/>
      <c r="F426" s="158"/>
      <c r="G426" s="158"/>
      <c r="H426" s="158"/>
      <c r="I426" s="158"/>
      <c r="J426" s="158"/>
      <c r="K426" s="158"/>
      <c r="L426" s="158"/>
      <c r="M426" s="158"/>
      <c r="N426" s="158"/>
      <c r="O426" s="158"/>
      <c r="P426" s="158"/>
      <c r="Q426" s="158"/>
      <c r="R426" s="158"/>
      <c r="S426" s="158"/>
      <c r="T426" s="158"/>
      <c r="U426" s="158"/>
      <c r="V426" s="158"/>
      <c r="W426" s="158"/>
      <c r="X426" s="158"/>
      <c r="Y426" s="158"/>
      <c r="Z426" s="158"/>
    </row>
    <row r="427" spans="1:26" ht="12" customHeight="1">
      <c r="A427" s="147"/>
      <c r="B427" s="158"/>
      <c r="C427" s="158"/>
      <c r="D427" s="158"/>
      <c r="E427" s="158"/>
      <c r="F427" s="158"/>
      <c r="G427" s="158"/>
      <c r="H427" s="158"/>
      <c r="I427" s="158"/>
      <c r="J427" s="158"/>
      <c r="K427" s="158"/>
      <c r="L427" s="158"/>
      <c r="M427" s="158"/>
      <c r="N427" s="158"/>
      <c r="O427" s="158"/>
      <c r="P427" s="158"/>
      <c r="Q427" s="158"/>
      <c r="R427" s="158"/>
      <c r="S427" s="158"/>
      <c r="T427" s="158"/>
      <c r="U427" s="158"/>
      <c r="V427" s="158"/>
      <c r="W427" s="158"/>
      <c r="X427" s="158"/>
      <c r="Y427" s="158"/>
      <c r="Z427" s="158"/>
    </row>
    <row r="428" spans="1:26" ht="12" customHeight="1">
      <c r="A428" s="147"/>
      <c r="B428" s="158"/>
      <c r="C428" s="158"/>
      <c r="D428" s="158"/>
      <c r="E428" s="158"/>
      <c r="F428" s="158"/>
      <c r="G428" s="158"/>
      <c r="H428" s="158"/>
      <c r="I428" s="158"/>
      <c r="J428" s="158"/>
      <c r="K428" s="158"/>
      <c r="L428" s="158"/>
      <c r="M428" s="158"/>
      <c r="N428" s="158"/>
      <c r="O428" s="158"/>
      <c r="P428" s="158"/>
      <c r="Q428" s="158"/>
      <c r="R428" s="158"/>
      <c r="S428" s="158"/>
      <c r="T428" s="158"/>
      <c r="U428" s="158"/>
      <c r="V428" s="158"/>
      <c r="W428" s="158"/>
      <c r="X428" s="158"/>
      <c r="Y428" s="158"/>
      <c r="Z428" s="158"/>
    </row>
    <row r="429" spans="1:26" ht="12" customHeight="1">
      <c r="A429" s="147"/>
      <c r="B429" s="158"/>
      <c r="C429" s="158"/>
      <c r="D429" s="158"/>
      <c r="E429" s="158"/>
      <c r="F429" s="158"/>
      <c r="G429" s="158"/>
      <c r="H429" s="158"/>
      <c r="I429" s="158"/>
      <c r="J429" s="158"/>
      <c r="K429" s="158"/>
      <c r="L429" s="158"/>
      <c r="M429" s="158"/>
      <c r="N429" s="158"/>
      <c r="O429" s="158"/>
      <c r="P429" s="158"/>
      <c r="Q429" s="158"/>
      <c r="R429" s="158"/>
      <c r="S429" s="158"/>
      <c r="T429" s="158"/>
      <c r="U429" s="158"/>
      <c r="V429" s="158"/>
      <c r="W429" s="158"/>
      <c r="X429" s="158"/>
      <c r="Y429" s="158"/>
      <c r="Z429" s="158"/>
    </row>
    <row r="430" spans="1:26" ht="12" customHeight="1">
      <c r="A430" s="147"/>
      <c r="B430" s="158"/>
      <c r="C430" s="158"/>
      <c r="D430" s="158"/>
      <c r="E430" s="158"/>
      <c r="F430" s="158"/>
      <c r="G430" s="158"/>
      <c r="H430" s="158"/>
      <c r="I430" s="158"/>
      <c r="J430" s="158"/>
      <c r="K430" s="158"/>
      <c r="L430" s="158"/>
      <c r="M430" s="158"/>
      <c r="N430" s="158"/>
      <c r="O430" s="158"/>
      <c r="P430" s="158"/>
      <c r="Q430" s="158"/>
      <c r="R430" s="158"/>
      <c r="S430" s="158"/>
      <c r="T430" s="158"/>
      <c r="U430" s="158"/>
      <c r="V430" s="158"/>
      <c r="W430" s="158"/>
      <c r="X430" s="158"/>
      <c r="Y430" s="158"/>
      <c r="Z430" s="158"/>
    </row>
    <row r="431" spans="1:26" ht="12" customHeight="1">
      <c r="A431" s="147"/>
      <c r="B431" s="158"/>
      <c r="C431" s="158"/>
      <c r="D431" s="158"/>
      <c r="E431" s="158"/>
      <c r="F431" s="158"/>
      <c r="G431" s="158"/>
      <c r="H431" s="158"/>
      <c r="I431" s="158"/>
      <c r="J431" s="158"/>
      <c r="K431" s="158"/>
      <c r="L431" s="158"/>
      <c r="M431" s="158"/>
      <c r="N431" s="158"/>
      <c r="O431" s="158"/>
      <c r="P431" s="158"/>
      <c r="Q431" s="158"/>
      <c r="R431" s="158"/>
      <c r="S431" s="158"/>
      <c r="T431" s="158"/>
      <c r="U431" s="158"/>
      <c r="V431" s="158"/>
      <c r="W431" s="158"/>
      <c r="X431" s="158"/>
      <c r="Y431" s="158"/>
      <c r="Z431" s="158"/>
    </row>
    <row r="432" spans="1:26" ht="12" customHeight="1">
      <c r="A432" s="147"/>
      <c r="B432" s="158"/>
      <c r="C432" s="158"/>
      <c r="D432" s="158"/>
      <c r="E432" s="158"/>
      <c r="F432" s="158"/>
      <c r="G432" s="158"/>
      <c r="H432" s="158"/>
      <c r="I432" s="158"/>
      <c r="J432" s="158"/>
      <c r="K432" s="158"/>
      <c r="L432" s="158"/>
      <c r="M432" s="158"/>
      <c r="N432" s="158"/>
      <c r="O432" s="158"/>
      <c r="P432" s="158"/>
      <c r="Q432" s="158"/>
      <c r="R432" s="158"/>
      <c r="S432" s="158"/>
      <c r="T432" s="158"/>
      <c r="U432" s="158"/>
      <c r="V432" s="158"/>
      <c r="W432" s="158"/>
      <c r="X432" s="158"/>
      <c r="Y432" s="158"/>
      <c r="Z432" s="158"/>
    </row>
    <row r="433" spans="1:26" ht="12" customHeight="1">
      <c r="A433" s="147"/>
      <c r="B433" s="158"/>
      <c r="C433" s="158"/>
      <c r="D433" s="158"/>
      <c r="E433" s="158"/>
      <c r="F433" s="158"/>
      <c r="G433" s="158"/>
      <c r="H433" s="158"/>
      <c r="I433" s="158"/>
      <c r="J433" s="158"/>
      <c r="K433" s="158"/>
      <c r="L433" s="158"/>
      <c r="M433" s="158"/>
      <c r="N433" s="158"/>
      <c r="O433" s="158"/>
      <c r="P433" s="158"/>
      <c r="Q433" s="158"/>
      <c r="R433" s="158"/>
      <c r="S433" s="158"/>
      <c r="T433" s="158"/>
      <c r="U433" s="158"/>
      <c r="V433" s="158"/>
      <c r="W433" s="158"/>
      <c r="X433" s="158"/>
      <c r="Y433" s="158"/>
      <c r="Z433" s="158"/>
    </row>
    <row r="434" spans="1:26" ht="12" customHeight="1">
      <c r="A434" s="147"/>
      <c r="B434" s="158"/>
      <c r="C434" s="158"/>
      <c r="D434" s="158"/>
      <c r="E434" s="158"/>
      <c r="F434" s="158"/>
      <c r="G434" s="158"/>
      <c r="H434" s="158"/>
      <c r="I434" s="158"/>
      <c r="J434" s="158"/>
      <c r="K434" s="158"/>
      <c r="L434" s="158"/>
      <c r="M434" s="158"/>
      <c r="N434" s="158"/>
      <c r="O434" s="158"/>
      <c r="P434" s="158"/>
      <c r="Q434" s="158"/>
      <c r="R434" s="158"/>
      <c r="S434" s="158"/>
      <c r="T434" s="158"/>
      <c r="U434" s="158"/>
      <c r="V434" s="158"/>
      <c r="W434" s="158"/>
      <c r="X434" s="158"/>
      <c r="Y434" s="158"/>
      <c r="Z434" s="158"/>
    </row>
    <row r="435" spans="1:26" ht="12" customHeight="1">
      <c r="A435" s="147"/>
      <c r="B435" s="158"/>
      <c r="C435" s="158"/>
      <c r="D435" s="158"/>
      <c r="E435" s="158"/>
      <c r="F435" s="158"/>
      <c r="G435" s="158"/>
      <c r="H435" s="158"/>
      <c r="I435" s="158"/>
      <c r="J435" s="158"/>
      <c r="K435" s="158"/>
      <c r="L435" s="158"/>
      <c r="M435" s="158"/>
      <c r="N435" s="158"/>
      <c r="O435" s="158"/>
      <c r="P435" s="158"/>
      <c r="Q435" s="158"/>
      <c r="R435" s="158"/>
      <c r="S435" s="158"/>
      <c r="T435" s="158"/>
      <c r="U435" s="158"/>
      <c r="V435" s="158"/>
      <c r="W435" s="158"/>
      <c r="X435" s="158"/>
      <c r="Y435" s="158"/>
      <c r="Z435" s="158"/>
    </row>
    <row r="436" spans="1:26" ht="12" customHeight="1">
      <c r="A436" s="147"/>
      <c r="B436" s="158"/>
      <c r="C436" s="158"/>
      <c r="D436" s="158"/>
      <c r="E436" s="158"/>
      <c r="F436" s="158"/>
      <c r="G436" s="158"/>
      <c r="H436" s="158"/>
      <c r="I436" s="158"/>
      <c r="J436" s="158"/>
      <c r="K436" s="158"/>
      <c r="L436" s="158"/>
      <c r="M436" s="158"/>
      <c r="N436" s="158"/>
      <c r="O436" s="158"/>
      <c r="P436" s="158"/>
      <c r="Q436" s="158"/>
      <c r="R436" s="158"/>
      <c r="S436" s="158"/>
      <c r="T436" s="158"/>
      <c r="U436" s="158"/>
      <c r="V436" s="158"/>
      <c r="W436" s="158"/>
      <c r="X436" s="158"/>
      <c r="Y436" s="158"/>
      <c r="Z436" s="158"/>
    </row>
    <row r="437" spans="1:26" ht="12" customHeight="1">
      <c r="A437" s="147"/>
      <c r="B437" s="158"/>
      <c r="C437" s="158"/>
      <c r="D437" s="158"/>
      <c r="E437" s="158"/>
      <c r="F437" s="158"/>
      <c r="G437" s="158"/>
      <c r="H437" s="158"/>
      <c r="I437" s="158"/>
      <c r="J437" s="158"/>
      <c r="K437" s="158"/>
      <c r="L437" s="158"/>
      <c r="M437" s="158"/>
      <c r="N437" s="158"/>
      <c r="O437" s="158"/>
      <c r="P437" s="158"/>
      <c r="Q437" s="158"/>
      <c r="R437" s="158"/>
      <c r="S437" s="158"/>
      <c r="T437" s="158"/>
      <c r="U437" s="158"/>
      <c r="V437" s="158"/>
      <c r="W437" s="158"/>
      <c r="X437" s="158"/>
      <c r="Y437" s="158"/>
      <c r="Z437" s="158"/>
    </row>
    <row r="438" spans="1:26" ht="12" customHeight="1">
      <c r="A438" s="147"/>
      <c r="B438" s="158"/>
      <c r="C438" s="158"/>
      <c r="D438" s="158"/>
      <c r="E438" s="158"/>
      <c r="F438" s="158"/>
      <c r="G438" s="158"/>
      <c r="H438" s="158"/>
      <c r="I438" s="158"/>
      <c r="J438" s="158"/>
      <c r="K438" s="158"/>
      <c r="L438" s="158"/>
      <c r="M438" s="158"/>
      <c r="N438" s="158"/>
      <c r="O438" s="158"/>
      <c r="P438" s="158"/>
      <c r="Q438" s="158"/>
      <c r="R438" s="158"/>
      <c r="S438" s="158"/>
      <c r="T438" s="158"/>
      <c r="U438" s="158"/>
      <c r="V438" s="158"/>
      <c r="W438" s="158"/>
      <c r="X438" s="158"/>
      <c r="Y438" s="158"/>
      <c r="Z438" s="158"/>
    </row>
    <row r="439" spans="1:26" ht="12" customHeight="1">
      <c r="A439" s="147"/>
      <c r="B439" s="158"/>
      <c r="C439" s="158"/>
      <c r="D439" s="158"/>
      <c r="E439" s="158"/>
      <c r="F439" s="158"/>
      <c r="G439" s="158"/>
      <c r="H439" s="158"/>
      <c r="I439" s="158"/>
      <c r="J439" s="158"/>
      <c r="K439" s="158"/>
      <c r="L439" s="158"/>
      <c r="M439" s="158"/>
      <c r="N439" s="158"/>
      <c r="O439" s="158"/>
      <c r="P439" s="158"/>
      <c r="Q439" s="158"/>
      <c r="R439" s="158"/>
      <c r="S439" s="158"/>
      <c r="T439" s="158"/>
      <c r="U439" s="158"/>
      <c r="V439" s="158"/>
      <c r="W439" s="158"/>
      <c r="X439" s="158"/>
      <c r="Y439" s="158"/>
      <c r="Z439" s="158"/>
    </row>
    <row r="440" spans="1:26" ht="12" customHeight="1">
      <c r="A440" s="147"/>
      <c r="B440" s="158"/>
      <c r="C440" s="158"/>
      <c r="D440" s="158"/>
      <c r="E440" s="158"/>
      <c r="F440" s="158"/>
      <c r="G440" s="158"/>
      <c r="H440" s="158"/>
      <c r="I440" s="158"/>
      <c r="J440" s="158"/>
      <c r="K440" s="158"/>
      <c r="L440" s="158"/>
      <c r="M440" s="158"/>
      <c r="N440" s="158"/>
      <c r="O440" s="158"/>
      <c r="P440" s="158"/>
      <c r="Q440" s="158"/>
      <c r="R440" s="158"/>
      <c r="S440" s="158"/>
      <c r="T440" s="158"/>
      <c r="U440" s="158"/>
      <c r="V440" s="158"/>
      <c r="W440" s="158"/>
      <c r="X440" s="158"/>
      <c r="Y440" s="158"/>
      <c r="Z440" s="158"/>
    </row>
    <row r="441" spans="1:26" ht="12" customHeight="1">
      <c r="A441" s="147"/>
      <c r="B441" s="158"/>
      <c r="C441" s="158"/>
      <c r="D441" s="158"/>
      <c r="E441" s="158"/>
      <c r="F441" s="158"/>
      <c r="G441" s="158"/>
      <c r="H441" s="158"/>
      <c r="I441" s="158"/>
      <c r="J441" s="158"/>
      <c r="K441" s="158"/>
      <c r="L441" s="158"/>
      <c r="M441" s="158"/>
      <c r="N441" s="158"/>
      <c r="O441" s="158"/>
      <c r="P441" s="158"/>
      <c r="Q441" s="158"/>
      <c r="R441" s="158"/>
      <c r="S441" s="158"/>
      <c r="T441" s="158"/>
      <c r="U441" s="158"/>
      <c r="V441" s="158"/>
      <c r="W441" s="158"/>
      <c r="X441" s="158"/>
      <c r="Y441" s="158"/>
      <c r="Z441" s="158"/>
    </row>
    <row r="442" spans="1:26" ht="12" customHeight="1">
      <c r="A442" s="147"/>
      <c r="B442" s="158"/>
      <c r="C442" s="158"/>
      <c r="D442" s="158"/>
      <c r="E442" s="158"/>
      <c r="F442" s="158"/>
      <c r="G442" s="158"/>
      <c r="H442" s="158"/>
      <c r="I442" s="158"/>
      <c r="J442" s="158"/>
      <c r="K442" s="158"/>
      <c r="L442" s="158"/>
      <c r="M442" s="158"/>
      <c r="N442" s="158"/>
      <c r="O442" s="158"/>
      <c r="P442" s="158"/>
      <c r="Q442" s="158"/>
      <c r="R442" s="158"/>
      <c r="S442" s="158"/>
      <c r="T442" s="158"/>
      <c r="U442" s="158"/>
      <c r="V442" s="158"/>
      <c r="W442" s="158"/>
      <c r="X442" s="158"/>
      <c r="Y442" s="158"/>
      <c r="Z442" s="158"/>
    </row>
    <row r="443" spans="1:26" ht="12" customHeight="1">
      <c r="A443" s="147"/>
      <c r="B443" s="158"/>
      <c r="C443" s="158"/>
      <c r="D443" s="158"/>
      <c r="E443" s="158"/>
      <c r="F443" s="158"/>
      <c r="G443" s="158"/>
      <c r="H443" s="158"/>
      <c r="I443" s="158"/>
      <c r="J443" s="158"/>
      <c r="K443" s="158"/>
      <c r="L443" s="158"/>
      <c r="M443" s="158"/>
      <c r="N443" s="158"/>
      <c r="O443" s="158"/>
      <c r="P443" s="158"/>
      <c r="Q443" s="158"/>
      <c r="R443" s="158"/>
      <c r="S443" s="158"/>
      <c r="T443" s="158"/>
      <c r="U443" s="158"/>
      <c r="V443" s="158"/>
      <c r="W443" s="158"/>
      <c r="X443" s="158"/>
      <c r="Y443" s="158"/>
      <c r="Z443" s="158"/>
    </row>
    <row r="444" spans="1:26" ht="12" customHeight="1">
      <c r="A444" s="147"/>
      <c r="B444" s="158"/>
      <c r="C444" s="158"/>
      <c r="D444" s="158"/>
      <c r="E444" s="158"/>
      <c r="F444" s="158"/>
      <c r="G444" s="158"/>
      <c r="H444" s="158"/>
      <c r="I444" s="158"/>
      <c r="J444" s="158"/>
      <c r="K444" s="158"/>
      <c r="L444" s="158"/>
      <c r="M444" s="158"/>
      <c r="N444" s="158"/>
      <c r="O444" s="158"/>
      <c r="P444" s="158"/>
      <c r="Q444" s="158"/>
      <c r="R444" s="158"/>
      <c r="S444" s="158"/>
      <c r="T444" s="158"/>
      <c r="U444" s="158"/>
      <c r="V444" s="158"/>
      <c r="W444" s="158"/>
      <c r="X444" s="158"/>
      <c r="Y444" s="158"/>
      <c r="Z444" s="158"/>
    </row>
    <row r="445" spans="1:26" ht="12" customHeight="1">
      <c r="A445" s="147"/>
      <c r="B445" s="158"/>
      <c r="C445" s="158"/>
      <c r="D445" s="158"/>
      <c r="E445" s="158"/>
      <c r="F445" s="158"/>
      <c r="G445" s="158"/>
      <c r="H445" s="158"/>
      <c r="I445" s="158"/>
      <c r="J445" s="158"/>
      <c r="K445" s="158"/>
      <c r="L445" s="158"/>
      <c r="M445" s="158"/>
      <c r="N445" s="158"/>
      <c r="O445" s="158"/>
      <c r="P445" s="158"/>
      <c r="Q445" s="158"/>
      <c r="R445" s="158"/>
      <c r="S445" s="158"/>
      <c r="T445" s="158"/>
      <c r="U445" s="158"/>
      <c r="V445" s="158"/>
      <c r="W445" s="158"/>
      <c r="X445" s="158"/>
      <c r="Y445" s="158"/>
      <c r="Z445" s="158"/>
    </row>
    <row r="446" spans="1:26" ht="12" customHeight="1">
      <c r="A446" s="147"/>
      <c r="B446" s="158"/>
      <c r="C446" s="158"/>
      <c r="D446" s="158"/>
      <c r="E446" s="158"/>
      <c r="F446" s="158"/>
      <c r="G446" s="158"/>
      <c r="H446" s="158"/>
      <c r="I446" s="158"/>
      <c r="J446" s="158"/>
      <c r="K446" s="158"/>
      <c r="L446" s="158"/>
      <c r="M446" s="158"/>
      <c r="N446" s="158"/>
      <c r="O446" s="158"/>
      <c r="P446" s="158"/>
      <c r="Q446" s="158"/>
      <c r="R446" s="158"/>
      <c r="S446" s="158"/>
      <c r="T446" s="158"/>
      <c r="U446" s="158"/>
      <c r="V446" s="158"/>
      <c r="W446" s="158"/>
      <c r="X446" s="158"/>
      <c r="Y446" s="158"/>
      <c r="Z446" s="158"/>
    </row>
    <row r="447" spans="1:26" ht="12" customHeight="1">
      <c r="A447" s="147"/>
      <c r="B447" s="158"/>
      <c r="C447" s="158"/>
      <c r="D447" s="158"/>
      <c r="E447" s="158"/>
      <c r="F447" s="158"/>
      <c r="G447" s="158"/>
      <c r="H447" s="158"/>
      <c r="I447" s="158"/>
      <c r="J447" s="158"/>
      <c r="K447" s="158"/>
      <c r="L447" s="158"/>
      <c r="M447" s="158"/>
      <c r="N447" s="158"/>
      <c r="O447" s="158"/>
      <c r="P447" s="158"/>
      <c r="Q447" s="158"/>
      <c r="R447" s="158"/>
      <c r="S447" s="158"/>
      <c r="T447" s="158"/>
      <c r="U447" s="158"/>
      <c r="V447" s="158"/>
      <c r="W447" s="158"/>
      <c r="X447" s="158"/>
      <c r="Y447" s="158"/>
      <c r="Z447" s="158"/>
    </row>
    <row r="448" spans="1:26" ht="12" customHeight="1">
      <c r="A448" s="147"/>
      <c r="B448" s="158"/>
      <c r="C448" s="158"/>
      <c r="D448" s="158"/>
      <c r="E448" s="158"/>
      <c r="F448" s="158"/>
      <c r="G448" s="158"/>
      <c r="H448" s="158"/>
      <c r="I448" s="158"/>
      <c r="J448" s="158"/>
      <c r="K448" s="158"/>
      <c r="L448" s="158"/>
      <c r="M448" s="158"/>
      <c r="N448" s="158"/>
      <c r="O448" s="158"/>
      <c r="P448" s="158"/>
      <c r="Q448" s="158"/>
      <c r="R448" s="158"/>
      <c r="S448" s="158"/>
      <c r="T448" s="158"/>
      <c r="U448" s="158"/>
      <c r="V448" s="158"/>
      <c r="W448" s="158"/>
      <c r="X448" s="158"/>
      <c r="Y448" s="158"/>
      <c r="Z448" s="158"/>
    </row>
    <row r="449" spans="1:26" ht="12" customHeight="1">
      <c r="A449" s="147"/>
      <c r="B449" s="158"/>
      <c r="C449" s="158"/>
      <c r="D449" s="158"/>
      <c r="E449" s="158"/>
      <c r="F449" s="158"/>
      <c r="G449" s="158"/>
      <c r="H449" s="158"/>
      <c r="I449" s="158"/>
      <c r="J449" s="158"/>
      <c r="K449" s="158"/>
      <c r="L449" s="158"/>
      <c r="M449" s="158"/>
      <c r="N449" s="158"/>
      <c r="O449" s="158"/>
      <c r="P449" s="158"/>
      <c r="Q449" s="158"/>
      <c r="R449" s="158"/>
      <c r="S449" s="158"/>
      <c r="T449" s="158"/>
      <c r="U449" s="158"/>
      <c r="V449" s="158"/>
      <c r="W449" s="158"/>
      <c r="X449" s="158"/>
      <c r="Y449" s="158"/>
      <c r="Z449" s="158"/>
    </row>
    <row r="450" spans="1:26" ht="12" customHeight="1">
      <c r="A450" s="147"/>
      <c r="B450" s="158"/>
      <c r="C450" s="158"/>
      <c r="D450" s="158"/>
      <c r="E450" s="158"/>
      <c r="F450" s="158"/>
      <c r="G450" s="158"/>
      <c r="H450" s="158"/>
      <c r="I450" s="158"/>
      <c r="J450" s="158"/>
      <c r="K450" s="158"/>
      <c r="L450" s="158"/>
      <c r="M450" s="158"/>
      <c r="N450" s="158"/>
      <c r="O450" s="158"/>
      <c r="P450" s="158"/>
      <c r="Q450" s="158"/>
      <c r="R450" s="158"/>
      <c r="S450" s="158"/>
      <c r="T450" s="158"/>
      <c r="U450" s="158"/>
      <c r="V450" s="158"/>
      <c r="W450" s="158"/>
      <c r="X450" s="158"/>
      <c r="Y450" s="158"/>
      <c r="Z450" s="158"/>
    </row>
    <row r="451" spans="1:26" ht="12" customHeight="1">
      <c r="A451" s="147"/>
      <c r="B451" s="158"/>
      <c r="C451" s="158"/>
      <c r="D451" s="158"/>
      <c r="E451" s="158"/>
      <c r="F451" s="158"/>
      <c r="G451" s="158"/>
      <c r="H451" s="158"/>
      <c r="I451" s="158"/>
      <c r="J451" s="158"/>
      <c r="K451" s="158"/>
      <c r="L451" s="158"/>
      <c r="M451" s="158"/>
      <c r="N451" s="158"/>
      <c r="O451" s="158"/>
      <c r="P451" s="158"/>
      <c r="Q451" s="158"/>
      <c r="R451" s="158"/>
      <c r="S451" s="158"/>
      <c r="T451" s="158"/>
      <c r="U451" s="158"/>
      <c r="V451" s="158"/>
      <c r="W451" s="158"/>
      <c r="X451" s="158"/>
      <c r="Y451" s="158"/>
      <c r="Z451" s="158"/>
    </row>
    <row r="452" spans="1:26" ht="12" customHeight="1">
      <c r="A452" s="147"/>
      <c r="B452" s="158"/>
      <c r="C452" s="158"/>
      <c r="D452" s="158"/>
      <c r="E452" s="158"/>
      <c r="F452" s="158"/>
      <c r="G452" s="158"/>
      <c r="H452" s="158"/>
      <c r="I452" s="158"/>
      <c r="J452" s="158"/>
      <c r="K452" s="158"/>
      <c r="L452" s="158"/>
      <c r="M452" s="158"/>
      <c r="N452" s="158"/>
      <c r="O452" s="158"/>
      <c r="P452" s="158"/>
      <c r="Q452" s="158"/>
      <c r="R452" s="158"/>
      <c r="S452" s="158"/>
      <c r="T452" s="158"/>
      <c r="U452" s="158"/>
      <c r="V452" s="158"/>
      <c r="W452" s="158"/>
      <c r="X452" s="158"/>
      <c r="Y452" s="158"/>
      <c r="Z452" s="158"/>
    </row>
    <row r="453" spans="1:26" ht="12" customHeight="1">
      <c r="A453" s="147"/>
      <c r="B453" s="158"/>
      <c r="C453" s="158"/>
      <c r="D453" s="158"/>
      <c r="E453" s="158"/>
      <c r="F453" s="158"/>
      <c r="G453" s="158"/>
      <c r="H453" s="158"/>
      <c r="I453" s="158"/>
      <c r="J453" s="158"/>
      <c r="K453" s="158"/>
      <c r="L453" s="158"/>
      <c r="M453" s="158"/>
      <c r="N453" s="158"/>
      <c r="O453" s="158"/>
      <c r="P453" s="158"/>
      <c r="Q453" s="158"/>
      <c r="R453" s="158"/>
      <c r="S453" s="158"/>
      <c r="T453" s="158"/>
      <c r="U453" s="158"/>
      <c r="V453" s="158"/>
      <c r="W453" s="158"/>
      <c r="X453" s="158"/>
      <c r="Y453" s="158"/>
      <c r="Z453" s="158"/>
    </row>
    <row r="454" spans="1:26" ht="12" customHeight="1">
      <c r="A454" s="147"/>
      <c r="B454" s="158"/>
      <c r="C454" s="158"/>
      <c r="D454" s="158"/>
      <c r="E454" s="158"/>
      <c r="F454" s="158"/>
      <c r="G454" s="158"/>
      <c r="H454" s="158"/>
      <c r="I454" s="158"/>
      <c r="J454" s="158"/>
      <c r="K454" s="158"/>
      <c r="L454" s="158"/>
      <c r="M454" s="158"/>
      <c r="N454" s="158"/>
      <c r="O454" s="158"/>
      <c r="P454" s="158"/>
      <c r="Q454" s="158"/>
      <c r="R454" s="158"/>
      <c r="S454" s="158"/>
      <c r="T454" s="158"/>
      <c r="U454" s="158"/>
      <c r="V454" s="158"/>
      <c r="W454" s="158"/>
      <c r="X454" s="158"/>
      <c r="Y454" s="158"/>
      <c r="Z454" s="158"/>
    </row>
    <row r="455" spans="1:26" ht="12" customHeight="1">
      <c r="A455" s="147"/>
      <c r="B455" s="158"/>
      <c r="C455" s="158"/>
      <c r="D455" s="158"/>
      <c r="E455" s="158"/>
      <c r="F455" s="158"/>
      <c r="G455" s="158"/>
      <c r="H455" s="158"/>
      <c r="I455" s="158"/>
      <c r="J455" s="158"/>
      <c r="K455" s="158"/>
      <c r="L455" s="158"/>
      <c r="M455" s="158"/>
      <c r="N455" s="158"/>
      <c r="O455" s="158"/>
      <c r="P455" s="158"/>
      <c r="Q455" s="158"/>
      <c r="R455" s="158"/>
      <c r="S455" s="158"/>
      <c r="T455" s="158"/>
      <c r="U455" s="158"/>
      <c r="V455" s="158"/>
      <c r="W455" s="158"/>
      <c r="X455" s="158"/>
      <c r="Y455" s="158"/>
      <c r="Z455" s="158"/>
    </row>
    <row r="456" spans="1:26" ht="12" customHeight="1">
      <c r="A456" s="147"/>
      <c r="B456" s="158"/>
      <c r="C456" s="158"/>
      <c r="D456" s="158"/>
      <c r="E456" s="158"/>
      <c r="F456" s="158"/>
      <c r="G456" s="158"/>
      <c r="H456" s="158"/>
      <c r="I456" s="158"/>
      <c r="J456" s="158"/>
      <c r="K456" s="158"/>
      <c r="L456" s="158"/>
      <c r="M456" s="158"/>
      <c r="N456" s="158"/>
      <c r="O456" s="158"/>
      <c r="P456" s="158"/>
      <c r="Q456" s="158"/>
      <c r="R456" s="158"/>
      <c r="S456" s="158"/>
      <c r="T456" s="158"/>
      <c r="U456" s="158"/>
      <c r="V456" s="158"/>
      <c r="W456" s="158"/>
      <c r="X456" s="158"/>
      <c r="Y456" s="158"/>
      <c r="Z456" s="158"/>
    </row>
    <row r="457" spans="1:26" ht="12" customHeight="1">
      <c r="A457" s="147"/>
      <c r="B457" s="158"/>
      <c r="C457" s="158"/>
      <c r="D457" s="158"/>
      <c r="E457" s="158"/>
      <c r="F457" s="158"/>
      <c r="G457" s="158"/>
      <c r="H457" s="158"/>
      <c r="I457" s="158"/>
      <c r="J457" s="158"/>
      <c r="K457" s="158"/>
      <c r="L457" s="158"/>
      <c r="M457" s="158"/>
      <c r="N457" s="158"/>
      <c r="O457" s="158"/>
      <c r="P457" s="158"/>
      <c r="Q457" s="158"/>
      <c r="R457" s="158"/>
      <c r="S457" s="158"/>
      <c r="T457" s="158"/>
      <c r="U457" s="158"/>
      <c r="V457" s="158"/>
      <c r="W457" s="158"/>
      <c r="X457" s="158"/>
      <c r="Y457" s="158"/>
      <c r="Z457" s="158"/>
    </row>
    <row r="458" spans="1:26" ht="12" customHeight="1">
      <c r="A458" s="147"/>
      <c r="B458" s="158"/>
      <c r="C458" s="158"/>
      <c r="D458" s="158"/>
      <c r="E458" s="158"/>
      <c r="F458" s="158"/>
      <c r="G458" s="158"/>
      <c r="H458" s="158"/>
      <c r="I458" s="158"/>
      <c r="J458" s="158"/>
      <c r="K458" s="158"/>
      <c r="L458" s="158"/>
      <c r="M458" s="158"/>
      <c r="N458" s="158"/>
      <c r="O458" s="158"/>
      <c r="P458" s="158"/>
      <c r="Q458" s="158"/>
      <c r="R458" s="158"/>
      <c r="S458" s="158"/>
      <c r="T458" s="158"/>
      <c r="U458" s="158"/>
      <c r="V458" s="158"/>
      <c r="W458" s="158"/>
      <c r="X458" s="158"/>
      <c r="Y458" s="158"/>
      <c r="Z458" s="158"/>
    </row>
    <row r="459" spans="1:26" ht="12" customHeight="1">
      <c r="A459" s="147"/>
      <c r="B459" s="158"/>
      <c r="C459" s="158"/>
      <c r="D459" s="158"/>
      <c r="E459" s="158"/>
      <c r="F459" s="158"/>
      <c r="G459" s="158"/>
      <c r="H459" s="158"/>
      <c r="I459" s="158"/>
      <c r="J459" s="158"/>
      <c r="K459" s="158"/>
      <c r="L459" s="158"/>
      <c r="M459" s="158"/>
      <c r="N459" s="158"/>
      <c r="O459" s="158"/>
      <c r="P459" s="158"/>
      <c r="Q459" s="158"/>
      <c r="R459" s="158"/>
      <c r="S459" s="158"/>
      <c r="T459" s="158"/>
      <c r="U459" s="158"/>
      <c r="V459" s="158"/>
      <c r="W459" s="158"/>
      <c r="X459" s="158"/>
      <c r="Y459" s="158"/>
      <c r="Z459" s="158"/>
    </row>
    <row r="460" spans="1:26" ht="12" customHeight="1">
      <c r="A460" s="147"/>
      <c r="B460" s="158"/>
      <c r="C460" s="158"/>
      <c r="D460" s="158"/>
      <c r="E460" s="158"/>
      <c r="F460" s="158"/>
      <c r="G460" s="158"/>
      <c r="H460" s="158"/>
      <c r="I460" s="158"/>
      <c r="J460" s="158"/>
      <c r="K460" s="158"/>
      <c r="L460" s="158"/>
      <c r="M460" s="158"/>
      <c r="N460" s="158"/>
      <c r="O460" s="158"/>
      <c r="P460" s="158"/>
      <c r="Q460" s="158"/>
      <c r="R460" s="158"/>
      <c r="S460" s="158"/>
      <c r="T460" s="158"/>
      <c r="U460" s="158"/>
      <c r="V460" s="158"/>
      <c r="W460" s="158"/>
      <c r="X460" s="158"/>
      <c r="Y460" s="158"/>
      <c r="Z460" s="158"/>
    </row>
    <row r="461" spans="1:26" ht="12" customHeight="1">
      <c r="A461" s="147"/>
      <c r="B461" s="158"/>
      <c r="C461" s="158"/>
      <c r="D461" s="158"/>
      <c r="E461" s="158"/>
      <c r="F461" s="158"/>
      <c r="G461" s="158"/>
      <c r="H461" s="158"/>
      <c r="I461" s="158"/>
      <c r="J461" s="158"/>
      <c r="K461" s="158"/>
      <c r="L461" s="158"/>
      <c r="M461" s="158"/>
      <c r="N461" s="158"/>
      <c r="O461" s="158"/>
      <c r="P461" s="158"/>
      <c r="Q461" s="158"/>
      <c r="R461" s="158"/>
      <c r="S461" s="158"/>
      <c r="T461" s="158"/>
      <c r="U461" s="158"/>
      <c r="V461" s="158"/>
      <c r="W461" s="158"/>
      <c r="X461" s="158"/>
      <c r="Y461" s="158"/>
      <c r="Z461" s="158"/>
    </row>
    <row r="462" spans="1:26" ht="12" customHeight="1">
      <c r="A462" s="147"/>
      <c r="B462" s="158"/>
      <c r="C462" s="158"/>
      <c r="D462" s="158"/>
      <c r="E462" s="158"/>
      <c r="F462" s="158"/>
      <c r="G462" s="158"/>
      <c r="H462" s="158"/>
      <c r="I462" s="158"/>
      <c r="J462" s="158"/>
      <c r="K462" s="158"/>
      <c r="L462" s="158"/>
      <c r="M462" s="158"/>
      <c r="N462" s="158"/>
      <c r="O462" s="158"/>
      <c r="P462" s="158"/>
      <c r="Q462" s="158"/>
      <c r="R462" s="158"/>
      <c r="S462" s="158"/>
      <c r="T462" s="158"/>
      <c r="U462" s="158"/>
      <c r="V462" s="158"/>
      <c r="W462" s="158"/>
      <c r="X462" s="158"/>
      <c r="Y462" s="158"/>
      <c r="Z462" s="158"/>
    </row>
    <row r="463" spans="1:26" ht="12" customHeight="1">
      <c r="A463" s="147"/>
      <c r="B463" s="158"/>
      <c r="C463" s="158"/>
      <c r="D463" s="158"/>
      <c r="E463" s="158"/>
      <c r="F463" s="158"/>
      <c r="G463" s="158"/>
      <c r="H463" s="158"/>
      <c r="I463" s="158"/>
      <c r="J463" s="158"/>
      <c r="K463" s="158"/>
      <c r="L463" s="158"/>
      <c r="M463" s="158"/>
      <c r="N463" s="158"/>
      <c r="O463" s="158"/>
      <c r="P463" s="158"/>
      <c r="Q463" s="158"/>
      <c r="R463" s="158"/>
      <c r="S463" s="158"/>
      <c r="T463" s="158"/>
      <c r="U463" s="158"/>
      <c r="V463" s="158"/>
      <c r="W463" s="158"/>
      <c r="X463" s="158"/>
      <c r="Y463" s="158"/>
      <c r="Z463" s="158"/>
    </row>
    <row r="464" spans="1:26" ht="12" customHeight="1">
      <c r="A464" s="147"/>
      <c r="B464" s="158"/>
      <c r="C464" s="158"/>
      <c r="D464" s="158"/>
      <c r="E464" s="158"/>
      <c r="F464" s="158"/>
      <c r="G464" s="158"/>
      <c r="H464" s="158"/>
      <c r="I464" s="158"/>
      <c r="J464" s="158"/>
      <c r="K464" s="158"/>
      <c r="L464" s="158"/>
      <c r="M464" s="158"/>
      <c r="N464" s="158"/>
      <c r="O464" s="158"/>
      <c r="P464" s="158"/>
      <c r="Q464" s="158"/>
      <c r="R464" s="158"/>
      <c r="S464" s="158"/>
      <c r="T464" s="158"/>
      <c r="U464" s="158"/>
      <c r="V464" s="158"/>
      <c r="W464" s="158"/>
      <c r="X464" s="158"/>
      <c r="Y464" s="158"/>
      <c r="Z464" s="158"/>
    </row>
    <row r="465" spans="1:26" ht="12" customHeight="1">
      <c r="A465" s="147"/>
      <c r="B465" s="158"/>
      <c r="C465" s="158"/>
      <c r="D465" s="158"/>
      <c r="E465" s="158"/>
      <c r="F465" s="158"/>
      <c r="G465" s="158"/>
      <c r="H465" s="158"/>
      <c r="I465" s="158"/>
      <c r="J465" s="158"/>
      <c r="K465" s="158"/>
      <c r="L465" s="158"/>
      <c r="M465" s="158"/>
      <c r="N465" s="158"/>
      <c r="O465" s="158"/>
      <c r="P465" s="158"/>
      <c r="Q465" s="158"/>
      <c r="R465" s="158"/>
      <c r="S465" s="158"/>
      <c r="T465" s="158"/>
      <c r="U465" s="158"/>
      <c r="V465" s="158"/>
      <c r="W465" s="158"/>
      <c r="X465" s="158"/>
      <c r="Y465" s="158"/>
      <c r="Z465" s="158"/>
    </row>
    <row r="466" spans="1:26" ht="12" customHeight="1">
      <c r="A466" s="147"/>
      <c r="B466" s="158"/>
      <c r="C466" s="158"/>
      <c r="D466" s="158"/>
      <c r="E466" s="158"/>
      <c r="F466" s="158"/>
      <c r="G466" s="158"/>
      <c r="H466" s="158"/>
      <c r="I466" s="158"/>
      <c r="J466" s="158"/>
      <c r="K466" s="158"/>
      <c r="L466" s="158"/>
      <c r="M466" s="158"/>
      <c r="N466" s="158"/>
      <c r="O466" s="158"/>
      <c r="P466" s="158"/>
      <c r="Q466" s="158"/>
      <c r="R466" s="158"/>
      <c r="S466" s="158"/>
      <c r="T466" s="158"/>
      <c r="U466" s="158"/>
      <c r="V466" s="158"/>
      <c r="W466" s="158"/>
      <c r="X466" s="158"/>
      <c r="Y466" s="158"/>
      <c r="Z466" s="158"/>
    </row>
    <row r="467" spans="1:26" ht="12" customHeight="1">
      <c r="A467" s="147"/>
      <c r="B467" s="158"/>
      <c r="C467" s="158"/>
      <c r="D467" s="158"/>
      <c r="E467" s="158"/>
      <c r="F467" s="158"/>
      <c r="G467" s="158"/>
      <c r="H467" s="158"/>
      <c r="I467" s="158"/>
      <c r="J467" s="158"/>
      <c r="K467" s="158"/>
      <c r="L467" s="158"/>
      <c r="M467" s="158"/>
      <c r="N467" s="158"/>
      <c r="O467" s="158"/>
      <c r="P467" s="158"/>
      <c r="Q467" s="158"/>
      <c r="R467" s="158"/>
      <c r="S467" s="158"/>
      <c r="T467" s="158"/>
      <c r="U467" s="158"/>
      <c r="V467" s="158"/>
      <c r="W467" s="158"/>
      <c r="X467" s="158"/>
      <c r="Y467" s="158"/>
      <c r="Z467" s="158"/>
    </row>
    <row r="468" spans="1:26" ht="12" customHeight="1">
      <c r="A468" s="147"/>
      <c r="B468" s="158"/>
      <c r="C468" s="158"/>
      <c r="D468" s="158"/>
      <c r="E468" s="158"/>
      <c r="F468" s="158"/>
      <c r="G468" s="158"/>
      <c r="H468" s="158"/>
      <c r="I468" s="158"/>
      <c r="J468" s="158"/>
      <c r="K468" s="158"/>
      <c r="L468" s="158"/>
      <c r="M468" s="158"/>
      <c r="N468" s="158"/>
      <c r="O468" s="158"/>
      <c r="P468" s="158"/>
      <c r="Q468" s="158"/>
      <c r="R468" s="158"/>
      <c r="S468" s="158"/>
      <c r="T468" s="158"/>
      <c r="U468" s="158"/>
      <c r="V468" s="158"/>
      <c r="W468" s="158"/>
      <c r="X468" s="158"/>
      <c r="Y468" s="158"/>
      <c r="Z468" s="158"/>
    </row>
    <row r="469" spans="1:26" ht="12" customHeight="1">
      <c r="A469" s="147"/>
      <c r="B469" s="158"/>
      <c r="C469" s="158"/>
      <c r="D469" s="158"/>
      <c r="E469" s="158"/>
      <c r="F469" s="158"/>
      <c r="G469" s="158"/>
      <c r="H469" s="158"/>
      <c r="I469" s="158"/>
      <c r="J469" s="158"/>
      <c r="K469" s="158"/>
      <c r="L469" s="158"/>
      <c r="M469" s="158"/>
      <c r="N469" s="158"/>
      <c r="O469" s="158"/>
      <c r="P469" s="158"/>
      <c r="Q469" s="158"/>
      <c r="R469" s="158"/>
      <c r="S469" s="158"/>
      <c r="T469" s="158"/>
      <c r="U469" s="158"/>
      <c r="V469" s="158"/>
      <c r="W469" s="158"/>
      <c r="X469" s="158"/>
      <c r="Y469" s="158"/>
      <c r="Z469" s="158"/>
    </row>
    <row r="470" spans="1:26" ht="12" customHeight="1">
      <c r="A470" s="147"/>
      <c r="B470" s="158"/>
      <c r="C470" s="158"/>
      <c r="D470" s="158"/>
      <c r="E470" s="158"/>
      <c r="F470" s="158"/>
      <c r="G470" s="158"/>
      <c r="H470" s="158"/>
      <c r="I470" s="158"/>
      <c r="J470" s="158"/>
      <c r="K470" s="158"/>
      <c r="L470" s="158"/>
      <c r="M470" s="158"/>
      <c r="N470" s="158"/>
      <c r="O470" s="158"/>
      <c r="P470" s="158"/>
      <c r="Q470" s="158"/>
      <c r="R470" s="158"/>
      <c r="S470" s="158"/>
      <c r="T470" s="158"/>
      <c r="U470" s="158"/>
      <c r="V470" s="158"/>
      <c r="W470" s="158"/>
      <c r="X470" s="158"/>
      <c r="Y470" s="158"/>
      <c r="Z470" s="158"/>
    </row>
    <row r="471" spans="1:26" ht="12" customHeight="1">
      <c r="A471" s="147"/>
      <c r="B471" s="158"/>
      <c r="C471" s="158"/>
      <c r="D471" s="158"/>
      <c r="E471" s="158"/>
      <c r="F471" s="158"/>
      <c r="G471" s="158"/>
      <c r="H471" s="158"/>
      <c r="I471" s="158"/>
      <c r="J471" s="158"/>
      <c r="K471" s="158"/>
      <c r="L471" s="158"/>
      <c r="M471" s="158"/>
      <c r="N471" s="158"/>
      <c r="O471" s="158"/>
      <c r="P471" s="158"/>
      <c r="Q471" s="158"/>
      <c r="R471" s="158"/>
      <c r="S471" s="158"/>
      <c r="T471" s="158"/>
      <c r="U471" s="158"/>
      <c r="V471" s="158"/>
      <c r="W471" s="158"/>
      <c r="X471" s="158"/>
      <c r="Y471" s="158"/>
      <c r="Z471" s="158"/>
    </row>
    <row r="472" spans="1:26" ht="12" customHeight="1">
      <c r="A472" s="147"/>
      <c r="B472" s="158"/>
      <c r="C472" s="158"/>
      <c r="D472" s="158"/>
      <c r="E472" s="158"/>
      <c r="F472" s="158"/>
      <c r="G472" s="158"/>
      <c r="H472" s="158"/>
      <c r="I472" s="158"/>
      <c r="J472" s="158"/>
      <c r="K472" s="158"/>
      <c r="L472" s="158"/>
      <c r="M472" s="158"/>
      <c r="N472" s="158"/>
      <c r="O472" s="158"/>
      <c r="P472" s="158"/>
      <c r="Q472" s="158"/>
      <c r="R472" s="158"/>
      <c r="S472" s="158"/>
      <c r="T472" s="158"/>
      <c r="U472" s="158"/>
      <c r="V472" s="158"/>
      <c r="W472" s="158"/>
      <c r="X472" s="158"/>
      <c r="Y472" s="158"/>
      <c r="Z472" s="158"/>
    </row>
    <row r="473" spans="1:26" ht="12" customHeight="1">
      <c r="A473" s="147"/>
      <c r="B473" s="158"/>
      <c r="C473" s="158"/>
      <c r="D473" s="158"/>
      <c r="E473" s="158"/>
      <c r="F473" s="158"/>
      <c r="G473" s="158"/>
      <c r="H473" s="158"/>
      <c r="I473" s="158"/>
      <c r="J473" s="158"/>
      <c r="K473" s="158"/>
      <c r="L473" s="158"/>
      <c r="M473" s="158"/>
      <c r="N473" s="158"/>
      <c r="O473" s="158"/>
      <c r="P473" s="158"/>
      <c r="Q473" s="158"/>
      <c r="R473" s="158"/>
      <c r="S473" s="158"/>
      <c r="T473" s="158"/>
      <c r="U473" s="158"/>
      <c r="V473" s="158"/>
      <c r="W473" s="158"/>
      <c r="X473" s="158"/>
      <c r="Y473" s="158"/>
      <c r="Z473" s="158"/>
    </row>
    <row r="474" spans="1:26" ht="12" customHeight="1">
      <c r="A474" s="147"/>
      <c r="B474" s="158"/>
      <c r="C474" s="158"/>
      <c r="D474" s="158"/>
      <c r="E474" s="158"/>
      <c r="F474" s="158"/>
      <c r="G474" s="158"/>
      <c r="H474" s="158"/>
      <c r="I474" s="158"/>
      <c r="J474" s="158"/>
      <c r="K474" s="158"/>
      <c r="L474" s="158"/>
      <c r="M474" s="158"/>
      <c r="N474" s="158"/>
      <c r="O474" s="158"/>
      <c r="P474" s="158"/>
      <c r="Q474" s="158"/>
      <c r="R474" s="158"/>
      <c r="S474" s="158"/>
      <c r="T474" s="158"/>
      <c r="U474" s="158"/>
      <c r="V474" s="158"/>
      <c r="W474" s="158"/>
      <c r="X474" s="158"/>
      <c r="Y474" s="158"/>
      <c r="Z474" s="158"/>
    </row>
    <row r="475" spans="1:26" ht="12" customHeight="1">
      <c r="A475" s="147"/>
      <c r="B475" s="158"/>
      <c r="C475" s="158"/>
      <c r="D475" s="158"/>
      <c r="E475" s="158"/>
      <c r="F475" s="158"/>
      <c r="G475" s="158"/>
      <c r="H475" s="158"/>
      <c r="I475" s="158"/>
      <c r="J475" s="158"/>
      <c r="K475" s="158"/>
      <c r="L475" s="158"/>
      <c r="M475" s="158"/>
      <c r="N475" s="158"/>
      <c r="O475" s="158"/>
      <c r="P475" s="158"/>
      <c r="Q475" s="158"/>
      <c r="R475" s="158"/>
      <c r="S475" s="158"/>
      <c r="T475" s="158"/>
      <c r="U475" s="158"/>
      <c r="V475" s="158"/>
      <c r="W475" s="158"/>
      <c r="X475" s="158"/>
      <c r="Y475" s="158"/>
      <c r="Z475" s="158"/>
    </row>
    <row r="476" spans="1:26" ht="12" customHeight="1">
      <c r="A476" s="147"/>
      <c r="B476" s="158"/>
      <c r="C476" s="158"/>
      <c r="D476" s="158"/>
      <c r="E476" s="158"/>
      <c r="F476" s="158"/>
      <c r="G476" s="158"/>
      <c r="H476" s="158"/>
      <c r="I476" s="158"/>
      <c r="J476" s="158"/>
      <c r="K476" s="158"/>
      <c r="L476" s="158"/>
      <c r="M476" s="158"/>
      <c r="N476" s="158"/>
      <c r="O476" s="158"/>
      <c r="P476" s="158"/>
      <c r="Q476" s="158"/>
      <c r="R476" s="158"/>
      <c r="S476" s="158"/>
      <c r="T476" s="158"/>
      <c r="U476" s="158"/>
      <c r="V476" s="158"/>
      <c r="W476" s="158"/>
      <c r="X476" s="158"/>
      <c r="Y476" s="158"/>
      <c r="Z476" s="158"/>
    </row>
    <row r="477" spans="1:26" ht="12" customHeight="1">
      <c r="A477" s="147"/>
      <c r="B477" s="158"/>
      <c r="C477" s="158"/>
      <c r="D477" s="158"/>
      <c r="E477" s="158"/>
      <c r="F477" s="158"/>
      <c r="G477" s="158"/>
      <c r="H477" s="158"/>
      <c r="I477" s="158"/>
      <c r="J477" s="158"/>
      <c r="K477" s="158"/>
      <c r="L477" s="158"/>
      <c r="M477" s="158"/>
      <c r="N477" s="158"/>
      <c r="O477" s="158"/>
      <c r="P477" s="158"/>
      <c r="Q477" s="158"/>
      <c r="R477" s="158"/>
      <c r="S477" s="158"/>
      <c r="T477" s="158"/>
      <c r="U477" s="158"/>
      <c r="V477" s="158"/>
      <c r="W477" s="158"/>
      <c r="X477" s="158"/>
      <c r="Y477" s="158"/>
      <c r="Z477" s="158"/>
    </row>
    <row r="478" spans="1:26" ht="12" customHeight="1">
      <c r="A478" s="147"/>
      <c r="B478" s="158"/>
      <c r="C478" s="158"/>
      <c r="D478" s="158"/>
      <c r="E478" s="158"/>
      <c r="F478" s="158"/>
      <c r="G478" s="158"/>
      <c r="H478" s="158"/>
      <c r="I478" s="158"/>
      <c r="J478" s="158"/>
      <c r="K478" s="158"/>
      <c r="L478" s="158"/>
      <c r="M478" s="158"/>
      <c r="N478" s="158"/>
      <c r="O478" s="158"/>
      <c r="P478" s="158"/>
      <c r="Q478" s="158"/>
      <c r="R478" s="158"/>
      <c r="S478" s="158"/>
      <c r="T478" s="158"/>
      <c r="U478" s="158"/>
      <c r="V478" s="158"/>
      <c r="W478" s="158"/>
      <c r="X478" s="158"/>
      <c r="Y478" s="158"/>
      <c r="Z478" s="158"/>
    </row>
    <row r="479" spans="1:26" ht="12" customHeight="1">
      <c r="A479" s="147"/>
      <c r="B479" s="158"/>
      <c r="C479" s="158"/>
      <c r="D479" s="158"/>
      <c r="E479" s="158"/>
      <c r="F479" s="158"/>
      <c r="G479" s="158"/>
      <c r="H479" s="158"/>
      <c r="I479" s="158"/>
      <c r="J479" s="158"/>
      <c r="K479" s="158"/>
      <c r="L479" s="158"/>
      <c r="M479" s="158"/>
      <c r="N479" s="158"/>
      <c r="O479" s="158"/>
      <c r="P479" s="158"/>
      <c r="Q479" s="158"/>
      <c r="R479" s="158"/>
      <c r="S479" s="158"/>
      <c r="T479" s="158"/>
      <c r="U479" s="158"/>
      <c r="V479" s="158"/>
      <c r="W479" s="158"/>
      <c r="X479" s="158"/>
      <c r="Y479" s="158"/>
      <c r="Z479" s="158"/>
    </row>
    <row r="480" spans="1:26" ht="12" customHeight="1">
      <c r="A480" s="147"/>
      <c r="B480" s="158"/>
      <c r="C480" s="158"/>
      <c r="D480" s="158"/>
      <c r="E480" s="158"/>
      <c r="F480" s="158"/>
      <c r="G480" s="158"/>
      <c r="H480" s="158"/>
      <c r="I480" s="158"/>
      <c r="J480" s="158"/>
      <c r="K480" s="158"/>
      <c r="L480" s="158"/>
      <c r="M480" s="158"/>
      <c r="N480" s="158"/>
      <c r="O480" s="158"/>
      <c r="P480" s="158"/>
      <c r="Q480" s="158"/>
      <c r="R480" s="158"/>
      <c r="S480" s="158"/>
      <c r="T480" s="158"/>
      <c r="U480" s="158"/>
      <c r="V480" s="158"/>
      <c r="W480" s="158"/>
      <c r="X480" s="158"/>
      <c r="Y480" s="158"/>
      <c r="Z480" s="158"/>
    </row>
    <row r="481" spans="1:26" ht="12" customHeight="1">
      <c r="A481" s="147"/>
      <c r="B481" s="158"/>
      <c r="C481" s="158"/>
      <c r="D481" s="158"/>
      <c r="E481" s="158"/>
      <c r="F481" s="158"/>
      <c r="G481" s="158"/>
      <c r="H481" s="158"/>
      <c r="I481" s="158"/>
      <c r="J481" s="158"/>
      <c r="K481" s="158"/>
      <c r="L481" s="158"/>
      <c r="M481" s="158"/>
      <c r="N481" s="158"/>
      <c r="O481" s="158"/>
      <c r="P481" s="158"/>
      <c r="Q481" s="158"/>
      <c r="R481" s="158"/>
      <c r="S481" s="158"/>
      <c r="T481" s="158"/>
      <c r="U481" s="158"/>
      <c r="V481" s="158"/>
      <c r="W481" s="158"/>
      <c r="X481" s="158"/>
      <c r="Y481" s="158"/>
      <c r="Z481" s="158"/>
    </row>
    <row r="482" spans="1:26" ht="12" customHeight="1">
      <c r="A482" s="147"/>
      <c r="B482" s="158"/>
      <c r="C482" s="158"/>
      <c r="D482" s="158"/>
      <c r="E482" s="158"/>
      <c r="F482" s="158"/>
      <c r="G482" s="158"/>
      <c r="H482" s="158"/>
      <c r="I482" s="158"/>
      <c r="J482" s="158"/>
      <c r="K482" s="158"/>
      <c r="L482" s="158"/>
      <c r="M482" s="158"/>
      <c r="N482" s="158"/>
      <c r="O482" s="158"/>
      <c r="P482" s="158"/>
      <c r="Q482" s="158"/>
      <c r="R482" s="158"/>
      <c r="S482" s="158"/>
      <c r="T482" s="158"/>
      <c r="U482" s="158"/>
      <c r="V482" s="158"/>
      <c r="W482" s="158"/>
      <c r="X482" s="158"/>
      <c r="Y482" s="158"/>
      <c r="Z482" s="158"/>
    </row>
    <row r="483" spans="1:26" ht="12" customHeight="1">
      <c r="A483" s="147"/>
      <c r="B483" s="158"/>
      <c r="C483" s="158"/>
      <c r="D483" s="158"/>
      <c r="E483" s="158"/>
      <c r="F483" s="158"/>
      <c r="G483" s="158"/>
      <c r="H483" s="158"/>
      <c r="I483" s="158"/>
      <c r="J483" s="158"/>
      <c r="K483" s="158"/>
      <c r="L483" s="158"/>
      <c r="M483" s="158"/>
      <c r="N483" s="158"/>
      <c r="O483" s="158"/>
      <c r="P483" s="158"/>
      <c r="Q483" s="158"/>
      <c r="R483" s="158"/>
      <c r="S483" s="158"/>
      <c r="T483" s="158"/>
      <c r="U483" s="158"/>
      <c r="V483" s="158"/>
      <c r="W483" s="158"/>
      <c r="X483" s="158"/>
      <c r="Y483" s="158"/>
      <c r="Z483" s="158"/>
    </row>
    <row r="484" spans="1:26" ht="12" customHeight="1">
      <c r="A484" s="147"/>
      <c r="B484" s="158"/>
      <c r="C484" s="158"/>
      <c r="D484" s="158"/>
      <c r="E484" s="158"/>
      <c r="F484" s="158"/>
      <c r="G484" s="158"/>
      <c r="H484" s="158"/>
      <c r="I484" s="158"/>
      <c r="J484" s="158"/>
      <c r="K484" s="158"/>
      <c r="L484" s="158"/>
      <c r="M484" s="158"/>
      <c r="N484" s="158"/>
      <c r="O484" s="158"/>
      <c r="P484" s="158"/>
      <c r="Q484" s="158"/>
      <c r="R484" s="158"/>
      <c r="S484" s="158"/>
      <c r="T484" s="158"/>
      <c r="U484" s="158"/>
      <c r="V484" s="158"/>
      <c r="W484" s="158"/>
      <c r="X484" s="158"/>
      <c r="Y484" s="158"/>
      <c r="Z484" s="158"/>
    </row>
    <row r="485" spans="1:26" ht="12" customHeight="1">
      <c r="A485" s="147"/>
      <c r="B485" s="158"/>
      <c r="C485" s="158"/>
      <c r="D485" s="158"/>
      <c r="E485" s="158"/>
      <c r="F485" s="158"/>
      <c r="G485" s="158"/>
      <c r="H485" s="158"/>
      <c r="I485" s="158"/>
      <c r="J485" s="158"/>
      <c r="K485" s="158"/>
      <c r="L485" s="158"/>
      <c r="M485" s="158"/>
      <c r="N485" s="158"/>
      <c r="O485" s="158"/>
      <c r="P485" s="158"/>
      <c r="Q485" s="158"/>
      <c r="R485" s="158"/>
      <c r="S485" s="158"/>
      <c r="T485" s="158"/>
      <c r="U485" s="158"/>
      <c r="V485" s="158"/>
      <c r="W485" s="158"/>
      <c r="X485" s="158"/>
      <c r="Y485" s="158"/>
      <c r="Z485" s="158"/>
    </row>
    <row r="486" spans="1:26" ht="12" customHeight="1">
      <c r="A486" s="147"/>
      <c r="B486" s="158"/>
      <c r="C486" s="158"/>
      <c r="D486" s="158"/>
      <c r="E486" s="158"/>
      <c r="F486" s="158"/>
      <c r="G486" s="158"/>
      <c r="H486" s="158"/>
      <c r="I486" s="158"/>
      <c r="J486" s="158"/>
      <c r="K486" s="158"/>
      <c r="L486" s="158"/>
      <c r="M486" s="158"/>
      <c r="N486" s="158"/>
      <c r="O486" s="158"/>
      <c r="P486" s="158"/>
      <c r="Q486" s="158"/>
      <c r="R486" s="158"/>
      <c r="S486" s="158"/>
      <c r="T486" s="158"/>
      <c r="U486" s="158"/>
      <c r="V486" s="158"/>
      <c r="W486" s="158"/>
      <c r="X486" s="158"/>
      <c r="Y486" s="158"/>
      <c r="Z486" s="158"/>
    </row>
    <row r="487" spans="1:26" ht="12" customHeight="1">
      <c r="A487" s="147"/>
      <c r="B487" s="158"/>
      <c r="C487" s="158"/>
      <c r="D487" s="158"/>
      <c r="E487" s="158"/>
      <c r="F487" s="158"/>
      <c r="G487" s="158"/>
      <c r="H487" s="158"/>
      <c r="I487" s="158"/>
      <c r="J487" s="158"/>
      <c r="K487" s="158"/>
      <c r="L487" s="158"/>
      <c r="M487" s="158"/>
      <c r="N487" s="158"/>
      <c r="O487" s="158"/>
      <c r="P487" s="158"/>
      <c r="Q487" s="158"/>
      <c r="R487" s="158"/>
      <c r="S487" s="158"/>
      <c r="T487" s="158"/>
      <c r="U487" s="158"/>
      <c r="V487" s="158"/>
      <c r="W487" s="158"/>
      <c r="X487" s="158"/>
      <c r="Y487" s="158"/>
      <c r="Z487" s="158"/>
    </row>
    <row r="488" spans="1:26" ht="12" customHeight="1">
      <c r="A488" s="147"/>
      <c r="B488" s="158"/>
      <c r="C488" s="158"/>
      <c r="D488" s="158"/>
      <c r="E488" s="158"/>
      <c r="F488" s="158"/>
      <c r="G488" s="158"/>
      <c r="H488" s="158"/>
      <c r="I488" s="158"/>
      <c r="J488" s="158"/>
      <c r="K488" s="158"/>
      <c r="L488" s="158"/>
      <c r="M488" s="158"/>
      <c r="N488" s="158"/>
      <c r="O488" s="158"/>
      <c r="P488" s="158"/>
      <c r="Q488" s="158"/>
      <c r="R488" s="158"/>
      <c r="S488" s="158"/>
      <c r="T488" s="158"/>
      <c r="U488" s="158"/>
      <c r="V488" s="158"/>
      <c r="W488" s="158"/>
      <c r="X488" s="158"/>
      <c r="Y488" s="158"/>
      <c r="Z488" s="158"/>
    </row>
    <row r="489" spans="1:26" ht="12" customHeight="1">
      <c r="A489" s="147"/>
      <c r="B489" s="158"/>
      <c r="C489" s="158"/>
      <c r="D489" s="158"/>
      <c r="E489" s="158"/>
      <c r="F489" s="158"/>
      <c r="G489" s="158"/>
      <c r="H489" s="158"/>
      <c r="I489" s="158"/>
      <c r="J489" s="158"/>
      <c r="K489" s="158"/>
      <c r="L489" s="158"/>
      <c r="M489" s="158"/>
      <c r="N489" s="158"/>
      <c r="O489" s="158"/>
      <c r="P489" s="158"/>
      <c r="Q489" s="158"/>
      <c r="R489" s="158"/>
      <c r="S489" s="158"/>
      <c r="T489" s="158"/>
      <c r="U489" s="158"/>
      <c r="V489" s="158"/>
      <c r="W489" s="158"/>
      <c r="X489" s="158"/>
      <c r="Y489" s="158"/>
      <c r="Z489" s="158"/>
    </row>
    <row r="490" spans="1:26" ht="12" customHeight="1">
      <c r="A490" s="147"/>
      <c r="B490" s="158"/>
      <c r="C490" s="158"/>
      <c r="D490" s="158"/>
      <c r="E490" s="158"/>
      <c r="F490" s="158"/>
      <c r="G490" s="158"/>
      <c r="H490" s="158"/>
      <c r="I490" s="158"/>
      <c r="J490" s="158"/>
      <c r="K490" s="158"/>
      <c r="L490" s="158"/>
      <c r="M490" s="158"/>
      <c r="N490" s="158"/>
      <c r="O490" s="158"/>
      <c r="P490" s="158"/>
      <c r="Q490" s="158"/>
      <c r="R490" s="158"/>
      <c r="S490" s="158"/>
      <c r="T490" s="158"/>
      <c r="U490" s="158"/>
      <c r="V490" s="158"/>
      <c r="W490" s="158"/>
      <c r="X490" s="158"/>
      <c r="Y490" s="158"/>
      <c r="Z490" s="158"/>
    </row>
    <row r="491" spans="1:26" ht="12" customHeight="1">
      <c r="A491" s="147"/>
      <c r="B491" s="158"/>
      <c r="C491" s="158"/>
      <c r="D491" s="158"/>
      <c r="E491" s="158"/>
      <c r="F491" s="158"/>
      <c r="G491" s="158"/>
      <c r="H491" s="158"/>
      <c r="I491" s="158"/>
      <c r="J491" s="158"/>
      <c r="K491" s="158"/>
      <c r="L491" s="158"/>
      <c r="M491" s="158"/>
      <c r="N491" s="158"/>
      <c r="O491" s="158"/>
      <c r="P491" s="158"/>
      <c r="Q491" s="158"/>
      <c r="R491" s="158"/>
      <c r="S491" s="158"/>
      <c r="T491" s="158"/>
      <c r="U491" s="158"/>
      <c r="V491" s="158"/>
      <c r="W491" s="158"/>
      <c r="X491" s="158"/>
      <c r="Y491" s="158"/>
      <c r="Z491" s="158"/>
    </row>
    <row r="492" spans="1:26" ht="12" customHeight="1">
      <c r="A492" s="147"/>
      <c r="B492" s="158"/>
      <c r="C492" s="158"/>
      <c r="D492" s="158"/>
      <c r="E492" s="158"/>
      <c r="F492" s="158"/>
      <c r="G492" s="158"/>
      <c r="H492" s="158"/>
      <c r="I492" s="158"/>
      <c r="J492" s="158"/>
      <c r="K492" s="158"/>
      <c r="L492" s="158"/>
      <c r="M492" s="158"/>
      <c r="N492" s="158"/>
      <c r="O492" s="158"/>
      <c r="P492" s="158"/>
      <c r="Q492" s="158"/>
      <c r="R492" s="158"/>
      <c r="S492" s="158"/>
      <c r="T492" s="158"/>
      <c r="U492" s="158"/>
      <c r="V492" s="158"/>
      <c r="W492" s="158"/>
      <c r="X492" s="158"/>
      <c r="Y492" s="158"/>
      <c r="Z492" s="158"/>
    </row>
    <row r="493" spans="1:26" ht="12" customHeight="1">
      <c r="A493" s="147"/>
      <c r="B493" s="158"/>
      <c r="C493" s="158"/>
      <c r="D493" s="158"/>
      <c r="E493" s="158"/>
      <c r="F493" s="158"/>
      <c r="G493" s="158"/>
      <c r="H493" s="158"/>
      <c r="I493" s="158"/>
      <c r="J493" s="158"/>
      <c r="K493" s="158"/>
      <c r="L493" s="158"/>
      <c r="M493" s="158"/>
      <c r="N493" s="158"/>
      <c r="O493" s="158"/>
      <c r="P493" s="158"/>
      <c r="Q493" s="158"/>
      <c r="R493" s="158"/>
      <c r="S493" s="158"/>
      <c r="T493" s="158"/>
      <c r="U493" s="158"/>
      <c r="V493" s="158"/>
      <c r="W493" s="158"/>
      <c r="X493" s="158"/>
      <c r="Y493" s="158"/>
      <c r="Z493" s="158"/>
    </row>
    <row r="494" spans="1:26" ht="12" customHeight="1">
      <c r="A494" s="147"/>
      <c r="B494" s="158"/>
      <c r="C494" s="158"/>
      <c r="D494" s="158"/>
      <c r="E494" s="158"/>
      <c r="F494" s="158"/>
      <c r="G494" s="158"/>
      <c r="H494" s="158"/>
      <c r="I494" s="158"/>
      <c r="J494" s="158"/>
      <c r="K494" s="158"/>
      <c r="L494" s="158"/>
      <c r="M494" s="158"/>
      <c r="N494" s="158"/>
      <c r="O494" s="158"/>
      <c r="P494" s="158"/>
      <c r="Q494" s="158"/>
      <c r="R494" s="158"/>
      <c r="S494" s="158"/>
      <c r="T494" s="158"/>
      <c r="U494" s="158"/>
      <c r="V494" s="158"/>
      <c r="W494" s="158"/>
      <c r="X494" s="158"/>
      <c r="Y494" s="158"/>
      <c r="Z494" s="158"/>
    </row>
    <row r="495" spans="1:26" ht="12" customHeight="1">
      <c r="A495" s="147"/>
      <c r="B495" s="158"/>
      <c r="C495" s="158"/>
      <c r="D495" s="158"/>
      <c r="E495" s="158"/>
      <c r="F495" s="158"/>
      <c r="G495" s="158"/>
      <c r="H495" s="158"/>
      <c r="I495" s="158"/>
      <c r="J495" s="158"/>
      <c r="K495" s="158"/>
      <c r="L495" s="158"/>
      <c r="M495" s="158"/>
      <c r="N495" s="158"/>
      <c r="O495" s="158"/>
      <c r="P495" s="158"/>
      <c r="Q495" s="158"/>
      <c r="R495" s="158"/>
      <c r="S495" s="158"/>
      <c r="T495" s="158"/>
      <c r="U495" s="158"/>
      <c r="V495" s="158"/>
      <c r="W495" s="158"/>
      <c r="X495" s="158"/>
      <c r="Y495" s="158"/>
      <c r="Z495" s="158"/>
    </row>
    <row r="496" spans="1:26" ht="12" customHeight="1">
      <c r="A496" s="147"/>
      <c r="B496" s="158"/>
      <c r="C496" s="158"/>
      <c r="D496" s="158"/>
      <c r="E496" s="158"/>
      <c r="F496" s="158"/>
      <c r="G496" s="158"/>
      <c r="H496" s="158"/>
      <c r="I496" s="158"/>
      <c r="J496" s="158"/>
      <c r="K496" s="158"/>
      <c r="L496" s="158"/>
      <c r="M496" s="158"/>
      <c r="N496" s="158"/>
      <c r="O496" s="158"/>
      <c r="P496" s="158"/>
      <c r="Q496" s="158"/>
      <c r="R496" s="158"/>
      <c r="S496" s="158"/>
      <c r="T496" s="158"/>
      <c r="U496" s="158"/>
      <c r="V496" s="158"/>
      <c r="W496" s="158"/>
      <c r="X496" s="158"/>
      <c r="Y496" s="158"/>
      <c r="Z496" s="158"/>
    </row>
    <row r="497" spans="1:26" ht="12" customHeight="1">
      <c r="A497" s="147"/>
      <c r="B497" s="158"/>
      <c r="C497" s="158"/>
      <c r="D497" s="158"/>
      <c r="E497" s="158"/>
      <c r="F497" s="158"/>
      <c r="G497" s="158"/>
      <c r="H497" s="158"/>
      <c r="I497" s="158"/>
      <c r="J497" s="158"/>
      <c r="K497" s="158"/>
      <c r="L497" s="158"/>
      <c r="M497" s="158"/>
      <c r="N497" s="158"/>
      <c r="O497" s="158"/>
      <c r="P497" s="158"/>
      <c r="Q497" s="158"/>
      <c r="R497" s="158"/>
      <c r="S497" s="158"/>
      <c r="T497" s="158"/>
      <c r="U497" s="158"/>
      <c r="V497" s="158"/>
      <c r="W497" s="158"/>
      <c r="X497" s="158"/>
      <c r="Y497" s="158"/>
      <c r="Z497" s="158"/>
    </row>
    <row r="498" spans="1:26" ht="12" customHeight="1">
      <c r="A498" s="147"/>
      <c r="B498" s="158"/>
      <c r="C498" s="158"/>
      <c r="D498" s="158"/>
      <c r="E498" s="158"/>
      <c r="F498" s="158"/>
      <c r="G498" s="158"/>
      <c r="H498" s="158"/>
      <c r="I498" s="158"/>
      <c r="J498" s="158"/>
      <c r="K498" s="158"/>
      <c r="L498" s="158"/>
      <c r="M498" s="158"/>
      <c r="N498" s="158"/>
      <c r="O498" s="158"/>
      <c r="P498" s="158"/>
      <c r="Q498" s="158"/>
      <c r="R498" s="158"/>
      <c r="S498" s="158"/>
      <c r="T498" s="158"/>
      <c r="U498" s="158"/>
      <c r="V498" s="158"/>
      <c r="W498" s="158"/>
      <c r="X498" s="158"/>
      <c r="Y498" s="158"/>
      <c r="Z498" s="158"/>
    </row>
    <row r="499" spans="1:26" ht="12" customHeight="1">
      <c r="A499" s="147"/>
      <c r="B499" s="158"/>
      <c r="C499" s="158"/>
      <c r="D499" s="158"/>
      <c r="E499" s="158"/>
      <c r="F499" s="158"/>
      <c r="G499" s="158"/>
      <c r="H499" s="158"/>
      <c r="I499" s="158"/>
      <c r="J499" s="158"/>
      <c r="K499" s="158"/>
      <c r="L499" s="158"/>
      <c r="M499" s="158"/>
      <c r="N499" s="158"/>
      <c r="O499" s="158"/>
      <c r="P499" s="158"/>
      <c r="Q499" s="158"/>
      <c r="R499" s="158"/>
      <c r="S499" s="158"/>
      <c r="T499" s="158"/>
      <c r="U499" s="158"/>
      <c r="V499" s="158"/>
      <c r="W499" s="158"/>
      <c r="X499" s="158"/>
      <c r="Y499" s="158"/>
      <c r="Z499" s="158"/>
    </row>
    <row r="500" spans="1:26" ht="12" customHeight="1">
      <c r="A500" s="147"/>
      <c r="B500" s="158"/>
      <c r="C500" s="158"/>
      <c r="D500" s="158"/>
      <c r="E500" s="158"/>
      <c r="F500" s="158"/>
      <c r="G500" s="158"/>
      <c r="H500" s="158"/>
      <c r="I500" s="158"/>
      <c r="J500" s="158"/>
      <c r="K500" s="158"/>
      <c r="L500" s="158"/>
      <c r="M500" s="158"/>
      <c r="N500" s="158"/>
      <c r="O500" s="158"/>
      <c r="P500" s="158"/>
      <c r="Q500" s="158"/>
      <c r="R500" s="158"/>
      <c r="S500" s="158"/>
      <c r="T500" s="158"/>
      <c r="U500" s="158"/>
      <c r="V500" s="158"/>
      <c r="W500" s="158"/>
      <c r="X500" s="158"/>
      <c r="Y500" s="158"/>
      <c r="Z500" s="158"/>
    </row>
    <row r="501" spans="1:26" ht="12" customHeight="1">
      <c r="A501" s="147"/>
      <c r="B501" s="158"/>
      <c r="C501" s="158"/>
      <c r="D501" s="158"/>
      <c r="E501" s="158"/>
      <c r="F501" s="158"/>
      <c r="G501" s="158"/>
      <c r="H501" s="158"/>
      <c r="I501" s="158"/>
      <c r="J501" s="158"/>
      <c r="K501" s="158"/>
      <c r="L501" s="158"/>
      <c r="M501" s="158"/>
      <c r="N501" s="158"/>
      <c r="O501" s="158"/>
      <c r="P501" s="158"/>
      <c r="Q501" s="158"/>
      <c r="R501" s="158"/>
      <c r="S501" s="158"/>
      <c r="T501" s="158"/>
      <c r="U501" s="158"/>
      <c r="V501" s="158"/>
      <c r="W501" s="158"/>
      <c r="X501" s="158"/>
      <c r="Y501" s="158"/>
      <c r="Z501" s="158"/>
    </row>
    <row r="502" spans="1:26" ht="12" customHeight="1">
      <c r="A502" s="147"/>
      <c r="B502" s="158"/>
      <c r="C502" s="158"/>
      <c r="D502" s="158"/>
      <c r="E502" s="158"/>
      <c r="F502" s="158"/>
      <c r="G502" s="158"/>
      <c r="H502" s="158"/>
      <c r="I502" s="158"/>
      <c r="J502" s="158"/>
      <c r="K502" s="158"/>
      <c r="L502" s="158"/>
      <c r="M502" s="158"/>
      <c r="N502" s="158"/>
      <c r="O502" s="158"/>
      <c r="P502" s="158"/>
      <c r="Q502" s="158"/>
      <c r="R502" s="158"/>
      <c r="S502" s="158"/>
      <c r="T502" s="158"/>
      <c r="U502" s="158"/>
      <c r="V502" s="158"/>
      <c r="W502" s="158"/>
      <c r="X502" s="158"/>
      <c r="Y502" s="158"/>
      <c r="Z502" s="158"/>
    </row>
    <row r="503" spans="1:26" ht="12" customHeight="1">
      <c r="A503" s="147"/>
      <c r="B503" s="158"/>
      <c r="C503" s="158"/>
      <c r="D503" s="158"/>
      <c r="E503" s="158"/>
      <c r="F503" s="158"/>
      <c r="G503" s="158"/>
      <c r="H503" s="158"/>
      <c r="I503" s="158"/>
      <c r="J503" s="158"/>
      <c r="K503" s="158"/>
      <c r="L503" s="158"/>
      <c r="M503" s="158"/>
      <c r="N503" s="158"/>
      <c r="O503" s="158"/>
      <c r="P503" s="158"/>
      <c r="Q503" s="158"/>
      <c r="R503" s="158"/>
      <c r="S503" s="158"/>
      <c r="T503" s="158"/>
      <c r="U503" s="158"/>
      <c r="V503" s="158"/>
      <c r="W503" s="158"/>
      <c r="X503" s="158"/>
      <c r="Y503" s="158"/>
      <c r="Z503" s="158"/>
    </row>
    <row r="504" spans="1:26" ht="12" customHeight="1">
      <c r="A504" s="147"/>
      <c r="B504" s="158"/>
      <c r="C504" s="158"/>
      <c r="D504" s="158"/>
      <c r="E504" s="158"/>
      <c r="F504" s="158"/>
      <c r="G504" s="158"/>
      <c r="H504" s="158"/>
      <c r="I504" s="158"/>
      <c r="J504" s="158"/>
      <c r="K504" s="158"/>
      <c r="L504" s="158"/>
      <c r="M504" s="158"/>
      <c r="N504" s="158"/>
      <c r="O504" s="158"/>
      <c r="P504" s="158"/>
      <c r="Q504" s="158"/>
      <c r="R504" s="158"/>
      <c r="S504" s="158"/>
      <c r="T504" s="158"/>
      <c r="U504" s="158"/>
      <c r="V504" s="158"/>
      <c r="W504" s="158"/>
      <c r="X504" s="158"/>
      <c r="Y504" s="158"/>
      <c r="Z504" s="158"/>
    </row>
    <row r="505" spans="1:26" ht="12" customHeight="1">
      <c r="A505" s="147"/>
      <c r="B505" s="158"/>
      <c r="C505" s="158"/>
      <c r="D505" s="158"/>
      <c r="E505" s="158"/>
      <c r="F505" s="158"/>
      <c r="G505" s="158"/>
      <c r="H505" s="158"/>
      <c r="I505" s="158"/>
      <c r="J505" s="158"/>
      <c r="K505" s="158"/>
      <c r="L505" s="158"/>
      <c r="M505" s="158"/>
      <c r="N505" s="158"/>
      <c r="O505" s="158"/>
      <c r="P505" s="158"/>
      <c r="Q505" s="158"/>
      <c r="R505" s="158"/>
      <c r="S505" s="158"/>
      <c r="T505" s="158"/>
      <c r="U505" s="158"/>
      <c r="V505" s="158"/>
      <c r="W505" s="158"/>
      <c r="X505" s="158"/>
      <c r="Y505" s="158"/>
      <c r="Z505" s="158"/>
    </row>
    <row r="506" spans="1:26" ht="12" customHeight="1">
      <c r="A506" s="147"/>
      <c r="B506" s="158"/>
      <c r="C506" s="158"/>
      <c r="D506" s="158"/>
      <c r="E506" s="158"/>
      <c r="F506" s="158"/>
      <c r="G506" s="158"/>
      <c r="H506" s="158"/>
      <c r="I506" s="158"/>
      <c r="J506" s="158"/>
      <c r="K506" s="158"/>
      <c r="L506" s="158"/>
      <c r="M506" s="158"/>
      <c r="N506" s="158"/>
      <c r="O506" s="158"/>
      <c r="P506" s="158"/>
      <c r="Q506" s="158"/>
      <c r="R506" s="158"/>
      <c r="S506" s="158"/>
      <c r="T506" s="158"/>
      <c r="U506" s="158"/>
      <c r="V506" s="158"/>
      <c r="W506" s="158"/>
      <c r="X506" s="158"/>
      <c r="Y506" s="158"/>
      <c r="Z506" s="158"/>
    </row>
    <row r="507" spans="1:26" ht="12" customHeight="1">
      <c r="A507" s="147"/>
      <c r="B507" s="158"/>
      <c r="C507" s="158"/>
      <c r="D507" s="158"/>
      <c r="E507" s="158"/>
      <c r="F507" s="158"/>
      <c r="G507" s="158"/>
      <c r="H507" s="158"/>
      <c r="I507" s="158"/>
      <c r="J507" s="158"/>
      <c r="K507" s="158"/>
      <c r="L507" s="158"/>
      <c r="M507" s="158"/>
      <c r="N507" s="158"/>
      <c r="O507" s="158"/>
      <c r="P507" s="158"/>
      <c r="Q507" s="158"/>
      <c r="R507" s="158"/>
      <c r="S507" s="158"/>
      <c r="T507" s="158"/>
      <c r="U507" s="158"/>
      <c r="V507" s="158"/>
      <c r="W507" s="158"/>
      <c r="X507" s="158"/>
      <c r="Y507" s="158"/>
      <c r="Z507" s="158"/>
    </row>
    <row r="508" spans="1:26" ht="12" customHeight="1">
      <c r="A508" s="147"/>
      <c r="B508" s="158"/>
      <c r="C508" s="158"/>
      <c r="D508" s="158"/>
      <c r="E508" s="158"/>
      <c r="F508" s="158"/>
      <c r="G508" s="158"/>
      <c r="H508" s="158"/>
      <c r="I508" s="158"/>
      <c r="J508" s="158"/>
      <c r="K508" s="158"/>
      <c r="L508" s="158"/>
      <c r="M508" s="158"/>
      <c r="N508" s="158"/>
      <c r="O508" s="158"/>
      <c r="P508" s="158"/>
      <c r="Q508" s="158"/>
      <c r="R508" s="158"/>
      <c r="S508" s="158"/>
      <c r="T508" s="158"/>
      <c r="U508" s="158"/>
      <c r="V508" s="158"/>
      <c r="W508" s="158"/>
      <c r="X508" s="158"/>
      <c r="Y508" s="158"/>
      <c r="Z508" s="158"/>
    </row>
    <row r="509" spans="1:26" ht="12" customHeight="1">
      <c r="A509" s="147"/>
      <c r="B509" s="158"/>
      <c r="C509" s="158"/>
      <c r="D509" s="158"/>
      <c r="E509" s="158"/>
      <c r="F509" s="158"/>
      <c r="G509" s="158"/>
      <c r="H509" s="158"/>
      <c r="I509" s="158"/>
      <c r="J509" s="158"/>
      <c r="K509" s="158"/>
      <c r="L509" s="158"/>
      <c r="M509" s="158"/>
      <c r="N509" s="158"/>
      <c r="O509" s="158"/>
      <c r="P509" s="158"/>
      <c r="Q509" s="158"/>
      <c r="R509" s="158"/>
      <c r="S509" s="158"/>
      <c r="T509" s="158"/>
      <c r="U509" s="158"/>
      <c r="V509" s="158"/>
      <c r="W509" s="158"/>
      <c r="X509" s="158"/>
      <c r="Y509" s="158"/>
      <c r="Z509" s="158"/>
    </row>
    <row r="510" spans="1:26" ht="12" customHeight="1">
      <c r="A510" s="147"/>
      <c r="B510" s="158"/>
      <c r="C510" s="158"/>
      <c r="D510" s="158"/>
      <c r="E510" s="158"/>
      <c r="F510" s="158"/>
      <c r="G510" s="158"/>
      <c r="H510" s="158"/>
      <c r="I510" s="158"/>
      <c r="J510" s="158"/>
      <c r="K510" s="158"/>
      <c r="L510" s="158"/>
      <c r="M510" s="158"/>
      <c r="N510" s="158"/>
      <c r="O510" s="158"/>
      <c r="P510" s="158"/>
      <c r="Q510" s="158"/>
      <c r="R510" s="158"/>
      <c r="S510" s="158"/>
      <c r="T510" s="158"/>
      <c r="U510" s="158"/>
      <c r="V510" s="158"/>
      <c r="W510" s="158"/>
      <c r="X510" s="158"/>
      <c r="Y510" s="158"/>
      <c r="Z510" s="158"/>
    </row>
    <row r="511" spans="1:26" ht="12" customHeight="1">
      <c r="A511" s="147"/>
      <c r="B511" s="158"/>
      <c r="C511" s="158"/>
      <c r="D511" s="158"/>
      <c r="E511" s="158"/>
      <c r="F511" s="158"/>
      <c r="G511" s="158"/>
      <c r="H511" s="158"/>
      <c r="I511" s="158"/>
      <c r="J511" s="158"/>
      <c r="K511" s="158"/>
      <c r="L511" s="158"/>
      <c r="M511" s="158"/>
      <c r="N511" s="158"/>
      <c r="O511" s="158"/>
      <c r="P511" s="158"/>
      <c r="Q511" s="158"/>
      <c r="R511" s="158"/>
      <c r="S511" s="158"/>
      <c r="T511" s="158"/>
      <c r="U511" s="158"/>
      <c r="V511" s="158"/>
      <c r="W511" s="158"/>
      <c r="X511" s="158"/>
      <c r="Y511" s="158"/>
      <c r="Z511" s="158"/>
    </row>
    <row r="512" spans="1:26" ht="12" customHeight="1">
      <c r="A512" s="147"/>
      <c r="B512" s="158"/>
      <c r="C512" s="158"/>
      <c r="D512" s="158"/>
      <c r="E512" s="158"/>
      <c r="F512" s="158"/>
      <c r="G512" s="158"/>
      <c r="H512" s="158"/>
      <c r="I512" s="158"/>
      <c r="J512" s="158"/>
      <c r="K512" s="158"/>
      <c r="L512" s="158"/>
      <c r="M512" s="158"/>
      <c r="N512" s="158"/>
      <c r="O512" s="158"/>
      <c r="P512" s="158"/>
      <c r="Q512" s="158"/>
      <c r="R512" s="158"/>
      <c r="S512" s="158"/>
      <c r="T512" s="158"/>
      <c r="U512" s="158"/>
      <c r="V512" s="158"/>
      <c r="W512" s="158"/>
      <c r="X512" s="158"/>
      <c r="Y512" s="158"/>
      <c r="Z512" s="158"/>
    </row>
    <row r="513" spans="1:26" ht="12" customHeight="1">
      <c r="A513" s="147"/>
      <c r="B513" s="158"/>
      <c r="C513" s="158"/>
      <c r="D513" s="158"/>
      <c r="E513" s="158"/>
      <c r="F513" s="158"/>
      <c r="G513" s="158"/>
      <c r="H513" s="158"/>
      <c r="I513" s="158"/>
      <c r="J513" s="158"/>
      <c r="K513" s="158"/>
      <c r="L513" s="158"/>
      <c r="M513" s="158"/>
      <c r="N513" s="158"/>
      <c r="O513" s="158"/>
      <c r="P513" s="158"/>
      <c r="Q513" s="158"/>
      <c r="R513" s="158"/>
      <c r="S513" s="158"/>
      <c r="T513" s="158"/>
      <c r="U513" s="158"/>
      <c r="V513" s="158"/>
      <c r="W513" s="158"/>
      <c r="X513" s="158"/>
      <c r="Y513" s="158"/>
      <c r="Z513" s="158"/>
    </row>
    <row r="514" spans="1:26" ht="12" customHeight="1">
      <c r="A514" s="147"/>
      <c r="B514" s="158"/>
      <c r="C514" s="158"/>
      <c r="D514" s="158"/>
      <c r="E514" s="158"/>
      <c r="F514" s="158"/>
      <c r="G514" s="158"/>
      <c r="H514" s="158"/>
      <c r="I514" s="158"/>
      <c r="J514" s="158"/>
      <c r="K514" s="158"/>
      <c r="L514" s="158"/>
      <c r="M514" s="158"/>
      <c r="N514" s="158"/>
      <c r="O514" s="158"/>
      <c r="P514" s="158"/>
      <c r="Q514" s="158"/>
      <c r="R514" s="158"/>
      <c r="S514" s="158"/>
      <c r="T514" s="158"/>
      <c r="U514" s="158"/>
      <c r="V514" s="158"/>
      <c r="W514" s="158"/>
      <c r="X514" s="158"/>
      <c r="Y514" s="158"/>
      <c r="Z514" s="158"/>
    </row>
    <row r="515" spans="1:26" ht="12" customHeight="1">
      <c r="A515" s="147"/>
      <c r="B515" s="158"/>
      <c r="C515" s="158"/>
      <c r="D515" s="158"/>
      <c r="E515" s="158"/>
      <c r="F515" s="158"/>
      <c r="G515" s="158"/>
      <c r="H515" s="158"/>
      <c r="I515" s="158"/>
      <c r="J515" s="158"/>
      <c r="K515" s="158"/>
      <c r="L515" s="158"/>
      <c r="M515" s="158"/>
      <c r="N515" s="158"/>
      <c r="O515" s="158"/>
      <c r="P515" s="158"/>
      <c r="Q515" s="158"/>
      <c r="R515" s="158"/>
      <c r="S515" s="158"/>
      <c r="T515" s="158"/>
      <c r="U515" s="158"/>
      <c r="V515" s="158"/>
      <c r="W515" s="158"/>
      <c r="X515" s="158"/>
      <c r="Y515" s="158"/>
      <c r="Z515" s="158"/>
    </row>
    <row r="516" spans="1:26" ht="12" customHeight="1">
      <c r="A516" s="147"/>
      <c r="B516" s="158"/>
      <c r="C516" s="158"/>
      <c r="D516" s="158"/>
      <c r="E516" s="158"/>
      <c r="F516" s="158"/>
      <c r="G516" s="158"/>
      <c r="H516" s="158"/>
      <c r="I516" s="158"/>
      <c r="J516" s="158"/>
      <c r="K516" s="158"/>
      <c r="L516" s="158"/>
      <c r="M516" s="158"/>
      <c r="N516" s="158"/>
      <c r="O516" s="158"/>
      <c r="P516" s="158"/>
      <c r="Q516" s="158"/>
      <c r="R516" s="158"/>
      <c r="S516" s="158"/>
      <c r="T516" s="158"/>
      <c r="U516" s="158"/>
      <c r="V516" s="158"/>
      <c r="W516" s="158"/>
      <c r="X516" s="158"/>
      <c r="Y516" s="158"/>
      <c r="Z516" s="158"/>
    </row>
    <row r="517" spans="1:26" ht="12" customHeight="1">
      <c r="A517" s="147"/>
      <c r="B517" s="158"/>
      <c r="C517" s="158"/>
      <c r="D517" s="158"/>
      <c r="E517" s="158"/>
      <c r="F517" s="158"/>
      <c r="G517" s="158"/>
      <c r="H517" s="158"/>
      <c r="I517" s="158"/>
      <c r="J517" s="158"/>
      <c r="K517" s="158"/>
      <c r="L517" s="158"/>
      <c r="M517" s="158"/>
      <c r="N517" s="158"/>
      <c r="O517" s="158"/>
      <c r="P517" s="158"/>
      <c r="Q517" s="158"/>
      <c r="R517" s="158"/>
      <c r="S517" s="158"/>
      <c r="T517" s="158"/>
      <c r="U517" s="158"/>
      <c r="V517" s="158"/>
      <c r="W517" s="158"/>
      <c r="X517" s="158"/>
      <c r="Y517" s="158"/>
      <c r="Z517" s="158"/>
    </row>
    <row r="518" spans="1:26" ht="12" customHeight="1">
      <c r="A518" s="147"/>
      <c r="B518" s="158"/>
      <c r="C518" s="158"/>
      <c r="D518" s="158"/>
      <c r="E518" s="158"/>
      <c r="F518" s="158"/>
      <c r="G518" s="158"/>
      <c r="H518" s="158"/>
      <c r="I518" s="158"/>
      <c r="J518" s="158"/>
      <c r="K518" s="158"/>
      <c r="L518" s="158"/>
      <c r="M518" s="158"/>
      <c r="N518" s="158"/>
      <c r="O518" s="158"/>
      <c r="P518" s="158"/>
      <c r="Q518" s="158"/>
      <c r="R518" s="158"/>
      <c r="S518" s="158"/>
      <c r="T518" s="158"/>
      <c r="U518" s="158"/>
      <c r="V518" s="158"/>
      <c r="W518" s="158"/>
      <c r="X518" s="158"/>
      <c r="Y518" s="158"/>
      <c r="Z518" s="158"/>
    </row>
    <row r="519" spans="1:26" ht="12" customHeight="1">
      <c r="A519" s="147"/>
      <c r="B519" s="158"/>
      <c r="C519" s="158"/>
      <c r="D519" s="158"/>
      <c r="E519" s="158"/>
      <c r="F519" s="158"/>
      <c r="G519" s="158"/>
      <c r="H519" s="158"/>
      <c r="I519" s="158"/>
      <c r="J519" s="158"/>
      <c r="K519" s="158"/>
      <c r="L519" s="158"/>
      <c r="M519" s="158"/>
      <c r="N519" s="158"/>
      <c r="O519" s="158"/>
      <c r="P519" s="158"/>
      <c r="Q519" s="158"/>
      <c r="R519" s="158"/>
      <c r="S519" s="158"/>
      <c r="T519" s="158"/>
      <c r="U519" s="158"/>
      <c r="V519" s="158"/>
      <c r="W519" s="158"/>
      <c r="X519" s="158"/>
      <c r="Y519" s="158"/>
      <c r="Z519" s="158"/>
    </row>
    <row r="520" spans="1:26" ht="12" customHeight="1">
      <c r="A520" s="147"/>
      <c r="B520" s="158"/>
      <c r="C520" s="158"/>
      <c r="D520" s="158"/>
      <c r="E520" s="158"/>
      <c r="F520" s="158"/>
      <c r="G520" s="158"/>
      <c r="H520" s="158"/>
      <c r="I520" s="158"/>
      <c r="J520" s="158"/>
      <c r="K520" s="158"/>
      <c r="L520" s="158"/>
      <c r="M520" s="158"/>
      <c r="N520" s="158"/>
      <c r="O520" s="158"/>
      <c r="P520" s="158"/>
      <c r="Q520" s="158"/>
      <c r="R520" s="158"/>
      <c r="S520" s="158"/>
      <c r="T520" s="158"/>
      <c r="U520" s="158"/>
      <c r="V520" s="158"/>
      <c r="W520" s="158"/>
      <c r="X520" s="158"/>
      <c r="Y520" s="158"/>
      <c r="Z520" s="158"/>
    </row>
    <row r="521" spans="1:26" ht="12" customHeight="1">
      <c r="A521" s="147"/>
      <c r="B521" s="158"/>
      <c r="C521" s="158"/>
      <c r="D521" s="158"/>
      <c r="E521" s="158"/>
      <c r="F521" s="158"/>
      <c r="G521" s="158"/>
      <c r="H521" s="158"/>
      <c r="I521" s="158"/>
      <c r="J521" s="158"/>
      <c r="K521" s="158"/>
      <c r="L521" s="158"/>
      <c r="M521" s="158"/>
      <c r="N521" s="158"/>
      <c r="O521" s="158"/>
      <c r="P521" s="158"/>
      <c r="Q521" s="158"/>
      <c r="R521" s="158"/>
      <c r="S521" s="158"/>
      <c r="T521" s="158"/>
      <c r="U521" s="158"/>
      <c r="V521" s="158"/>
      <c r="W521" s="158"/>
      <c r="X521" s="158"/>
      <c r="Y521" s="158"/>
      <c r="Z521" s="158"/>
    </row>
    <row r="522" spans="1:26" ht="12" customHeight="1">
      <c r="A522" s="147"/>
      <c r="B522" s="158"/>
      <c r="C522" s="158"/>
      <c r="D522" s="158"/>
      <c r="E522" s="158"/>
      <c r="F522" s="158"/>
      <c r="G522" s="158"/>
      <c r="H522" s="158"/>
      <c r="I522" s="158"/>
      <c r="J522" s="158"/>
      <c r="K522" s="158"/>
      <c r="L522" s="158"/>
      <c r="M522" s="158"/>
      <c r="N522" s="158"/>
      <c r="O522" s="158"/>
      <c r="P522" s="158"/>
      <c r="Q522" s="158"/>
      <c r="R522" s="158"/>
      <c r="S522" s="158"/>
      <c r="T522" s="158"/>
      <c r="U522" s="158"/>
      <c r="V522" s="158"/>
      <c r="W522" s="158"/>
      <c r="X522" s="158"/>
      <c r="Y522" s="158"/>
      <c r="Z522" s="158"/>
    </row>
    <row r="523" spans="1:26" ht="12" customHeight="1">
      <c r="A523" s="147"/>
      <c r="B523" s="158"/>
      <c r="C523" s="158"/>
      <c r="D523" s="158"/>
      <c r="E523" s="158"/>
      <c r="F523" s="158"/>
      <c r="G523" s="158"/>
      <c r="H523" s="158"/>
      <c r="I523" s="158"/>
      <c r="J523" s="158"/>
      <c r="K523" s="158"/>
      <c r="L523" s="158"/>
      <c r="M523" s="158"/>
      <c r="N523" s="158"/>
      <c r="O523" s="158"/>
      <c r="P523" s="158"/>
      <c r="Q523" s="158"/>
      <c r="R523" s="158"/>
      <c r="S523" s="158"/>
      <c r="T523" s="158"/>
      <c r="U523" s="158"/>
      <c r="V523" s="158"/>
      <c r="W523" s="158"/>
      <c r="X523" s="158"/>
      <c r="Y523" s="158"/>
      <c r="Z523" s="158"/>
    </row>
    <row r="524" spans="1:26" ht="12" customHeight="1">
      <c r="A524" s="147"/>
      <c r="B524" s="158"/>
      <c r="C524" s="158"/>
      <c r="D524" s="158"/>
      <c r="E524" s="158"/>
      <c r="F524" s="158"/>
      <c r="G524" s="158"/>
      <c r="H524" s="158"/>
      <c r="I524" s="158"/>
      <c r="J524" s="158"/>
      <c r="K524" s="158"/>
      <c r="L524" s="158"/>
      <c r="M524" s="158"/>
      <c r="N524" s="158"/>
      <c r="O524" s="158"/>
      <c r="P524" s="158"/>
      <c r="Q524" s="158"/>
      <c r="R524" s="158"/>
      <c r="S524" s="158"/>
      <c r="T524" s="158"/>
      <c r="U524" s="158"/>
      <c r="V524" s="158"/>
      <c r="W524" s="158"/>
      <c r="X524" s="158"/>
      <c r="Y524" s="158"/>
      <c r="Z524" s="158"/>
    </row>
    <row r="525" spans="1:26" ht="12" customHeight="1">
      <c r="A525" s="147"/>
      <c r="B525" s="158"/>
      <c r="C525" s="158"/>
      <c r="D525" s="158"/>
      <c r="E525" s="158"/>
      <c r="F525" s="158"/>
      <c r="G525" s="158"/>
      <c r="H525" s="158"/>
      <c r="I525" s="158"/>
      <c r="J525" s="158"/>
      <c r="K525" s="158"/>
      <c r="L525" s="158"/>
      <c r="M525" s="158"/>
      <c r="N525" s="158"/>
      <c r="O525" s="158"/>
      <c r="P525" s="158"/>
      <c r="Q525" s="158"/>
      <c r="R525" s="158"/>
      <c r="S525" s="158"/>
      <c r="T525" s="158"/>
      <c r="U525" s="158"/>
      <c r="V525" s="158"/>
      <c r="W525" s="158"/>
      <c r="X525" s="158"/>
      <c r="Y525" s="158"/>
      <c r="Z525" s="158"/>
    </row>
    <row r="526" spans="1:26" ht="12" customHeight="1">
      <c r="A526" s="147"/>
      <c r="B526" s="158"/>
      <c r="C526" s="158"/>
      <c r="D526" s="158"/>
      <c r="E526" s="158"/>
      <c r="F526" s="158"/>
      <c r="G526" s="158"/>
      <c r="H526" s="158"/>
      <c r="I526" s="158"/>
      <c r="J526" s="158"/>
      <c r="K526" s="158"/>
      <c r="L526" s="158"/>
      <c r="M526" s="158"/>
      <c r="N526" s="158"/>
      <c r="O526" s="158"/>
      <c r="P526" s="158"/>
      <c r="Q526" s="158"/>
      <c r="R526" s="158"/>
      <c r="S526" s="158"/>
      <c r="T526" s="158"/>
      <c r="U526" s="158"/>
      <c r="V526" s="158"/>
      <c r="W526" s="158"/>
      <c r="X526" s="158"/>
      <c r="Y526" s="158"/>
      <c r="Z526" s="158"/>
    </row>
    <row r="527" spans="1:26" ht="12" customHeight="1">
      <c r="A527" s="147"/>
      <c r="B527" s="158"/>
      <c r="C527" s="158"/>
      <c r="D527" s="158"/>
      <c r="E527" s="158"/>
      <c r="F527" s="158"/>
      <c r="G527" s="158"/>
      <c r="H527" s="158"/>
      <c r="I527" s="158"/>
      <c r="J527" s="158"/>
      <c r="K527" s="158"/>
      <c r="L527" s="158"/>
      <c r="M527" s="158"/>
      <c r="N527" s="158"/>
      <c r="O527" s="158"/>
      <c r="P527" s="158"/>
      <c r="Q527" s="158"/>
      <c r="R527" s="158"/>
      <c r="S527" s="158"/>
      <c r="T527" s="158"/>
      <c r="U527" s="158"/>
      <c r="V527" s="158"/>
      <c r="W527" s="158"/>
      <c r="X527" s="158"/>
      <c r="Y527" s="158"/>
      <c r="Z527" s="158"/>
    </row>
    <row r="528" spans="1:26" ht="12" customHeight="1">
      <c r="A528" s="147"/>
      <c r="B528" s="158"/>
      <c r="C528" s="158"/>
      <c r="D528" s="158"/>
      <c r="E528" s="158"/>
      <c r="F528" s="158"/>
      <c r="G528" s="158"/>
      <c r="H528" s="158"/>
      <c r="I528" s="158"/>
      <c r="J528" s="158"/>
      <c r="K528" s="158"/>
      <c r="L528" s="158"/>
      <c r="M528" s="158"/>
      <c r="N528" s="158"/>
      <c r="O528" s="158"/>
      <c r="P528" s="158"/>
      <c r="Q528" s="158"/>
      <c r="R528" s="158"/>
      <c r="S528" s="158"/>
      <c r="T528" s="158"/>
      <c r="U528" s="158"/>
      <c r="V528" s="158"/>
      <c r="W528" s="158"/>
      <c r="X528" s="158"/>
      <c r="Y528" s="158"/>
      <c r="Z528" s="158"/>
    </row>
    <row r="529" spans="1:26" ht="12" customHeight="1">
      <c r="A529" s="147"/>
      <c r="B529" s="158"/>
      <c r="C529" s="158"/>
      <c r="D529" s="158"/>
      <c r="E529" s="158"/>
      <c r="F529" s="158"/>
      <c r="G529" s="158"/>
      <c r="H529" s="158"/>
      <c r="I529" s="158"/>
      <c r="J529" s="158"/>
      <c r="K529" s="158"/>
      <c r="L529" s="158"/>
      <c r="M529" s="158"/>
      <c r="N529" s="158"/>
      <c r="O529" s="158"/>
      <c r="P529" s="158"/>
      <c r="Q529" s="158"/>
      <c r="R529" s="158"/>
      <c r="S529" s="158"/>
      <c r="T529" s="158"/>
      <c r="U529" s="158"/>
      <c r="V529" s="158"/>
      <c r="W529" s="158"/>
      <c r="X529" s="158"/>
      <c r="Y529" s="158"/>
      <c r="Z529" s="158"/>
    </row>
    <row r="530" spans="1:26" ht="12" customHeight="1">
      <c r="A530" s="147"/>
      <c r="B530" s="158"/>
      <c r="C530" s="158"/>
      <c r="D530" s="158"/>
      <c r="E530" s="158"/>
      <c r="F530" s="158"/>
      <c r="G530" s="158"/>
      <c r="H530" s="158"/>
      <c r="I530" s="158"/>
      <c r="J530" s="158"/>
      <c r="K530" s="158"/>
      <c r="L530" s="158"/>
      <c r="M530" s="158"/>
      <c r="N530" s="158"/>
      <c r="O530" s="158"/>
      <c r="P530" s="158"/>
      <c r="Q530" s="158"/>
      <c r="R530" s="158"/>
      <c r="S530" s="158"/>
      <c r="T530" s="158"/>
      <c r="U530" s="158"/>
      <c r="V530" s="158"/>
      <c r="W530" s="158"/>
      <c r="X530" s="158"/>
      <c r="Y530" s="158"/>
      <c r="Z530" s="158"/>
    </row>
    <row r="531" spans="1:26" ht="12" customHeight="1">
      <c r="A531" s="147"/>
      <c r="B531" s="158"/>
      <c r="C531" s="158"/>
      <c r="D531" s="158"/>
      <c r="E531" s="158"/>
      <c r="F531" s="158"/>
      <c r="G531" s="158"/>
      <c r="H531" s="158"/>
      <c r="I531" s="158"/>
      <c r="J531" s="158"/>
      <c r="K531" s="158"/>
      <c r="L531" s="158"/>
      <c r="M531" s="158"/>
      <c r="N531" s="158"/>
      <c r="O531" s="158"/>
      <c r="P531" s="158"/>
      <c r="Q531" s="158"/>
      <c r="R531" s="158"/>
      <c r="S531" s="158"/>
      <c r="T531" s="158"/>
      <c r="U531" s="158"/>
      <c r="V531" s="158"/>
      <c r="W531" s="158"/>
      <c r="X531" s="158"/>
      <c r="Y531" s="158"/>
      <c r="Z531" s="158"/>
    </row>
    <row r="532" spans="1:26" ht="12" customHeight="1">
      <c r="A532" s="147"/>
      <c r="B532" s="158"/>
      <c r="C532" s="158"/>
      <c r="D532" s="158"/>
      <c r="E532" s="158"/>
      <c r="F532" s="158"/>
      <c r="G532" s="158"/>
      <c r="H532" s="158"/>
      <c r="I532" s="158"/>
      <c r="J532" s="158"/>
      <c r="K532" s="158"/>
      <c r="L532" s="158"/>
      <c r="M532" s="158"/>
      <c r="N532" s="158"/>
      <c r="O532" s="158"/>
      <c r="P532" s="158"/>
      <c r="Q532" s="158"/>
      <c r="R532" s="158"/>
      <c r="S532" s="158"/>
      <c r="T532" s="158"/>
      <c r="U532" s="158"/>
      <c r="V532" s="158"/>
      <c r="W532" s="158"/>
      <c r="X532" s="158"/>
      <c r="Y532" s="158"/>
      <c r="Z532" s="158"/>
    </row>
    <row r="533" spans="1:26" ht="12" customHeight="1">
      <c r="A533" s="147"/>
      <c r="B533" s="158"/>
      <c r="C533" s="158"/>
      <c r="D533" s="158"/>
      <c r="E533" s="158"/>
      <c r="F533" s="158"/>
      <c r="G533" s="158"/>
      <c r="H533" s="158"/>
      <c r="I533" s="158"/>
      <c r="J533" s="158"/>
      <c r="K533" s="158"/>
      <c r="L533" s="158"/>
      <c r="M533" s="158"/>
      <c r="N533" s="158"/>
      <c r="O533" s="158"/>
      <c r="P533" s="158"/>
      <c r="Q533" s="158"/>
      <c r="R533" s="158"/>
      <c r="S533" s="158"/>
      <c r="T533" s="158"/>
      <c r="U533" s="158"/>
      <c r="V533" s="158"/>
      <c r="W533" s="158"/>
      <c r="X533" s="158"/>
      <c r="Y533" s="158"/>
      <c r="Z533" s="158"/>
    </row>
    <row r="534" spans="1:26" ht="12" customHeight="1">
      <c r="A534" s="147"/>
      <c r="B534" s="158"/>
      <c r="C534" s="158"/>
      <c r="D534" s="158"/>
      <c r="E534" s="158"/>
      <c r="F534" s="158"/>
      <c r="G534" s="158"/>
      <c r="H534" s="158"/>
      <c r="I534" s="158"/>
      <c r="J534" s="158"/>
      <c r="K534" s="158"/>
      <c r="L534" s="158"/>
      <c r="M534" s="158"/>
      <c r="N534" s="158"/>
      <c r="O534" s="158"/>
      <c r="P534" s="158"/>
      <c r="Q534" s="158"/>
      <c r="R534" s="158"/>
      <c r="S534" s="158"/>
      <c r="T534" s="158"/>
      <c r="U534" s="158"/>
      <c r="V534" s="158"/>
      <c r="W534" s="158"/>
      <c r="X534" s="158"/>
      <c r="Y534" s="158"/>
      <c r="Z534" s="158"/>
    </row>
    <row r="535" spans="1:26" ht="12" customHeight="1">
      <c r="A535" s="147"/>
      <c r="B535" s="158"/>
      <c r="C535" s="158"/>
      <c r="D535" s="158"/>
      <c r="E535" s="158"/>
      <c r="F535" s="158"/>
      <c r="G535" s="158"/>
      <c r="H535" s="158"/>
      <c r="I535" s="158"/>
      <c r="J535" s="158"/>
      <c r="K535" s="158"/>
      <c r="L535" s="158"/>
      <c r="M535" s="158"/>
      <c r="N535" s="158"/>
      <c r="O535" s="158"/>
      <c r="P535" s="158"/>
      <c r="Q535" s="158"/>
      <c r="R535" s="158"/>
      <c r="S535" s="158"/>
      <c r="T535" s="158"/>
      <c r="U535" s="158"/>
      <c r="V535" s="158"/>
      <c r="W535" s="158"/>
      <c r="X535" s="158"/>
      <c r="Y535" s="158"/>
      <c r="Z535" s="158"/>
    </row>
    <row r="536" spans="1:26" ht="12" customHeight="1">
      <c r="A536" s="147"/>
      <c r="B536" s="158"/>
      <c r="C536" s="158"/>
      <c r="D536" s="158"/>
      <c r="E536" s="158"/>
      <c r="F536" s="158"/>
      <c r="G536" s="158"/>
      <c r="H536" s="158"/>
      <c r="I536" s="158"/>
      <c r="J536" s="158"/>
      <c r="K536" s="158"/>
      <c r="L536" s="158"/>
      <c r="M536" s="158"/>
      <c r="N536" s="158"/>
      <c r="O536" s="158"/>
      <c r="P536" s="158"/>
      <c r="Q536" s="158"/>
      <c r="R536" s="158"/>
      <c r="S536" s="158"/>
      <c r="T536" s="158"/>
      <c r="U536" s="158"/>
      <c r="V536" s="158"/>
      <c r="W536" s="158"/>
      <c r="X536" s="158"/>
      <c r="Y536" s="158"/>
      <c r="Z536" s="158"/>
    </row>
    <row r="537" spans="1:26" ht="12" customHeight="1">
      <c r="A537" s="147"/>
      <c r="B537" s="158"/>
      <c r="C537" s="158"/>
      <c r="D537" s="158"/>
      <c r="E537" s="158"/>
      <c r="F537" s="158"/>
      <c r="G537" s="158"/>
      <c r="H537" s="158"/>
      <c r="I537" s="158"/>
      <c r="J537" s="158"/>
      <c r="K537" s="158"/>
      <c r="L537" s="158"/>
      <c r="M537" s="158"/>
      <c r="N537" s="158"/>
      <c r="O537" s="158"/>
      <c r="P537" s="158"/>
      <c r="Q537" s="158"/>
      <c r="R537" s="158"/>
      <c r="S537" s="158"/>
      <c r="T537" s="158"/>
      <c r="U537" s="158"/>
      <c r="V537" s="158"/>
      <c r="W537" s="158"/>
      <c r="X537" s="158"/>
      <c r="Y537" s="158"/>
      <c r="Z537" s="158"/>
    </row>
    <row r="538" spans="1:26" ht="12" customHeight="1">
      <c r="A538" s="147"/>
      <c r="B538" s="158"/>
      <c r="C538" s="158"/>
      <c r="D538" s="158"/>
      <c r="E538" s="158"/>
      <c r="F538" s="158"/>
      <c r="G538" s="158"/>
      <c r="H538" s="158"/>
      <c r="I538" s="158"/>
      <c r="J538" s="158"/>
      <c r="K538" s="158"/>
      <c r="L538" s="158"/>
      <c r="M538" s="158"/>
      <c r="N538" s="158"/>
      <c r="O538" s="158"/>
      <c r="P538" s="158"/>
      <c r="Q538" s="158"/>
      <c r="R538" s="158"/>
      <c r="S538" s="158"/>
      <c r="T538" s="158"/>
      <c r="U538" s="158"/>
      <c r="V538" s="158"/>
      <c r="W538" s="158"/>
      <c r="X538" s="158"/>
      <c r="Y538" s="158"/>
      <c r="Z538" s="158"/>
    </row>
    <row r="539" spans="1:26" ht="12" customHeight="1">
      <c r="A539" s="147"/>
      <c r="B539" s="158"/>
      <c r="C539" s="158"/>
      <c r="D539" s="158"/>
      <c r="E539" s="158"/>
      <c r="F539" s="158"/>
      <c r="G539" s="158"/>
      <c r="H539" s="158"/>
      <c r="I539" s="158"/>
      <c r="J539" s="158"/>
      <c r="K539" s="158"/>
      <c r="L539" s="158"/>
      <c r="M539" s="158"/>
      <c r="N539" s="158"/>
      <c r="O539" s="158"/>
      <c r="P539" s="158"/>
      <c r="Q539" s="158"/>
      <c r="R539" s="158"/>
      <c r="S539" s="158"/>
      <c r="T539" s="158"/>
      <c r="U539" s="158"/>
      <c r="V539" s="158"/>
      <c r="W539" s="158"/>
      <c r="X539" s="158"/>
      <c r="Y539" s="158"/>
      <c r="Z539" s="158"/>
    </row>
    <row r="540" spans="1:26" ht="12" customHeight="1">
      <c r="A540" s="147"/>
      <c r="B540" s="158"/>
      <c r="C540" s="158"/>
      <c r="D540" s="158"/>
      <c r="E540" s="158"/>
      <c r="F540" s="158"/>
      <c r="G540" s="158"/>
      <c r="H540" s="158"/>
      <c r="I540" s="158"/>
      <c r="J540" s="158"/>
      <c r="K540" s="158"/>
      <c r="L540" s="158"/>
      <c r="M540" s="158"/>
      <c r="N540" s="158"/>
      <c r="O540" s="158"/>
      <c r="P540" s="158"/>
      <c r="Q540" s="158"/>
      <c r="R540" s="158"/>
      <c r="S540" s="158"/>
      <c r="T540" s="158"/>
      <c r="U540" s="158"/>
      <c r="V540" s="158"/>
      <c r="W540" s="158"/>
      <c r="X540" s="158"/>
      <c r="Y540" s="158"/>
      <c r="Z540" s="158"/>
    </row>
    <row r="541" spans="1:26" ht="12" customHeight="1">
      <c r="A541" s="147"/>
      <c r="B541" s="158"/>
      <c r="C541" s="158"/>
      <c r="D541" s="158"/>
      <c r="E541" s="158"/>
      <c r="F541" s="158"/>
      <c r="G541" s="158"/>
      <c r="H541" s="158"/>
      <c r="I541" s="158"/>
      <c r="J541" s="158"/>
      <c r="K541" s="158"/>
      <c r="L541" s="158"/>
      <c r="M541" s="158"/>
      <c r="N541" s="158"/>
      <c r="O541" s="158"/>
      <c r="P541" s="158"/>
      <c r="Q541" s="158"/>
      <c r="R541" s="158"/>
      <c r="S541" s="158"/>
      <c r="T541" s="158"/>
      <c r="U541" s="158"/>
      <c r="V541" s="158"/>
      <c r="W541" s="158"/>
      <c r="X541" s="158"/>
      <c r="Y541" s="158"/>
      <c r="Z541" s="158"/>
    </row>
    <row r="542" spans="1:26" ht="12" customHeight="1">
      <c r="A542" s="147"/>
      <c r="B542" s="158"/>
      <c r="C542" s="158"/>
      <c r="D542" s="158"/>
      <c r="E542" s="158"/>
      <c r="F542" s="158"/>
      <c r="G542" s="158"/>
      <c r="H542" s="158"/>
      <c r="I542" s="158"/>
      <c r="J542" s="158"/>
      <c r="K542" s="158"/>
      <c r="L542" s="158"/>
      <c r="M542" s="158"/>
      <c r="N542" s="158"/>
      <c r="O542" s="158"/>
      <c r="P542" s="158"/>
      <c r="Q542" s="158"/>
      <c r="R542" s="158"/>
      <c r="S542" s="158"/>
      <c r="T542" s="158"/>
      <c r="U542" s="158"/>
      <c r="V542" s="158"/>
      <c r="W542" s="158"/>
      <c r="X542" s="158"/>
      <c r="Y542" s="158"/>
      <c r="Z542" s="158"/>
    </row>
    <row r="543" spans="1:26" ht="12" customHeight="1">
      <c r="A543" s="147"/>
      <c r="B543" s="158"/>
      <c r="C543" s="158"/>
      <c r="D543" s="158"/>
      <c r="E543" s="158"/>
      <c r="F543" s="158"/>
      <c r="G543" s="158"/>
      <c r="H543" s="158"/>
      <c r="I543" s="158"/>
      <c r="J543" s="158"/>
      <c r="K543" s="158"/>
      <c r="L543" s="158"/>
      <c r="M543" s="158"/>
      <c r="N543" s="158"/>
      <c r="O543" s="158"/>
      <c r="P543" s="158"/>
      <c r="Q543" s="158"/>
      <c r="R543" s="158"/>
      <c r="S543" s="158"/>
      <c r="T543" s="158"/>
      <c r="U543" s="158"/>
      <c r="V543" s="158"/>
      <c r="W543" s="158"/>
      <c r="X543" s="158"/>
      <c r="Y543" s="158"/>
      <c r="Z543" s="158"/>
    </row>
    <row r="544" spans="1:26" ht="12" customHeight="1">
      <c r="A544" s="147"/>
      <c r="B544" s="158"/>
      <c r="C544" s="158"/>
      <c r="D544" s="158"/>
      <c r="E544" s="158"/>
      <c r="F544" s="158"/>
      <c r="G544" s="158"/>
      <c r="H544" s="158"/>
      <c r="I544" s="158"/>
      <c r="J544" s="158"/>
      <c r="K544" s="158"/>
      <c r="L544" s="158"/>
      <c r="M544" s="158"/>
      <c r="N544" s="158"/>
      <c r="O544" s="158"/>
      <c r="P544" s="158"/>
      <c r="Q544" s="158"/>
      <c r="R544" s="158"/>
      <c r="S544" s="158"/>
      <c r="T544" s="158"/>
      <c r="U544" s="158"/>
      <c r="V544" s="158"/>
      <c r="W544" s="158"/>
      <c r="X544" s="158"/>
      <c r="Y544" s="158"/>
      <c r="Z544" s="158"/>
    </row>
    <row r="545" spans="1:26" ht="12" customHeight="1">
      <c r="A545" s="147"/>
      <c r="B545" s="158"/>
      <c r="C545" s="158"/>
      <c r="D545" s="158"/>
      <c r="E545" s="158"/>
      <c r="F545" s="158"/>
      <c r="G545" s="158"/>
      <c r="H545" s="158"/>
      <c r="I545" s="158"/>
      <c r="J545" s="158"/>
      <c r="K545" s="158"/>
      <c r="L545" s="158"/>
      <c r="M545" s="158"/>
      <c r="N545" s="158"/>
      <c r="O545" s="158"/>
      <c r="P545" s="158"/>
      <c r="Q545" s="158"/>
      <c r="R545" s="158"/>
      <c r="S545" s="158"/>
      <c r="T545" s="158"/>
      <c r="U545" s="158"/>
      <c r="V545" s="158"/>
      <c r="W545" s="158"/>
      <c r="X545" s="158"/>
      <c r="Y545" s="158"/>
      <c r="Z545" s="158"/>
    </row>
    <row r="546" spans="1:26" ht="12" customHeight="1">
      <c r="A546" s="147"/>
      <c r="B546" s="158"/>
      <c r="C546" s="158"/>
      <c r="D546" s="158"/>
      <c r="E546" s="158"/>
      <c r="F546" s="158"/>
      <c r="G546" s="158"/>
      <c r="H546" s="158"/>
      <c r="I546" s="158"/>
      <c r="J546" s="158"/>
      <c r="K546" s="158"/>
      <c r="L546" s="158"/>
      <c r="M546" s="158"/>
      <c r="N546" s="158"/>
      <c r="O546" s="158"/>
      <c r="P546" s="158"/>
      <c r="Q546" s="158"/>
      <c r="R546" s="158"/>
      <c r="S546" s="158"/>
      <c r="T546" s="158"/>
      <c r="U546" s="158"/>
      <c r="V546" s="158"/>
      <c r="W546" s="158"/>
      <c r="X546" s="158"/>
      <c r="Y546" s="158"/>
      <c r="Z546" s="158"/>
    </row>
    <row r="547" spans="1:26" ht="12" customHeight="1">
      <c r="A547" s="147"/>
      <c r="B547" s="158"/>
      <c r="C547" s="158"/>
      <c r="D547" s="158"/>
      <c r="E547" s="158"/>
      <c r="F547" s="158"/>
      <c r="G547" s="158"/>
      <c r="H547" s="158"/>
      <c r="I547" s="158"/>
      <c r="J547" s="158"/>
      <c r="K547" s="158"/>
      <c r="L547" s="158"/>
      <c r="M547" s="158"/>
      <c r="N547" s="158"/>
      <c r="O547" s="158"/>
      <c r="P547" s="158"/>
      <c r="Q547" s="158"/>
      <c r="R547" s="158"/>
      <c r="S547" s="158"/>
      <c r="T547" s="158"/>
      <c r="U547" s="158"/>
      <c r="V547" s="158"/>
      <c r="W547" s="158"/>
      <c r="X547" s="158"/>
      <c r="Y547" s="158"/>
      <c r="Z547" s="158"/>
    </row>
    <row r="548" spans="1:26" ht="12" customHeight="1">
      <c r="A548" s="147"/>
      <c r="B548" s="158"/>
      <c r="C548" s="158"/>
      <c r="D548" s="158"/>
      <c r="E548" s="158"/>
      <c r="F548" s="158"/>
      <c r="G548" s="158"/>
      <c r="H548" s="158"/>
      <c r="I548" s="158"/>
      <c r="J548" s="158"/>
      <c r="K548" s="158"/>
      <c r="L548" s="158"/>
      <c r="M548" s="158"/>
      <c r="N548" s="158"/>
      <c r="O548" s="158"/>
      <c r="P548" s="158"/>
      <c r="Q548" s="158"/>
      <c r="R548" s="158"/>
      <c r="S548" s="158"/>
      <c r="T548" s="158"/>
      <c r="U548" s="158"/>
      <c r="V548" s="158"/>
      <c r="W548" s="158"/>
      <c r="X548" s="158"/>
      <c r="Y548" s="158"/>
      <c r="Z548" s="158"/>
    </row>
    <row r="549" spans="1:26" ht="12" customHeight="1">
      <c r="A549" s="147"/>
      <c r="B549" s="158"/>
      <c r="C549" s="158"/>
      <c r="D549" s="158"/>
      <c r="E549" s="158"/>
      <c r="F549" s="158"/>
      <c r="G549" s="158"/>
      <c r="H549" s="158"/>
      <c r="I549" s="158"/>
      <c r="J549" s="158"/>
      <c r="K549" s="158"/>
      <c r="L549" s="158"/>
      <c r="M549" s="158"/>
      <c r="N549" s="158"/>
      <c r="O549" s="158"/>
      <c r="P549" s="158"/>
      <c r="Q549" s="158"/>
      <c r="R549" s="158"/>
      <c r="S549" s="158"/>
      <c r="T549" s="158"/>
      <c r="U549" s="158"/>
      <c r="V549" s="158"/>
      <c r="W549" s="158"/>
      <c r="X549" s="158"/>
      <c r="Y549" s="158"/>
      <c r="Z549" s="158"/>
    </row>
    <row r="550" spans="1:26" ht="12" customHeight="1">
      <c r="A550" s="147"/>
      <c r="B550" s="158"/>
      <c r="C550" s="158"/>
      <c r="D550" s="158"/>
      <c r="E550" s="158"/>
      <c r="F550" s="158"/>
      <c r="G550" s="158"/>
      <c r="H550" s="158"/>
      <c r="I550" s="158"/>
      <c r="J550" s="158"/>
      <c r="K550" s="158"/>
      <c r="L550" s="158"/>
      <c r="M550" s="158"/>
      <c r="N550" s="158"/>
      <c r="O550" s="158"/>
      <c r="P550" s="158"/>
      <c r="Q550" s="158"/>
      <c r="R550" s="158"/>
      <c r="S550" s="158"/>
      <c r="T550" s="158"/>
      <c r="U550" s="158"/>
      <c r="V550" s="158"/>
      <c r="W550" s="158"/>
      <c r="X550" s="158"/>
      <c r="Y550" s="158"/>
      <c r="Z550" s="158"/>
    </row>
    <row r="551" spans="1:26" ht="12" customHeight="1">
      <c r="A551" s="147"/>
      <c r="B551" s="158"/>
      <c r="C551" s="158"/>
      <c r="D551" s="158"/>
      <c r="E551" s="158"/>
      <c r="F551" s="158"/>
      <c r="G551" s="158"/>
      <c r="H551" s="158"/>
      <c r="I551" s="158"/>
      <c r="J551" s="158"/>
      <c r="K551" s="158"/>
      <c r="L551" s="158"/>
      <c r="M551" s="158"/>
      <c r="N551" s="158"/>
      <c r="O551" s="158"/>
      <c r="P551" s="158"/>
      <c r="Q551" s="158"/>
      <c r="R551" s="158"/>
      <c r="S551" s="158"/>
      <c r="T551" s="158"/>
      <c r="U551" s="158"/>
      <c r="V551" s="158"/>
      <c r="W551" s="158"/>
      <c r="X551" s="158"/>
      <c r="Y551" s="158"/>
      <c r="Z551" s="158"/>
    </row>
    <row r="552" spans="1:26" ht="12" customHeight="1">
      <c r="A552" s="147"/>
      <c r="B552" s="158"/>
      <c r="C552" s="158"/>
      <c r="D552" s="158"/>
      <c r="E552" s="158"/>
      <c r="F552" s="158"/>
      <c r="G552" s="158"/>
      <c r="H552" s="158"/>
      <c r="I552" s="158"/>
      <c r="J552" s="158"/>
      <c r="K552" s="158"/>
      <c r="L552" s="158"/>
      <c r="M552" s="158"/>
      <c r="N552" s="158"/>
      <c r="O552" s="158"/>
      <c r="P552" s="158"/>
      <c r="Q552" s="158"/>
      <c r="R552" s="158"/>
      <c r="S552" s="158"/>
      <c r="T552" s="158"/>
      <c r="U552" s="158"/>
      <c r="V552" s="158"/>
      <c r="W552" s="158"/>
      <c r="X552" s="158"/>
      <c r="Y552" s="158"/>
      <c r="Z552" s="158"/>
    </row>
    <row r="553" spans="1:26" ht="12" customHeight="1">
      <c r="A553" s="147"/>
      <c r="B553" s="158"/>
      <c r="C553" s="158"/>
      <c r="D553" s="158"/>
      <c r="E553" s="158"/>
      <c r="F553" s="158"/>
      <c r="G553" s="158"/>
      <c r="H553" s="158"/>
      <c r="I553" s="158"/>
      <c r="J553" s="158"/>
      <c r="K553" s="158"/>
      <c r="L553" s="158"/>
      <c r="M553" s="158"/>
      <c r="N553" s="158"/>
      <c r="O553" s="158"/>
      <c r="P553" s="158"/>
      <c r="Q553" s="158"/>
      <c r="R553" s="158"/>
      <c r="S553" s="158"/>
      <c r="T553" s="158"/>
      <c r="U553" s="158"/>
      <c r="V553" s="158"/>
      <c r="W553" s="158"/>
      <c r="X553" s="158"/>
      <c r="Y553" s="158"/>
      <c r="Z553" s="158"/>
    </row>
    <row r="554" spans="1:26" ht="12" customHeight="1">
      <c r="A554" s="147"/>
      <c r="B554" s="158"/>
      <c r="C554" s="158"/>
      <c r="D554" s="158"/>
      <c r="E554" s="158"/>
      <c r="F554" s="158"/>
      <c r="G554" s="158"/>
      <c r="H554" s="158"/>
      <c r="I554" s="158"/>
      <c r="J554" s="158"/>
      <c r="K554" s="158"/>
      <c r="L554" s="158"/>
      <c r="M554" s="158"/>
      <c r="N554" s="158"/>
      <c r="O554" s="158"/>
      <c r="P554" s="158"/>
      <c r="Q554" s="158"/>
      <c r="R554" s="158"/>
      <c r="S554" s="158"/>
      <c r="T554" s="158"/>
      <c r="U554" s="158"/>
      <c r="V554" s="158"/>
      <c r="W554" s="158"/>
      <c r="X554" s="158"/>
      <c r="Y554" s="158"/>
      <c r="Z554" s="158"/>
    </row>
    <row r="555" spans="1:26" ht="12" customHeight="1">
      <c r="A555" s="147"/>
      <c r="B555" s="158"/>
      <c r="C555" s="158"/>
      <c r="D555" s="158"/>
      <c r="E555" s="158"/>
      <c r="F555" s="158"/>
      <c r="G555" s="158"/>
      <c r="H555" s="158"/>
      <c r="I555" s="158"/>
      <c r="J555" s="158"/>
      <c r="K555" s="158"/>
      <c r="L555" s="158"/>
      <c r="M555" s="158"/>
      <c r="N555" s="158"/>
      <c r="O555" s="158"/>
      <c r="P555" s="158"/>
      <c r="Q555" s="158"/>
      <c r="R555" s="158"/>
      <c r="S555" s="158"/>
      <c r="T555" s="158"/>
      <c r="U555" s="158"/>
      <c r="V555" s="158"/>
      <c r="W555" s="158"/>
      <c r="X555" s="158"/>
      <c r="Y555" s="158"/>
      <c r="Z555" s="158"/>
    </row>
    <row r="556" spans="1:26" ht="12" customHeight="1">
      <c r="A556" s="147"/>
      <c r="B556" s="158"/>
      <c r="C556" s="158"/>
      <c r="D556" s="158"/>
      <c r="E556" s="158"/>
      <c r="F556" s="158"/>
      <c r="G556" s="158"/>
      <c r="H556" s="158"/>
      <c r="I556" s="158"/>
      <c r="J556" s="158"/>
      <c r="K556" s="158"/>
      <c r="L556" s="158"/>
      <c r="M556" s="158"/>
      <c r="N556" s="158"/>
      <c r="O556" s="158"/>
      <c r="P556" s="158"/>
      <c r="Q556" s="158"/>
      <c r="R556" s="158"/>
      <c r="S556" s="158"/>
      <c r="T556" s="158"/>
      <c r="U556" s="158"/>
      <c r="V556" s="158"/>
      <c r="W556" s="158"/>
      <c r="X556" s="158"/>
      <c r="Y556" s="158"/>
      <c r="Z556" s="158"/>
    </row>
    <row r="557" spans="1:26" ht="12" customHeight="1">
      <c r="A557" s="147"/>
      <c r="B557" s="158"/>
      <c r="C557" s="158"/>
      <c r="D557" s="158"/>
      <c r="E557" s="158"/>
      <c r="F557" s="158"/>
      <c r="G557" s="158"/>
      <c r="H557" s="158"/>
      <c r="I557" s="158"/>
      <c r="J557" s="158"/>
      <c r="K557" s="158"/>
      <c r="L557" s="158"/>
      <c r="M557" s="158"/>
      <c r="N557" s="158"/>
      <c r="O557" s="158"/>
      <c r="P557" s="158"/>
      <c r="Q557" s="158"/>
      <c r="R557" s="158"/>
      <c r="S557" s="158"/>
      <c r="T557" s="158"/>
      <c r="U557" s="158"/>
      <c r="V557" s="158"/>
      <c r="W557" s="158"/>
      <c r="X557" s="158"/>
      <c r="Y557" s="158"/>
      <c r="Z557" s="158"/>
    </row>
    <row r="558" spans="1:26" ht="12" customHeight="1">
      <c r="A558" s="147"/>
      <c r="B558" s="158"/>
      <c r="C558" s="158"/>
      <c r="D558" s="158"/>
      <c r="E558" s="158"/>
      <c r="F558" s="158"/>
      <c r="G558" s="158"/>
      <c r="H558" s="158"/>
      <c r="I558" s="158"/>
      <c r="J558" s="158"/>
      <c r="K558" s="158"/>
      <c r="L558" s="158"/>
      <c r="M558" s="158"/>
      <c r="N558" s="158"/>
      <c r="O558" s="158"/>
      <c r="P558" s="158"/>
      <c r="Q558" s="158"/>
      <c r="R558" s="158"/>
      <c r="S558" s="158"/>
      <c r="T558" s="158"/>
      <c r="U558" s="158"/>
      <c r="V558" s="158"/>
      <c r="W558" s="158"/>
      <c r="X558" s="158"/>
      <c r="Y558" s="158"/>
      <c r="Z558" s="158"/>
    </row>
    <row r="559" spans="1:26" ht="12" customHeight="1">
      <c r="A559" s="147"/>
      <c r="B559" s="158"/>
      <c r="C559" s="158"/>
      <c r="D559" s="158"/>
      <c r="E559" s="158"/>
      <c r="F559" s="158"/>
      <c r="G559" s="158"/>
      <c r="H559" s="158"/>
      <c r="I559" s="158"/>
      <c r="J559" s="158"/>
      <c r="K559" s="158"/>
      <c r="L559" s="158"/>
      <c r="M559" s="158"/>
      <c r="N559" s="158"/>
      <c r="O559" s="158"/>
      <c r="P559" s="158"/>
      <c r="Q559" s="158"/>
      <c r="R559" s="158"/>
      <c r="S559" s="158"/>
      <c r="T559" s="158"/>
      <c r="U559" s="158"/>
      <c r="V559" s="158"/>
      <c r="W559" s="158"/>
      <c r="X559" s="158"/>
      <c r="Y559" s="158"/>
      <c r="Z559" s="158"/>
    </row>
    <row r="560" spans="1:26" ht="12" customHeight="1">
      <c r="A560" s="147"/>
      <c r="B560" s="158"/>
      <c r="C560" s="158"/>
      <c r="D560" s="158"/>
      <c r="E560" s="158"/>
      <c r="F560" s="158"/>
      <c r="G560" s="158"/>
      <c r="H560" s="158"/>
      <c r="I560" s="158"/>
      <c r="J560" s="158"/>
      <c r="K560" s="158"/>
      <c r="L560" s="158"/>
      <c r="M560" s="158"/>
      <c r="N560" s="158"/>
      <c r="O560" s="158"/>
      <c r="P560" s="158"/>
      <c r="Q560" s="158"/>
      <c r="R560" s="158"/>
      <c r="S560" s="158"/>
      <c r="T560" s="158"/>
      <c r="U560" s="158"/>
      <c r="V560" s="158"/>
      <c r="W560" s="158"/>
      <c r="X560" s="158"/>
      <c r="Y560" s="158"/>
      <c r="Z560" s="158"/>
    </row>
    <row r="561" spans="1:26" ht="12" customHeight="1">
      <c r="A561" s="147"/>
      <c r="B561" s="158"/>
      <c r="C561" s="158"/>
      <c r="D561" s="158"/>
      <c r="E561" s="158"/>
      <c r="F561" s="158"/>
      <c r="G561" s="158"/>
      <c r="H561" s="158"/>
      <c r="I561" s="158"/>
      <c r="J561" s="158"/>
      <c r="K561" s="158"/>
      <c r="L561" s="158"/>
      <c r="M561" s="158"/>
      <c r="N561" s="158"/>
      <c r="O561" s="158"/>
      <c r="P561" s="158"/>
      <c r="Q561" s="158"/>
      <c r="R561" s="158"/>
      <c r="S561" s="158"/>
      <c r="T561" s="158"/>
      <c r="U561" s="158"/>
      <c r="V561" s="158"/>
      <c r="W561" s="158"/>
      <c r="X561" s="158"/>
      <c r="Y561" s="158"/>
      <c r="Z561" s="158"/>
    </row>
    <row r="562" spans="1:26" ht="12" customHeight="1">
      <c r="A562" s="147"/>
      <c r="B562" s="158"/>
      <c r="C562" s="158"/>
      <c r="D562" s="158"/>
      <c r="E562" s="158"/>
      <c r="F562" s="158"/>
      <c r="G562" s="158"/>
      <c r="H562" s="158"/>
      <c r="I562" s="158"/>
      <c r="J562" s="158"/>
      <c r="K562" s="158"/>
      <c r="L562" s="158"/>
      <c r="M562" s="158"/>
      <c r="N562" s="158"/>
      <c r="O562" s="158"/>
      <c r="P562" s="158"/>
      <c r="Q562" s="158"/>
      <c r="R562" s="158"/>
      <c r="S562" s="158"/>
      <c r="T562" s="158"/>
      <c r="U562" s="158"/>
      <c r="V562" s="158"/>
      <c r="W562" s="158"/>
      <c r="X562" s="158"/>
      <c r="Y562" s="158"/>
      <c r="Z562" s="158"/>
    </row>
    <row r="563" spans="1:26" ht="12" customHeight="1">
      <c r="A563" s="147"/>
      <c r="B563" s="158"/>
      <c r="C563" s="158"/>
      <c r="D563" s="158"/>
      <c r="E563" s="158"/>
      <c r="F563" s="158"/>
      <c r="G563" s="158"/>
      <c r="H563" s="158"/>
      <c r="I563" s="158"/>
      <c r="J563" s="158"/>
      <c r="K563" s="158"/>
      <c r="L563" s="158"/>
      <c r="M563" s="158"/>
      <c r="N563" s="158"/>
      <c r="O563" s="158"/>
      <c r="P563" s="158"/>
      <c r="Q563" s="158"/>
      <c r="R563" s="158"/>
      <c r="S563" s="158"/>
      <c r="T563" s="158"/>
      <c r="U563" s="158"/>
      <c r="V563" s="158"/>
      <c r="W563" s="158"/>
      <c r="X563" s="158"/>
      <c r="Y563" s="158"/>
      <c r="Z563" s="158"/>
    </row>
    <row r="564" spans="1:26" ht="12" customHeight="1">
      <c r="A564" s="147"/>
      <c r="B564" s="158"/>
      <c r="C564" s="158"/>
      <c r="D564" s="158"/>
      <c r="E564" s="158"/>
      <c r="F564" s="158"/>
      <c r="G564" s="158"/>
      <c r="H564" s="158"/>
      <c r="I564" s="158"/>
      <c r="J564" s="158"/>
      <c r="K564" s="158"/>
      <c r="L564" s="158"/>
      <c r="M564" s="158"/>
      <c r="N564" s="158"/>
      <c r="O564" s="158"/>
      <c r="P564" s="158"/>
      <c r="Q564" s="158"/>
      <c r="R564" s="158"/>
      <c r="S564" s="158"/>
      <c r="T564" s="158"/>
      <c r="U564" s="158"/>
      <c r="V564" s="158"/>
      <c r="W564" s="158"/>
      <c r="X564" s="158"/>
      <c r="Y564" s="158"/>
      <c r="Z564" s="158"/>
    </row>
    <row r="565" spans="1:26" ht="12" customHeight="1">
      <c r="A565" s="147"/>
      <c r="B565" s="158"/>
      <c r="C565" s="158"/>
      <c r="D565" s="158"/>
      <c r="E565" s="158"/>
      <c r="F565" s="158"/>
      <c r="G565" s="158"/>
      <c r="H565" s="158"/>
      <c r="I565" s="158"/>
      <c r="J565" s="158"/>
      <c r="K565" s="158"/>
      <c r="L565" s="158"/>
      <c r="M565" s="158"/>
      <c r="N565" s="158"/>
      <c r="O565" s="158"/>
      <c r="P565" s="158"/>
      <c r="Q565" s="158"/>
      <c r="R565" s="158"/>
      <c r="S565" s="158"/>
      <c r="T565" s="158"/>
      <c r="U565" s="158"/>
      <c r="V565" s="158"/>
      <c r="W565" s="158"/>
      <c r="X565" s="158"/>
      <c r="Y565" s="158"/>
      <c r="Z565" s="158"/>
    </row>
    <row r="566" spans="1:26" ht="12" customHeight="1">
      <c r="A566" s="147"/>
      <c r="B566" s="158"/>
      <c r="C566" s="158"/>
      <c r="D566" s="158"/>
      <c r="E566" s="158"/>
      <c r="F566" s="158"/>
      <c r="G566" s="158"/>
      <c r="H566" s="158"/>
      <c r="I566" s="158"/>
      <c r="J566" s="158"/>
      <c r="K566" s="158"/>
      <c r="L566" s="158"/>
      <c r="M566" s="158"/>
      <c r="N566" s="158"/>
      <c r="O566" s="158"/>
      <c r="P566" s="158"/>
      <c r="Q566" s="158"/>
      <c r="R566" s="158"/>
      <c r="S566" s="158"/>
      <c r="T566" s="158"/>
      <c r="U566" s="158"/>
      <c r="V566" s="158"/>
      <c r="W566" s="158"/>
      <c r="X566" s="158"/>
      <c r="Y566" s="158"/>
      <c r="Z566" s="158"/>
    </row>
    <row r="567" spans="1:26" ht="12" customHeight="1">
      <c r="A567" s="147"/>
      <c r="B567" s="158"/>
      <c r="C567" s="158"/>
      <c r="D567" s="158"/>
      <c r="E567" s="158"/>
      <c r="F567" s="158"/>
      <c r="G567" s="158"/>
      <c r="H567" s="158"/>
      <c r="I567" s="158"/>
      <c r="J567" s="158"/>
      <c r="K567" s="158"/>
      <c r="L567" s="158"/>
      <c r="M567" s="158"/>
      <c r="N567" s="158"/>
      <c r="O567" s="158"/>
      <c r="P567" s="158"/>
      <c r="Q567" s="158"/>
      <c r="R567" s="158"/>
      <c r="S567" s="158"/>
      <c r="T567" s="158"/>
      <c r="U567" s="158"/>
      <c r="V567" s="158"/>
      <c r="W567" s="158"/>
      <c r="X567" s="158"/>
      <c r="Y567" s="158"/>
      <c r="Z567" s="158"/>
    </row>
    <row r="568" spans="1:26" ht="12" customHeight="1">
      <c r="A568" s="147"/>
      <c r="B568" s="158"/>
      <c r="C568" s="158"/>
      <c r="D568" s="158"/>
      <c r="E568" s="158"/>
      <c r="F568" s="158"/>
      <c r="G568" s="158"/>
      <c r="H568" s="158"/>
      <c r="I568" s="158"/>
      <c r="J568" s="158"/>
      <c r="K568" s="158"/>
      <c r="L568" s="158"/>
      <c r="M568" s="158"/>
      <c r="N568" s="158"/>
      <c r="O568" s="158"/>
      <c r="P568" s="158"/>
      <c r="Q568" s="158"/>
      <c r="R568" s="158"/>
      <c r="S568" s="158"/>
      <c r="T568" s="158"/>
      <c r="U568" s="158"/>
      <c r="V568" s="158"/>
      <c r="W568" s="158"/>
      <c r="X568" s="158"/>
      <c r="Y568" s="158"/>
      <c r="Z568" s="158"/>
    </row>
    <row r="569" spans="1:26" ht="12" customHeight="1">
      <c r="A569" s="147"/>
      <c r="B569" s="158"/>
      <c r="C569" s="158"/>
      <c r="D569" s="158"/>
      <c r="E569" s="158"/>
      <c r="F569" s="158"/>
      <c r="G569" s="158"/>
      <c r="H569" s="158"/>
      <c r="I569" s="158"/>
      <c r="J569" s="158"/>
      <c r="K569" s="158"/>
      <c r="L569" s="158"/>
      <c r="M569" s="158"/>
      <c r="N569" s="158"/>
      <c r="O569" s="158"/>
      <c r="P569" s="158"/>
      <c r="Q569" s="158"/>
      <c r="R569" s="158"/>
      <c r="S569" s="158"/>
      <c r="T569" s="158"/>
      <c r="U569" s="158"/>
      <c r="V569" s="158"/>
      <c r="W569" s="158"/>
      <c r="X569" s="158"/>
      <c r="Y569" s="158"/>
      <c r="Z569" s="158"/>
    </row>
    <row r="570" spans="1:26" ht="12" customHeight="1">
      <c r="A570" s="147"/>
      <c r="B570" s="158"/>
      <c r="C570" s="158"/>
      <c r="D570" s="158"/>
      <c r="E570" s="158"/>
      <c r="F570" s="158"/>
      <c r="G570" s="158"/>
      <c r="H570" s="158"/>
      <c r="I570" s="158"/>
      <c r="J570" s="158"/>
      <c r="K570" s="158"/>
      <c r="L570" s="158"/>
      <c r="M570" s="158"/>
      <c r="N570" s="158"/>
      <c r="O570" s="158"/>
      <c r="P570" s="158"/>
      <c r="Q570" s="158"/>
      <c r="R570" s="158"/>
      <c r="S570" s="158"/>
      <c r="T570" s="158"/>
      <c r="U570" s="158"/>
      <c r="V570" s="158"/>
      <c r="W570" s="158"/>
      <c r="X570" s="158"/>
      <c r="Y570" s="158"/>
      <c r="Z570" s="158"/>
    </row>
    <row r="571" spans="1:26" ht="12" customHeight="1">
      <c r="A571" s="147"/>
      <c r="B571" s="158"/>
      <c r="C571" s="158"/>
      <c r="D571" s="158"/>
      <c r="E571" s="158"/>
      <c r="F571" s="158"/>
      <c r="G571" s="158"/>
      <c r="H571" s="158"/>
      <c r="I571" s="158"/>
      <c r="J571" s="158"/>
      <c r="K571" s="158"/>
      <c r="L571" s="158"/>
      <c r="M571" s="158"/>
      <c r="N571" s="158"/>
      <c r="O571" s="158"/>
      <c r="P571" s="158"/>
      <c r="Q571" s="158"/>
      <c r="R571" s="158"/>
      <c r="S571" s="158"/>
      <c r="T571" s="158"/>
      <c r="U571" s="158"/>
      <c r="V571" s="158"/>
      <c r="W571" s="158"/>
      <c r="X571" s="158"/>
      <c r="Y571" s="158"/>
      <c r="Z571" s="158"/>
    </row>
    <row r="572" spans="1:26" ht="12" customHeight="1">
      <c r="A572" s="147"/>
      <c r="B572" s="158"/>
      <c r="C572" s="158"/>
      <c r="D572" s="158"/>
      <c r="E572" s="158"/>
      <c r="F572" s="158"/>
      <c r="G572" s="158"/>
      <c r="H572" s="158"/>
      <c r="I572" s="158"/>
      <c r="J572" s="158"/>
      <c r="K572" s="158"/>
      <c r="L572" s="158"/>
      <c r="M572" s="158"/>
      <c r="N572" s="158"/>
      <c r="O572" s="158"/>
      <c r="P572" s="158"/>
      <c r="Q572" s="158"/>
      <c r="R572" s="158"/>
      <c r="S572" s="158"/>
      <c r="T572" s="158"/>
      <c r="U572" s="158"/>
      <c r="V572" s="158"/>
      <c r="W572" s="158"/>
      <c r="X572" s="158"/>
      <c r="Y572" s="158"/>
      <c r="Z572" s="158"/>
    </row>
    <row r="573" spans="1:26" ht="12" customHeight="1">
      <c r="A573" s="147"/>
      <c r="B573" s="158"/>
      <c r="C573" s="158"/>
      <c r="D573" s="158"/>
      <c r="E573" s="158"/>
      <c r="F573" s="158"/>
      <c r="G573" s="158"/>
      <c r="H573" s="158"/>
      <c r="I573" s="158"/>
      <c r="J573" s="158"/>
      <c r="K573" s="158"/>
      <c r="L573" s="158"/>
      <c r="M573" s="158"/>
      <c r="N573" s="158"/>
      <c r="O573" s="158"/>
      <c r="P573" s="158"/>
      <c r="Q573" s="158"/>
      <c r="R573" s="158"/>
      <c r="S573" s="158"/>
      <c r="T573" s="158"/>
      <c r="U573" s="158"/>
      <c r="V573" s="158"/>
      <c r="W573" s="158"/>
      <c r="X573" s="158"/>
      <c r="Y573" s="158"/>
      <c r="Z573" s="158"/>
    </row>
    <row r="574" spans="1:26" ht="12" customHeight="1">
      <c r="A574" s="147"/>
      <c r="B574" s="158"/>
      <c r="C574" s="158"/>
      <c r="D574" s="158"/>
      <c r="E574" s="158"/>
      <c r="F574" s="158"/>
      <c r="G574" s="158"/>
      <c r="H574" s="158"/>
      <c r="I574" s="158"/>
      <c r="J574" s="158"/>
      <c r="K574" s="158"/>
      <c r="L574" s="158"/>
      <c r="M574" s="158"/>
      <c r="N574" s="158"/>
      <c r="O574" s="158"/>
      <c r="P574" s="158"/>
      <c r="Q574" s="158"/>
      <c r="R574" s="158"/>
      <c r="S574" s="158"/>
      <c r="T574" s="158"/>
      <c r="U574" s="158"/>
      <c r="V574" s="158"/>
      <c r="W574" s="158"/>
      <c r="X574" s="158"/>
      <c r="Y574" s="158"/>
      <c r="Z574" s="158"/>
    </row>
    <row r="575" spans="1:26" ht="12" customHeight="1">
      <c r="A575" s="147"/>
      <c r="B575" s="158"/>
      <c r="C575" s="158"/>
      <c r="D575" s="158"/>
      <c r="E575" s="158"/>
      <c r="F575" s="158"/>
      <c r="G575" s="158"/>
      <c r="H575" s="158"/>
      <c r="I575" s="158"/>
      <c r="J575" s="158"/>
      <c r="K575" s="158"/>
      <c r="L575" s="158"/>
      <c r="M575" s="158"/>
      <c r="N575" s="158"/>
      <c r="O575" s="158"/>
      <c r="P575" s="158"/>
      <c r="Q575" s="158"/>
      <c r="R575" s="158"/>
      <c r="S575" s="158"/>
      <c r="T575" s="158"/>
      <c r="U575" s="158"/>
      <c r="V575" s="158"/>
      <c r="W575" s="158"/>
      <c r="X575" s="158"/>
      <c r="Y575" s="158"/>
      <c r="Z575" s="158"/>
    </row>
    <row r="576" spans="1:26" ht="12" customHeight="1">
      <c r="A576" s="147"/>
      <c r="B576" s="158"/>
      <c r="C576" s="158"/>
      <c r="D576" s="158"/>
      <c r="E576" s="158"/>
      <c r="F576" s="158"/>
      <c r="G576" s="158"/>
      <c r="H576" s="158"/>
      <c r="I576" s="158"/>
      <c r="J576" s="158"/>
      <c r="K576" s="158"/>
      <c r="L576" s="158"/>
      <c r="M576" s="158"/>
      <c r="N576" s="158"/>
      <c r="O576" s="158"/>
      <c r="P576" s="158"/>
      <c r="Q576" s="158"/>
      <c r="R576" s="158"/>
      <c r="S576" s="158"/>
      <c r="T576" s="158"/>
      <c r="U576" s="158"/>
      <c r="V576" s="158"/>
      <c r="W576" s="158"/>
      <c r="X576" s="158"/>
      <c r="Y576" s="158"/>
      <c r="Z576" s="158"/>
    </row>
    <row r="577" spans="1:26" ht="12" customHeight="1">
      <c r="A577" s="147"/>
      <c r="B577" s="158"/>
      <c r="C577" s="158"/>
      <c r="D577" s="158"/>
      <c r="E577" s="158"/>
      <c r="F577" s="158"/>
      <c r="G577" s="158"/>
      <c r="H577" s="158"/>
      <c r="I577" s="158"/>
      <c r="J577" s="158"/>
      <c r="K577" s="158"/>
      <c r="L577" s="158"/>
      <c r="M577" s="158"/>
      <c r="N577" s="158"/>
      <c r="O577" s="158"/>
      <c r="P577" s="158"/>
      <c r="Q577" s="158"/>
      <c r="R577" s="158"/>
      <c r="S577" s="158"/>
      <c r="T577" s="158"/>
      <c r="U577" s="158"/>
      <c r="V577" s="158"/>
      <c r="W577" s="158"/>
      <c r="X577" s="158"/>
      <c r="Y577" s="158"/>
      <c r="Z577" s="158"/>
    </row>
    <row r="578" spans="1:26" ht="12" customHeight="1">
      <c r="A578" s="147"/>
      <c r="B578" s="158"/>
      <c r="C578" s="158"/>
      <c r="D578" s="158"/>
      <c r="E578" s="158"/>
      <c r="F578" s="158"/>
      <c r="G578" s="158"/>
      <c r="H578" s="158"/>
      <c r="I578" s="158"/>
      <c r="J578" s="158"/>
      <c r="K578" s="158"/>
      <c r="L578" s="158"/>
      <c r="M578" s="158"/>
      <c r="N578" s="158"/>
      <c r="O578" s="158"/>
      <c r="P578" s="158"/>
      <c r="Q578" s="158"/>
      <c r="R578" s="158"/>
      <c r="S578" s="158"/>
      <c r="T578" s="158"/>
      <c r="U578" s="158"/>
      <c r="V578" s="158"/>
      <c r="W578" s="158"/>
      <c r="X578" s="158"/>
      <c r="Y578" s="158"/>
      <c r="Z578" s="158"/>
    </row>
    <row r="579" spans="1:26" ht="12" customHeight="1">
      <c r="A579" s="147"/>
      <c r="B579" s="158"/>
      <c r="C579" s="158"/>
      <c r="D579" s="158"/>
      <c r="E579" s="158"/>
      <c r="F579" s="158"/>
      <c r="G579" s="158"/>
      <c r="H579" s="158"/>
      <c r="I579" s="158"/>
      <c r="J579" s="158"/>
      <c r="K579" s="158"/>
      <c r="L579" s="158"/>
      <c r="M579" s="158"/>
      <c r="N579" s="158"/>
      <c r="O579" s="158"/>
      <c r="P579" s="158"/>
      <c r="Q579" s="158"/>
      <c r="R579" s="158"/>
      <c r="S579" s="158"/>
      <c r="T579" s="158"/>
      <c r="U579" s="158"/>
      <c r="V579" s="158"/>
      <c r="W579" s="158"/>
      <c r="X579" s="158"/>
      <c r="Y579" s="158"/>
      <c r="Z579" s="158"/>
    </row>
    <row r="580" spans="1:26" ht="12" customHeight="1">
      <c r="A580" s="147"/>
      <c r="B580" s="158"/>
      <c r="C580" s="158"/>
      <c r="D580" s="158"/>
      <c r="E580" s="158"/>
      <c r="F580" s="158"/>
      <c r="G580" s="158"/>
      <c r="H580" s="158"/>
      <c r="I580" s="158"/>
      <c r="J580" s="158"/>
      <c r="K580" s="158"/>
      <c r="L580" s="158"/>
      <c r="M580" s="158"/>
      <c r="N580" s="158"/>
      <c r="O580" s="158"/>
      <c r="P580" s="158"/>
      <c r="Q580" s="158"/>
      <c r="R580" s="158"/>
      <c r="S580" s="158"/>
      <c r="T580" s="158"/>
      <c r="U580" s="158"/>
      <c r="V580" s="158"/>
      <c r="W580" s="158"/>
      <c r="X580" s="158"/>
      <c r="Y580" s="158"/>
      <c r="Z580" s="158"/>
    </row>
    <row r="581" spans="1:26" ht="12" customHeight="1">
      <c r="A581" s="147"/>
      <c r="B581" s="158"/>
      <c r="C581" s="158"/>
      <c r="D581" s="158"/>
      <c r="E581" s="158"/>
      <c r="F581" s="158"/>
      <c r="G581" s="158"/>
      <c r="H581" s="158"/>
      <c r="I581" s="158"/>
      <c r="J581" s="158"/>
      <c r="K581" s="158"/>
      <c r="L581" s="158"/>
      <c r="M581" s="158"/>
      <c r="N581" s="158"/>
      <c r="O581" s="158"/>
      <c r="P581" s="158"/>
      <c r="Q581" s="158"/>
      <c r="R581" s="158"/>
      <c r="S581" s="158"/>
      <c r="T581" s="158"/>
      <c r="U581" s="158"/>
      <c r="V581" s="158"/>
      <c r="W581" s="158"/>
      <c r="X581" s="158"/>
      <c r="Y581" s="158"/>
      <c r="Z581" s="158"/>
    </row>
    <row r="582" spans="1:26" ht="12" customHeight="1">
      <c r="A582" s="147"/>
      <c r="B582" s="158"/>
      <c r="C582" s="158"/>
      <c r="D582" s="158"/>
      <c r="E582" s="158"/>
      <c r="F582" s="158"/>
      <c r="G582" s="158"/>
      <c r="H582" s="158"/>
      <c r="I582" s="158"/>
      <c r="J582" s="158"/>
      <c r="K582" s="158"/>
      <c r="L582" s="158"/>
      <c r="M582" s="158"/>
      <c r="N582" s="158"/>
      <c r="O582" s="158"/>
      <c r="P582" s="158"/>
      <c r="Q582" s="158"/>
      <c r="R582" s="158"/>
      <c r="S582" s="158"/>
      <c r="T582" s="158"/>
      <c r="U582" s="158"/>
      <c r="V582" s="158"/>
      <c r="W582" s="158"/>
      <c r="X582" s="158"/>
      <c r="Y582" s="158"/>
      <c r="Z582" s="158"/>
    </row>
    <row r="583" spans="1:26" ht="12" customHeight="1">
      <c r="A583" s="147"/>
      <c r="B583" s="158"/>
      <c r="C583" s="158"/>
      <c r="D583" s="158"/>
      <c r="E583" s="158"/>
      <c r="F583" s="158"/>
      <c r="G583" s="158"/>
      <c r="H583" s="158"/>
      <c r="I583" s="158"/>
      <c r="J583" s="158"/>
      <c r="K583" s="158"/>
      <c r="L583" s="158"/>
      <c r="M583" s="158"/>
      <c r="N583" s="158"/>
      <c r="O583" s="158"/>
      <c r="P583" s="158"/>
      <c r="Q583" s="158"/>
      <c r="R583" s="158"/>
      <c r="S583" s="158"/>
      <c r="T583" s="158"/>
      <c r="U583" s="158"/>
      <c r="V583" s="158"/>
      <c r="W583" s="158"/>
      <c r="X583" s="158"/>
      <c r="Y583" s="158"/>
      <c r="Z583" s="158"/>
    </row>
    <row r="584" spans="1:26" ht="12" customHeight="1">
      <c r="A584" s="147"/>
      <c r="B584" s="158"/>
      <c r="C584" s="158"/>
      <c r="D584" s="158"/>
      <c r="E584" s="158"/>
      <c r="F584" s="158"/>
      <c r="G584" s="158"/>
      <c r="H584" s="158"/>
      <c r="I584" s="158"/>
      <c r="J584" s="158"/>
      <c r="K584" s="158"/>
      <c r="L584" s="158"/>
      <c r="M584" s="158"/>
      <c r="N584" s="158"/>
      <c r="O584" s="158"/>
      <c r="P584" s="158"/>
      <c r="Q584" s="158"/>
      <c r="R584" s="158"/>
      <c r="S584" s="158"/>
      <c r="T584" s="158"/>
      <c r="U584" s="158"/>
      <c r="V584" s="158"/>
      <c r="W584" s="158"/>
      <c r="X584" s="158"/>
      <c r="Y584" s="158"/>
      <c r="Z584" s="158"/>
    </row>
    <row r="585" spans="1:26" ht="12" customHeight="1">
      <c r="A585" s="147"/>
      <c r="B585" s="158"/>
      <c r="C585" s="158"/>
      <c r="D585" s="158"/>
      <c r="E585" s="158"/>
      <c r="F585" s="158"/>
      <c r="G585" s="158"/>
      <c r="H585" s="158"/>
      <c r="I585" s="158"/>
      <c r="J585" s="158"/>
      <c r="K585" s="158"/>
      <c r="L585" s="158"/>
      <c r="M585" s="158"/>
      <c r="N585" s="158"/>
      <c r="O585" s="158"/>
      <c r="P585" s="158"/>
      <c r="Q585" s="158"/>
      <c r="R585" s="158"/>
      <c r="S585" s="158"/>
      <c r="T585" s="158"/>
      <c r="U585" s="158"/>
      <c r="V585" s="158"/>
      <c r="W585" s="158"/>
      <c r="X585" s="158"/>
      <c r="Y585" s="158"/>
      <c r="Z585" s="158"/>
    </row>
    <row r="586" spans="1:26" ht="12" customHeight="1">
      <c r="A586" s="147"/>
      <c r="B586" s="158"/>
      <c r="C586" s="158"/>
      <c r="D586" s="158"/>
      <c r="E586" s="158"/>
      <c r="F586" s="158"/>
      <c r="G586" s="158"/>
      <c r="H586" s="158"/>
      <c r="I586" s="158"/>
      <c r="J586" s="158"/>
      <c r="K586" s="158"/>
      <c r="L586" s="158"/>
      <c r="M586" s="158"/>
      <c r="N586" s="158"/>
      <c r="O586" s="158"/>
      <c r="P586" s="158"/>
      <c r="Q586" s="158"/>
      <c r="R586" s="158"/>
      <c r="S586" s="158"/>
      <c r="T586" s="158"/>
      <c r="U586" s="158"/>
      <c r="V586" s="158"/>
      <c r="W586" s="158"/>
      <c r="X586" s="158"/>
      <c r="Y586" s="158"/>
      <c r="Z586" s="158"/>
    </row>
    <row r="587" spans="1:26" ht="12" customHeight="1">
      <c r="A587" s="147"/>
      <c r="B587" s="158"/>
      <c r="C587" s="158"/>
      <c r="D587" s="158"/>
      <c r="E587" s="158"/>
      <c r="F587" s="158"/>
      <c r="G587" s="158"/>
      <c r="H587" s="158"/>
      <c r="I587" s="158"/>
      <c r="J587" s="158"/>
      <c r="K587" s="158"/>
      <c r="L587" s="158"/>
      <c r="M587" s="158"/>
      <c r="N587" s="158"/>
      <c r="O587" s="158"/>
      <c r="P587" s="158"/>
      <c r="Q587" s="158"/>
      <c r="R587" s="158"/>
      <c r="S587" s="158"/>
      <c r="T587" s="158"/>
      <c r="U587" s="158"/>
      <c r="V587" s="158"/>
      <c r="W587" s="158"/>
      <c r="X587" s="158"/>
      <c r="Y587" s="158"/>
      <c r="Z587" s="158"/>
    </row>
    <row r="588" spans="1:26" ht="12" customHeight="1">
      <c r="A588" s="147"/>
      <c r="B588" s="158"/>
      <c r="C588" s="158"/>
      <c r="D588" s="158"/>
      <c r="E588" s="158"/>
      <c r="F588" s="158"/>
      <c r="G588" s="158"/>
      <c r="H588" s="158"/>
      <c r="I588" s="158"/>
      <c r="J588" s="158"/>
      <c r="K588" s="158"/>
      <c r="L588" s="158"/>
      <c r="M588" s="158"/>
      <c r="N588" s="158"/>
      <c r="O588" s="158"/>
      <c r="P588" s="158"/>
      <c r="Q588" s="158"/>
      <c r="R588" s="158"/>
      <c r="S588" s="158"/>
      <c r="T588" s="158"/>
      <c r="U588" s="158"/>
      <c r="V588" s="158"/>
      <c r="W588" s="158"/>
      <c r="X588" s="158"/>
      <c r="Y588" s="158"/>
      <c r="Z588" s="158"/>
    </row>
    <row r="589" spans="1:26" ht="12" customHeight="1">
      <c r="A589" s="147"/>
      <c r="B589" s="158"/>
      <c r="C589" s="158"/>
      <c r="D589" s="158"/>
      <c r="E589" s="158"/>
      <c r="F589" s="158"/>
      <c r="G589" s="158"/>
      <c r="H589" s="158"/>
      <c r="I589" s="158"/>
      <c r="J589" s="158"/>
      <c r="K589" s="158"/>
      <c r="L589" s="158"/>
      <c r="M589" s="158"/>
      <c r="N589" s="158"/>
      <c r="O589" s="158"/>
      <c r="P589" s="158"/>
      <c r="Q589" s="158"/>
      <c r="R589" s="158"/>
      <c r="S589" s="158"/>
      <c r="T589" s="158"/>
      <c r="U589" s="158"/>
      <c r="V589" s="158"/>
      <c r="W589" s="158"/>
      <c r="X589" s="158"/>
      <c r="Y589" s="158"/>
      <c r="Z589" s="158"/>
    </row>
    <row r="590" spans="1:26" ht="12" customHeight="1">
      <c r="A590" s="147"/>
      <c r="B590" s="158"/>
      <c r="C590" s="158"/>
      <c r="D590" s="158"/>
      <c r="E590" s="158"/>
      <c r="F590" s="158"/>
      <c r="G590" s="158"/>
      <c r="H590" s="158"/>
      <c r="I590" s="158"/>
      <c r="J590" s="158"/>
      <c r="K590" s="158"/>
      <c r="L590" s="158"/>
      <c r="M590" s="158"/>
      <c r="N590" s="158"/>
      <c r="O590" s="158"/>
      <c r="P590" s="158"/>
      <c r="Q590" s="158"/>
      <c r="R590" s="158"/>
      <c r="S590" s="158"/>
      <c r="T590" s="158"/>
      <c r="U590" s="158"/>
      <c r="V590" s="158"/>
      <c r="W590" s="158"/>
      <c r="X590" s="158"/>
      <c r="Y590" s="158"/>
      <c r="Z590" s="158"/>
    </row>
    <row r="591" spans="1:26" ht="12" customHeight="1">
      <c r="A591" s="147"/>
      <c r="B591" s="158"/>
      <c r="C591" s="158"/>
      <c r="D591" s="158"/>
      <c r="E591" s="158"/>
      <c r="F591" s="158"/>
      <c r="G591" s="158"/>
      <c r="H591" s="158"/>
      <c r="I591" s="158"/>
      <c r="J591" s="158"/>
      <c r="K591" s="158"/>
      <c r="L591" s="158"/>
      <c r="M591" s="158"/>
      <c r="N591" s="158"/>
      <c r="O591" s="158"/>
      <c r="P591" s="158"/>
      <c r="Q591" s="158"/>
      <c r="R591" s="158"/>
      <c r="S591" s="158"/>
      <c r="T591" s="158"/>
      <c r="U591" s="158"/>
      <c r="V591" s="158"/>
      <c r="W591" s="158"/>
      <c r="X591" s="158"/>
      <c r="Y591" s="158"/>
      <c r="Z591" s="158"/>
    </row>
    <row r="592" spans="1:26" ht="12" customHeight="1">
      <c r="A592" s="147"/>
      <c r="B592" s="158"/>
      <c r="C592" s="158"/>
      <c r="D592" s="158"/>
      <c r="E592" s="158"/>
      <c r="F592" s="158"/>
      <c r="G592" s="158"/>
      <c r="H592" s="158"/>
      <c r="I592" s="158"/>
      <c r="J592" s="158"/>
      <c r="K592" s="158"/>
      <c r="L592" s="158"/>
      <c r="M592" s="158"/>
      <c r="N592" s="158"/>
      <c r="O592" s="158"/>
      <c r="P592" s="158"/>
      <c r="Q592" s="158"/>
      <c r="R592" s="158"/>
      <c r="S592" s="158"/>
      <c r="T592" s="158"/>
      <c r="U592" s="158"/>
      <c r="V592" s="158"/>
      <c r="W592" s="158"/>
      <c r="X592" s="158"/>
      <c r="Y592" s="158"/>
      <c r="Z592" s="158"/>
    </row>
    <row r="593" spans="1:26" ht="12" customHeight="1">
      <c r="A593" s="147"/>
      <c r="B593" s="158"/>
      <c r="C593" s="158"/>
      <c r="D593" s="158"/>
      <c r="E593" s="158"/>
      <c r="F593" s="158"/>
      <c r="G593" s="158"/>
      <c r="H593" s="158"/>
      <c r="I593" s="158"/>
      <c r="J593" s="158"/>
      <c r="K593" s="158"/>
      <c r="L593" s="158"/>
      <c r="M593" s="158"/>
      <c r="N593" s="158"/>
      <c r="O593" s="158"/>
      <c r="P593" s="158"/>
      <c r="Q593" s="158"/>
      <c r="R593" s="158"/>
      <c r="S593" s="158"/>
      <c r="T593" s="158"/>
      <c r="U593" s="158"/>
      <c r="V593" s="158"/>
      <c r="W593" s="158"/>
      <c r="X593" s="158"/>
      <c r="Y593" s="158"/>
      <c r="Z593" s="158"/>
    </row>
    <row r="594" spans="1:26" ht="12" customHeight="1">
      <c r="A594" s="147"/>
      <c r="B594" s="158"/>
      <c r="C594" s="158"/>
      <c r="D594" s="158"/>
      <c r="E594" s="158"/>
      <c r="F594" s="158"/>
      <c r="G594" s="158"/>
      <c r="H594" s="158"/>
      <c r="I594" s="158"/>
      <c r="J594" s="158"/>
      <c r="K594" s="158"/>
      <c r="L594" s="158"/>
      <c r="M594" s="158"/>
      <c r="N594" s="158"/>
      <c r="O594" s="158"/>
      <c r="P594" s="158"/>
      <c r="Q594" s="158"/>
      <c r="R594" s="158"/>
      <c r="S594" s="158"/>
      <c r="T594" s="158"/>
      <c r="U594" s="158"/>
      <c r="V594" s="158"/>
      <c r="W594" s="158"/>
      <c r="X594" s="158"/>
      <c r="Y594" s="158"/>
      <c r="Z594" s="158"/>
    </row>
    <row r="595" spans="1:26" ht="12" customHeight="1">
      <c r="A595" s="147"/>
      <c r="B595" s="158"/>
      <c r="C595" s="158"/>
      <c r="D595" s="158"/>
      <c r="E595" s="158"/>
      <c r="F595" s="158"/>
      <c r="G595" s="158"/>
      <c r="H595" s="158"/>
      <c r="I595" s="158"/>
      <c r="J595" s="158"/>
      <c r="K595" s="158"/>
      <c r="L595" s="158"/>
      <c r="M595" s="158"/>
      <c r="N595" s="158"/>
      <c r="O595" s="158"/>
      <c r="P595" s="158"/>
      <c r="Q595" s="158"/>
      <c r="R595" s="158"/>
      <c r="S595" s="158"/>
      <c r="T595" s="158"/>
      <c r="U595" s="158"/>
      <c r="V595" s="158"/>
      <c r="W595" s="158"/>
      <c r="X595" s="158"/>
      <c r="Y595" s="158"/>
      <c r="Z595" s="158"/>
    </row>
    <row r="596" spans="1:26" ht="12" customHeight="1">
      <c r="A596" s="147"/>
      <c r="B596" s="158"/>
      <c r="C596" s="158"/>
      <c r="D596" s="158"/>
      <c r="E596" s="158"/>
      <c r="F596" s="158"/>
      <c r="G596" s="158"/>
      <c r="H596" s="158"/>
      <c r="I596" s="158"/>
      <c r="J596" s="158"/>
      <c r="K596" s="158"/>
      <c r="L596" s="158"/>
      <c r="M596" s="158"/>
      <c r="N596" s="158"/>
      <c r="O596" s="158"/>
      <c r="P596" s="158"/>
      <c r="Q596" s="158"/>
      <c r="R596" s="158"/>
      <c r="S596" s="158"/>
      <c r="T596" s="158"/>
      <c r="U596" s="158"/>
      <c r="V596" s="158"/>
      <c r="W596" s="158"/>
      <c r="X596" s="158"/>
      <c r="Y596" s="158"/>
      <c r="Z596" s="158"/>
    </row>
    <row r="597" spans="1:26" ht="12" customHeight="1">
      <c r="A597" s="147"/>
      <c r="B597" s="158"/>
      <c r="C597" s="158"/>
      <c r="D597" s="158"/>
      <c r="E597" s="158"/>
      <c r="F597" s="158"/>
      <c r="G597" s="158"/>
      <c r="H597" s="158"/>
      <c r="I597" s="158"/>
      <c r="J597" s="158"/>
      <c r="K597" s="158"/>
      <c r="L597" s="158"/>
      <c r="M597" s="158"/>
      <c r="N597" s="158"/>
      <c r="O597" s="158"/>
      <c r="P597" s="158"/>
      <c r="Q597" s="158"/>
      <c r="R597" s="158"/>
      <c r="S597" s="158"/>
      <c r="T597" s="158"/>
      <c r="U597" s="158"/>
      <c r="V597" s="158"/>
      <c r="W597" s="158"/>
      <c r="X597" s="158"/>
      <c r="Y597" s="158"/>
      <c r="Z597" s="158"/>
    </row>
    <row r="598" spans="1:26" ht="12" customHeight="1">
      <c r="A598" s="147"/>
      <c r="B598" s="158"/>
      <c r="C598" s="158"/>
      <c r="D598" s="158"/>
      <c r="E598" s="158"/>
      <c r="F598" s="158"/>
      <c r="G598" s="158"/>
      <c r="H598" s="158"/>
      <c r="I598" s="158"/>
      <c r="J598" s="158"/>
      <c r="K598" s="158"/>
      <c r="L598" s="158"/>
      <c r="M598" s="158"/>
      <c r="N598" s="158"/>
      <c r="O598" s="158"/>
      <c r="P598" s="158"/>
      <c r="Q598" s="158"/>
      <c r="R598" s="158"/>
      <c r="S598" s="158"/>
      <c r="T598" s="158"/>
      <c r="U598" s="158"/>
      <c r="V598" s="158"/>
      <c r="W598" s="158"/>
      <c r="X598" s="158"/>
      <c r="Y598" s="158"/>
      <c r="Z598" s="158"/>
    </row>
    <row r="599" spans="1:26" ht="12" customHeight="1">
      <c r="A599" s="147"/>
      <c r="B599" s="158"/>
      <c r="C599" s="158"/>
      <c r="D599" s="158"/>
      <c r="E599" s="158"/>
      <c r="F599" s="158"/>
      <c r="G599" s="158"/>
      <c r="H599" s="158"/>
      <c r="I599" s="158"/>
      <c r="J599" s="158"/>
      <c r="K599" s="158"/>
      <c r="L599" s="158"/>
      <c r="M599" s="158"/>
      <c r="N599" s="158"/>
      <c r="O599" s="158"/>
      <c r="P599" s="158"/>
      <c r="Q599" s="158"/>
      <c r="R599" s="158"/>
      <c r="S599" s="158"/>
      <c r="T599" s="158"/>
      <c r="U599" s="158"/>
      <c r="V599" s="158"/>
      <c r="W599" s="158"/>
      <c r="X599" s="158"/>
      <c r="Y599" s="158"/>
      <c r="Z599" s="158"/>
    </row>
    <row r="600" spans="1:26" ht="12" customHeight="1">
      <c r="A600" s="147"/>
      <c r="B600" s="158"/>
      <c r="C600" s="158"/>
      <c r="D600" s="158"/>
      <c r="E600" s="158"/>
      <c r="F600" s="158"/>
      <c r="G600" s="158"/>
      <c r="H600" s="158"/>
      <c r="I600" s="158"/>
      <c r="J600" s="158"/>
      <c r="K600" s="158"/>
      <c r="L600" s="158"/>
      <c r="M600" s="158"/>
      <c r="N600" s="158"/>
      <c r="O600" s="158"/>
      <c r="P600" s="158"/>
      <c r="Q600" s="158"/>
      <c r="R600" s="158"/>
      <c r="S600" s="158"/>
      <c r="T600" s="158"/>
      <c r="U600" s="158"/>
      <c r="V600" s="158"/>
      <c r="W600" s="158"/>
      <c r="X600" s="158"/>
      <c r="Y600" s="158"/>
      <c r="Z600" s="158"/>
    </row>
    <row r="601" spans="1:26" ht="12" customHeight="1">
      <c r="A601" s="147"/>
      <c r="B601" s="158"/>
      <c r="C601" s="158"/>
      <c r="D601" s="158"/>
      <c r="E601" s="158"/>
      <c r="F601" s="158"/>
      <c r="G601" s="158"/>
      <c r="H601" s="158"/>
      <c r="I601" s="158"/>
      <c r="J601" s="158"/>
      <c r="K601" s="158"/>
      <c r="L601" s="158"/>
      <c r="M601" s="158"/>
      <c r="N601" s="158"/>
      <c r="O601" s="158"/>
      <c r="P601" s="158"/>
      <c r="Q601" s="158"/>
      <c r="R601" s="158"/>
      <c r="S601" s="158"/>
      <c r="T601" s="158"/>
      <c r="U601" s="158"/>
      <c r="V601" s="158"/>
      <c r="W601" s="158"/>
      <c r="X601" s="158"/>
      <c r="Y601" s="158"/>
      <c r="Z601" s="158"/>
    </row>
    <row r="602" spans="1:26" ht="12" customHeight="1">
      <c r="A602" s="147"/>
      <c r="B602" s="158"/>
      <c r="C602" s="158"/>
      <c r="D602" s="158"/>
      <c r="E602" s="158"/>
      <c r="F602" s="158"/>
      <c r="G602" s="158"/>
      <c r="H602" s="158"/>
      <c r="I602" s="158"/>
      <c r="J602" s="158"/>
      <c r="K602" s="158"/>
      <c r="L602" s="158"/>
      <c r="M602" s="158"/>
      <c r="N602" s="158"/>
      <c r="O602" s="158"/>
      <c r="P602" s="158"/>
      <c r="Q602" s="158"/>
      <c r="R602" s="158"/>
      <c r="S602" s="158"/>
      <c r="T602" s="158"/>
      <c r="U602" s="158"/>
      <c r="V602" s="158"/>
      <c r="W602" s="158"/>
      <c r="X602" s="158"/>
      <c r="Y602" s="158"/>
      <c r="Z602" s="158"/>
    </row>
    <row r="603" spans="1:26" ht="12" customHeight="1">
      <c r="A603" s="147"/>
      <c r="B603" s="158"/>
      <c r="C603" s="158"/>
      <c r="D603" s="158"/>
      <c r="E603" s="158"/>
      <c r="F603" s="158"/>
      <c r="G603" s="158"/>
      <c r="H603" s="158"/>
      <c r="I603" s="158"/>
      <c r="J603" s="158"/>
      <c r="K603" s="158"/>
      <c r="L603" s="158"/>
      <c r="M603" s="158"/>
      <c r="N603" s="158"/>
      <c r="O603" s="158"/>
      <c r="P603" s="158"/>
      <c r="Q603" s="158"/>
      <c r="R603" s="158"/>
      <c r="S603" s="158"/>
      <c r="T603" s="158"/>
      <c r="U603" s="158"/>
      <c r="V603" s="158"/>
      <c r="W603" s="158"/>
      <c r="X603" s="158"/>
      <c r="Y603" s="158"/>
      <c r="Z603" s="158"/>
    </row>
    <row r="604" spans="1:26" ht="12" customHeight="1">
      <c r="A604" s="147"/>
      <c r="B604" s="158"/>
      <c r="C604" s="158"/>
      <c r="D604" s="158"/>
      <c r="E604" s="158"/>
      <c r="F604" s="158"/>
      <c r="G604" s="158"/>
      <c r="H604" s="158"/>
      <c r="I604" s="158"/>
      <c r="J604" s="158"/>
      <c r="K604" s="158"/>
      <c r="L604" s="158"/>
      <c r="M604" s="158"/>
      <c r="N604" s="158"/>
      <c r="O604" s="158"/>
      <c r="P604" s="158"/>
      <c r="Q604" s="158"/>
      <c r="R604" s="158"/>
      <c r="S604" s="158"/>
      <c r="T604" s="158"/>
      <c r="U604" s="158"/>
      <c r="V604" s="158"/>
      <c r="W604" s="158"/>
      <c r="X604" s="158"/>
      <c r="Y604" s="158"/>
      <c r="Z604" s="158"/>
    </row>
    <row r="605" spans="1:26" ht="12" customHeight="1">
      <c r="A605" s="147"/>
      <c r="B605" s="158"/>
      <c r="C605" s="158"/>
      <c r="D605" s="158"/>
      <c r="E605" s="158"/>
      <c r="F605" s="158"/>
      <c r="G605" s="158"/>
      <c r="H605" s="158"/>
      <c r="I605" s="158"/>
      <c r="J605" s="158"/>
      <c r="K605" s="158"/>
      <c r="L605" s="158"/>
      <c r="M605" s="158"/>
      <c r="N605" s="158"/>
      <c r="O605" s="158"/>
      <c r="P605" s="158"/>
      <c r="Q605" s="158"/>
      <c r="R605" s="158"/>
      <c r="S605" s="158"/>
      <c r="T605" s="158"/>
      <c r="U605" s="158"/>
      <c r="V605" s="158"/>
      <c r="W605" s="158"/>
      <c r="X605" s="158"/>
      <c r="Y605" s="158"/>
      <c r="Z605" s="158"/>
    </row>
    <row r="606" spans="1:26" ht="12" customHeight="1">
      <c r="A606" s="147"/>
      <c r="B606" s="158"/>
      <c r="C606" s="158"/>
      <c r="D606" s="158"/>
      <c r="E606" s="158"/>
      <c r="F606" s="158"/>
      <c r="G606" s="158"/>
      <c r="H606" s="158"/>
      <c r="I606" s="158"/>
      <c r="J606" s="158"/>
      <c r="K606" s="158"/>
      <c r="L606" s="158"/>
      <c r="M606" s="158"/>
      <c r="N606" s="158"/>
      <c r="O606" s="158"/>
      <c r="P606" s="158"/>
      <c r="Q606" s="158"/>
      <c r="R606" s="158"/>
      <c r="S606" s="158"/>
      <c r="T606" s="158"/>
      <c r="U606" s="158"/>
      <c r="V606" s="158"/>
      <c r="W606" s="158"/>
      <c r="X606" s="158"/>
      <c r="Y606" s="158"/>
      <c r="Z606" s="158"/>
    </row>
    <row r="607" spans="1:26" ht="12" customHeight="1">
      <c r="A607" s="147"/>
      <c r="B607" s="158"/>
      <c r="C607" s="158"/>
      <c r="D607" s="158"/>
      <c r="E607" s="158"/>
      <c r="F607" s="158"/>
      <c r="G607" s="158"/>
      <c r="H607" s="158"/>
      <c r="I607" s="158"/>
      <c r="J607" s="158"/>
      <c r="K607" s="158"/>
      <c r="L607" s="158"/>
      <c r="M607" s="158"/>
      <c r="N607" s="158"/>
      <c r="O607" s="158"/>
      <c r="P607" s="158"/>
      <c r="Q607" s="158"/>
      <c r="R607" s="158"/>
      <c r="S607" s="158"/>
      <c r="T607" s="158"/>
      <c r="U607" s="158"/>
      <c r="V607" s="158"/>
      <c r="W607" s="158"/>
      <c r="X607" s="158"/>
      <c r="Y607" s="158"/>
      <c r="Z607" s="158"/>
    </row>
    <row r="608" spans="1:26" ht="12" customHeight="1">
      <c r="A608" s="147"/>
      <c r="B608" s="158"/>
      <c r="C608" s="158"/>
      <c r="D608" s="158"/>
      <c r="E608" s="158"/>
      <c r="F608" s="158"/>
      <c r="G608" s="158"/>
      <c r="H608" s="158"/>
      <c r="I608" s="158"/>
      <c r="J608" s="158"/>
      <c r="K608" s="158"/>
      <c r="L608" s="158"/>
      <c r="M608" s="158"/>
      <c r="N608" s="158"/>
      <c r="O608" s="158"/>
      <c r="P608" s="158"/>
      <c r="Q608" s="158"/>
      <c r="R608" s="158"/>
      <c r="S608" s="158"/>
      <c r="T608" s="158"/>
      <c r="U608" s="158"/>
      <c r="V608" s="158"/>
      <c r="W608" s="158"/>
      <c r="X608" s="158"/>
      <c r="Y608" s="158"/>
      <c r="Z608" s="158"/>
    </row>
    <row r="609" spans="1:26" ht="12" customHeight="1">
      <c r="A609" s="147"/>
      <c r="B609" s="158"/>
      <c r="C609" s="158"/>
      <c r="D609" s="158"/>
      <c r="E609" s="158"/>
      <c r="F609" s="158"/>
      <c r="G609" s="158"/>
      <c r="H609" s="158"/>
      <c r="I609" s="158"/>
      <c r="J609" s="158"/>
      <c r="K609" s="158"/>
      <c r="L609" s="158"/>
      <c r="M609" s="158"/>
      <c r="N609" s="158"/>
      <c r="O609" s="158"/>
      <c r="P609" s="158"/>
      <c r="Q609" s="158"/>
      <c r="R609" s="158"/>
      <c r="S609" s="158"/>
      <c r="T609" s="158"/>
      <c r="U609" s="158"/>
      <c r="V609" s="158"/>
      <c r="W609" s="158"/>
      <c r="X609" s="158"/>
      <c r="Y609" s="158"/>
      <c r="Z609" s="158"/>
    </row>
    <row r="610" spans="1:26" ht="12" customHeight="1">
      <c r="A610" s="147"/>
      <c r="B610" s="158"/>
      <c r="C610" s="158"/>
      <c r="D610" s="158"/>
      <c r="E610" s="158"/>
      <c r="F610" s="158"/>
      <c r="G610" s="158"/>
      <c r="H610" s="158"/>
      <c r="I610" s="158"/>
      <c r="J610" s="158"/>
      <c r="K610" s="158"/>
      <c r="L610" s="158"/>
      <c r="M610" s="158"/>
      <c r="N610" s="158"/>
      <c r="O610" s="158"/>
      <c r="P610" s="158"/>
      <c r="Q610" s="158"/>
      <c r="R610" s="158"/>
      <c r="S610" s="158"/>
      <c r="T610" s="158"/>
      <c r="U610" s="158"/>
      <c r="V610" s="158"/>
      <c r="W610" s="158"/>
      <c r="X610" s="158"/>
      <c r="Y610" s="158"/>
      <c r="Z610" s="158"/>
    </row>
    <row r="611" spans="1:26" ht="12" customHeight="1">
      <c r="A611" s="147"/>
      <c r="B611" s="158"/>
      <c r="C611" s="158"/>
      <c r="D611" s="158"/>
      <c r="E611" s="158"/>
      <c r="F611" s="158"/>
      <c r="G611" s="158"/>
      <c r="H611" s="158"/>
      <c r="I611" s="158"/>
      <c r="J611" s="158"/>
      <c r="K611" s="158"/>
      <c r="L611" s="158"/>
      <c r="M611" s="158"/>
      <c r="N611" s="158"/>
      <c r="O611" s="158"/>
      <c r="P611" s="158"/>
      <c r="Q611" s="158"/>
      <c r="R611" s="158"/>
      <c r="S611" s="158"/>
      <c r="T611" s="158"/>
      <c r="U611" s="158"/>
      <c r="V611" s="158"/>
      <c r="W611" s="158"/>
      <c r="X611" s="158"/>
      <c r="Y611" s="158"/>
      <c r="Z611" s="158"/>
    </row>
    <row r="612" spans="1:26" ht="12" customHeight="1">
      <c r="A612" s="147"/>
      <c r="B612" s="158"/>
      <c r="C612" s="158"/>
      <c r="D612" s="158"/>
      <c r="E612" s="158"/>
      <c r="F612" s="158"/>
      <c r="G612" s="158"/>
      <c r="H612" s="158"/>
      <c r="I612" s="158"/>
      <c r="J612" s="158"/>
      <c r="K612" s="158"/>
      <c r="L612" s="158"/>
      <c r="M612" s="158"/>
      <c r="N612" s="158"/>
      <c r="O612" s="158"/>
      <c r="P612" s="158"/>
      <c r="Q612" s="158"/>
      <c r="R612" s="158"/>
      <c r="S612" s="158"/>
      <c r="T612" s="158"/>
      <c r="U612" s="158"/>
      <c r="V612" s="158"/>
      <c r="W612" s="158"/>
      <c r="X612" s="158"/>
      <c r="Y612" s="158"/>
      <c r="Z612" s="158"/>
    </row>
    <row r="613" spans="1:26" ht="12" customHeight="1">
      <c r="A613" s="147"/>
      <c r="B613" s="158"/>
      <c r="C613" s="158"/>
      <c r="D613" s="158"/>
      <c r="E613" s="158"/>
      <c r="F613" s="158"/>
      <c r="G613" s="158"/>
      <c r="H613" s="158"/>
      <c r="I613" s="158"/>
      <c r="J613" s="158"/>
      <c r="K613" s="158"/>
      <c r="L613" s="158"/>
      <c r="M613" s="158"/>
      <c r="N613" s="158"/>
      <c r="O613" s="158"/>
      <c r="P613" s="158"/>
      <c r="Q613" s="158"/>
      <c r="R613" s="158"/>
      <c r="S613" s="158"/>
      <c r="T613" s="158"/>
      <c r="U613" s="158"/>
      <c r="V613" s="158"/>
      <c r="W613" s="158"/>
      <c r="X613" s="158"/>
      <c r="Y613" s="158"/>
      <c r="Z613" s="158"/>
    </row>
    <row r="614" spans="1:26" ht="12" customHeight="1">
      <c r="A614" s="147"/>
      <c r="B614" s="158"/>
      <c r="C614" s="158"/>
      <c r="D614" s="158"/>
      <c r="E614" s="158"/>
      <c r="F614" s="158"/>
      <c r="G614" s="158"/>
      <c r="H614" s="158"/>
      <c r="I614" s="158"/>
      <c r="J614" s="158"/>
      <c r="K614" s="158"/>
      <c r="L614" s="158"/>
      <c r="M614" s="158"/>
      <c r="N614" s="158"/>
      <c r="O614" s="158"/>
      <c r="P614" s="158"/>
      <c r="Q614" s="158"/>
      <c r="R614" s="158"/>
      <c r="S614" s="158"/>
      <c r="T614" s="158"/>
      <c r="U614" s="158"/>
      <c r="V614" s="158"/>
      <c r="W614" s="158"/>
      <c r="X614" s="158"/>
      <c r="Y614" s="158"/>
      <c r="Z614" s="158"/>
    </row>
    <row r="615" spans="1:26" ht="12" customHeight="1">
      <c r="A615" s="147"/>
      <c r="B615" s="158"/>
      <c r="C615" s="158"/>
      <c r="D615" s="158"/>
      <c r="E615" s="158"/>
      <c r="F615" s="158"/>
      <c r="G615" s="158"/>
      <c r="H615" s="158"/>
      <c r="I615" s="158"/>
      <c r="J615" s="158"/>
      <c r="K615" s="158"/>
      <c r="L615" s="158"/>
      <c r="M615" s="158"/>
      <c r="N615" s="158"/>
      <c r="O615" s="158"/>
      <c r="P615" s="158"/>
      <c r="Q615" s="158"/>
      <c r="R615" s="158"/>
      <c r="S615" s="158"/>
      <c r="T615" s="158"/>
      <c r="U615" s="158"/>
      <c r="V615" s="158"/>
      <c r="W615" s="158"/>
      <c r="X615" s="158"/>
      <c r="Y615" s="158"/>
      <c r="Z615" s="158"/>
    </row>
    <row r="616" spans="1:26" ht="12" customHeight="1">
      <c r="A616" s="147"/>
      <c r="B616" s="158"/>
      <c r="C616" s="158"/>
      <c r="D616" s="158"/>
      <c r="E616" s="158"/>
      <c r="F616" s="158"/>
      <c r="G616" s="158"/>
      <c r="H616" s="158"/>
      <c r="I616" s="158"/>
      <c r="J616" s="158"/>
      <c r="K616" s="158"/>
      <c r="L616" s="158"/>
      <c r="M616" s="158"/>
      <c r="N616" s="158"/>
      <c r="O616" s="158"/>
      <c r="P616" s="158"/>
      <c r="Q616" s="158"/>
      <c r="R616" s="158"/>
      <c r="S616" s="158"/>
      <c r="T616" s="158"/>
      <c r="U616" s="158"/>
      <c r="V616" s="158"/>
      <c r="W616" s="158"/>
      <c r="X616" s="158"/>
      <c r="Y616" s="158"/>
      <c r="Z616" s="158"/>
    </row>
    <row r="617" spans="1:26" ht="12" customHeight="1">
      <c r="A617" s="147"/>
      <c r="B617" s="158"/>
      <c r="C617" s="158"/>
      <c r="D617" s="158"/>
      <c r="E617" s="158"/>
      <c r="F617" s="158"/>
      <c r="G617" s="158"/>
      <c r="H617" s="158"/>
      <c r="I617" s="158"/>
      <c r="J617" s="158"/>
      <c r="K617" s="158"/>
      <c r="L617" s="158"/>
      <c r="M617" s="158"/>
      <c r="N617" s="158"/>
      <c r="O617" s="158"/>
      <c r="P617" s="158"/>
      <c r="Q617" s="158"/>
      <c r="R617" s="158"/>
      <c r="S617" s="158"/>
      <c r="T617" s="158"/>
      <c r="U617" s="158"/>
      <c r="V617" s="158"/>
      <c r="W617" s="158"/>
      <c r="X617" s="158"/>
      <c r="Y617" s="158"/>
      <c r="Z617" s="158"/>
    </row>
    <row r="618" spans="1:26" ht="12" customHeight="1">
      <c r="A618" s="147"/>
      <c r="B618" s="158"/>
      <c r="C618" s="158"/>
      <c r="D618" s="158"/>
      <c r="E618" s="158"/>
      <c r="F618" s="158"/>
      <c r="G618" s="158"/>
      <c r="H618" s="158"/>
      <c r="I618" s="158"/>
      <c r="J618" s="158"/>
      <c r="K618" s="158"/>
      <c r="L618" s="158"/>
      <c r="M618" s="158"/>
      <c r="N618" s="158"/>
      <c r="O618" s="158"/>
      <c r="P618" s="158"/>
      <c r="Q618" s="158"/>
      <c r="R618" s="158"/>
      <c r="S618" s="158"/>
      <c r="T618" s="158"/>
      <c r="U618" s="158"/>
      <c r="V618" s="158"/>
      <c r="W618" s="158"/>
      <c r="X618" s="158"/>
      <c r="Y618" s="158"/>
      <c r="Z618" s="158"/>
    </row>
    <row r="619" spans="1:26" ht="12" customHeight="1">
      <c r="A619" s="147"/>
      <c r="B619" s="158"/>
      <c r="C619" s="158"/>
      <c r="D619" s="158"/>
      <c r="E619" s="158"/>
      <c r="F619" s="158"/>
      <c r="G619" s="158"/>
      <c r="H619" s="158"/>
      <c r="I619" s="158"/>
      <c r="J619" s="158"/>
      <c r="K619" s="158"/>
      <c r="L619" s="158"/>
      <c r="M619" s="158"/>
      <c r="N619" s="158"/>
      <c r="O619" s="158"/>
      <c r="P619" s="158"/>
      <c r="Q619" s="158"/>
      <c r="R619" s="158"/>
      <c r="S619" s="158"/>
      <c r="T619" s="158"/>
      <c r="U619" s="158"/>
      <c r="V619" s="158"/>
      <c r="W619" s="158"/>
      <c r="X619" s="158"/>
      <c r="Y619" s="158"/>
      <c r="Z619" s="158"/>
    </row>
    <row r="620" spans="1:26" ht="12" customHeight="1">
      <c r="A620" s="147"/>
      <c r="B620" s="158"/>
      <c r="C620" s="158"/>
      <c r="D620" s="158"/>
      <c r="E620" s="158"/>
      <c r="F620" s="158"/>
      <c r="G620" s="158"/>
      <c r="H620" s="158"/>
      <c r="I620" s="158"/>
      <c r="J620" s="158"/>
      <c r="K620" s="158"/>
      <c r="L620" s="158"/>
      <c r="M620" s="158"/>
      <c r="N620" s="158"/>
      <c r="O620" s="158"/>
      <c r="P620" s="158"/>
      <c r="Q620" s="158"/>
      <c r="R620" s="158"/>
      <c r="S620" s="158"/>
      <c r="T620" s="158"/>
      <c r="U620" s="158"/>
      <c r="V620" s="158"/>
      <c r="W620" s="158"/>
      <c r="X620" s="158"/>
      <c r="Y620" s="158"/>
      <c r="Z620" s="158"/>
    </row>
    <row r="621" spans="1:26" ht="12" customHeight="1">
      <c r="A621" s="147"/>
      <c r="B621" s="158"/>
      <c r="C621" s="158"/>
      <c r="D621" s="158"/>
      <c r="E621" s="158"/>
      <c r="F621" s="158"/>
      <c r="G621" s="158"/>
      <c r="H621" s="158"/>
      <c r="I621" s="158"/>
      <c r="J621" s="158"/>
      <c r="K621" s="158"/>
      <c r="L621" s="158"/>
      <c r="M621" s="158"/>
      <c r="N621" s="158"/>
      <c r="O621" s="158"/>
      <c r="P621" s="158"/>
      <c r="Q621" s="158"/>
      <c r="R621" s="158"/>
      <c r="S621" s="158"/>
      <c r="T621" s="158"/>
      <c r="U621" s="158"/>
      <c r="V621" s="158"/>
      <c r="W621" s="158"/>
      <c r="X621" s="158"/>
      <c r="Y621" s="158"/>
      <c r="Z621" s="158"/>
    </row>
    <row r="622" spans="1:26" ht="12" customHeight="1">
      <c r="A622" s="147"/>
      <c r="B622" s="158"/>
      <c r="C622" s="158"/>
      <c r="D622" s="158"/>
      <c r="E622" s="158"/>
      <c r="F622" s="158"/>
      <c r="G622" s="158"/>
      <c r="H622" s="158"/>
      <c r="I622" s="158"/>
      <c r="J622" s="158"/>
      <c r="K622" s="158"/>
      <c r="L622" s="158"/>
      <c r="M622" s="158"/>
      <c r="N622" s="158"/>
      <c r="O622" s="158"/>
      <c r="P622" s="158"/>
      <c r="Q622" s="158"/>
      <c r="R622" s="158"/>
      <c r="S622" s="158"/>
      <c r="T622" s="158"/>
      <c r="U622" s="158"/>
      <c r="V622" s="158"/>
      <c r="W622" s="158"/>
      <c r="X622" s="158"/>
      <c r="Y622" s="158"/>
      <c r="Z622" s="158"/>
    </row>
    <row r="623" spans="1:26" ht="12" customHeight="1">
      <c r="A623" s="147"/>
      <c r="B623" s="158"/>
      <c r="C623" s="158"/>
      <c r="D623" s="158"/>
      <c r="E623" s="158"/>
      <c r="F623" s="158"/>
      <c r="G623" s="158"/>
      <c r="H623" s="158"/>
      <c r="I623" s="158"/>
      <c r="J623" s="158"/>
      <c r="K623" s="158"/>
      <c r="L623" s="158"/>
      <c r="M623" s="158"/>
      <c r="N623" s="158"/>
      <c r="O623" s="158"/>
      <c r="P623" s="158"/>
      <c r="Q623" s="158"/>
      <c r="R623" s="158"/>
      <c r="S623" s="158"/>
      <c r="T623" s="158"/>
      <c r="U623" s="158"/>
      <c r="V623" s="158"/>
      <c r="W623" s="158"/>
      <c r="X623" s="158"/>
      <c r="Y623" s="158"/>
      <c r="Z623" s="158"/>
    </row>
    <row r="624" spans="1:26" ht="12" customHeight="1">
      <c r="A624" s="147"/>
      <c r="B624" s="158"/>
      <c r="C624" s="158"/>
      <c r="D624" s="158"/>
      <c r="E624" s="158"/>
      <c r="F624" s="158"/>
      <c r="G624" s="158"/>
      <c r="H624" s="158"/>
      <c r="I624" s="158"/>
      <c r="J624" s="158"/>
      <c r="K624" s="158"/>
      <c r="L624" s="158"/>
      <c r="M624" s="158"/>
      <c r="N624" s="158"/>
      <c r="O624" s="158"/>
      <c r="P624" s="158"/>
      <c r="Q624" s="158"/>
      <c r="R624" s="158"/>
      <c r="S624" s="158"/>
      <c r="T624" s="158"/>
      <c r="U624" s="158"/>
      <c r="V624" s="158"/>
      <c r="W624" s="158"/>
      <c r="X624" s="158"/>
      <c r="Y624" s="158"/>
      <c r="Z624" s="158"/>
    </row>
    <row r="625" spans="1:26" ht="12" customHeight="1">
      <c r="A625" s="147"/>
      <c r="B625" s="158"/>
      <c r="C625" s="158"/>
      <c r="D625" s="158"/>
      <c r="E625" s="158"/>
      <c r="F625" s="158"/>
      <c r="G625" s="158"/>
      <c r="H625" s="158"/>
      <c r="I625" s="158"/>
      <c r="J625" s="158"/>
      <c r="K625" s="158"/>
      <c r="L625" s="158"/>
      <c r="M625" s="158"/>
      <c r="N625" s="158"/>
      <c r="O625" s="158"/>
      <c r="P625" s="158"/>
      <c r="Q625" s="158"/>
      <c r="R625" s="158"/>
      <c r="S625" s="158"/>
      <c r="T625" s="158"/>
      <c r="U625" s="158"/>
      <c r="V625" s="158"/>
      <c r="W625" s="158"/>
      <c r="X625" s="158"/>
      <c r="Y625" s="158"/>
      <c r="Z625" s="158"/>
    </row>
    <row r="626" spans="1:26" ht="12" customHeight="1">
      <c r="A626" s="147"/>
      <c r="B626" s="158"/>
      <c r="C626" s="158"/>
      <c r="D626" s="158"/>
      <c r="E626" s="158"/>
      <c r="F626" s="158"/>
      <c r="G626" s="158"/>
      <c r="H626" s="158"/>
      <c r="I626" s="158"/>
      <c r="J626" s="158"/>
      <c r="K626" s="158"/>
      <c r="L626" s="158"/>
      <c r="M626" s="158"/>
      <c r="N626" s="158"/>
      <c r="O626" s="158"/>
      <c r="P626" s="158"/>
      <c r="Q626" s="158"/>
      <c r="R626" s="158"/>
      <c r="S626" s="158"/>
      <c r="T626" s="158"/>
      <c r="U626" s="158"/>
      <c r="V626" s="158"/>
      <c r="W626" s="158"/>
      <c r="X626" s="158"/>
      <c r="Y626" s="158"/>
      <c r="Z626" s="158"/>
    </row>
    <row r="627" spans="1:26" ht="12" customHeight="1">
      <c r="A627" s="147"/>
      <c r="B627" s="158"/>
      <c r="C627" s="158"/>
      <c r="D627" s="158"/>
      <c r="E627" s="158"/>
      <c r="F627" s="158"/>
      <c r="G627" s="158"/>
      <c r="H627" s="158"/>
      <c r="I627" s="158"/>
      <c r="J627" s="158"/>
      <c r="K627" s="158"/>
      <c r="L627" s="158"/>
      <c r="M627" s="158"/>
      <c r="N627" s="158"/>
      <c r="O627" s="158"/>
      <c r="P627" s="158"/>
      <c r="Q627" s="158"/>
      <c r="R627" s="158"/>
      <c r="S627" s="158"/>
      <c r="T627" s="158"/>
      <c r="U627" s="158"/>
      <c r="V627" s="158"/>
      <c r="W627" s="158"/>
      <c r="X627" s="158"/>
      <c r="Y627" s="158"/>
      <c r="Z627" s="158"/>
    </row>
    <row r="628" spans="1:26" ht="12" customHeight="1">
      <c r="A628" s="147"/>
      <c r="B628" s="158"/>
      <c r="C628" s="158"/>
      <c r="D628" s="158"/>
      <c r="E628" s="158"/>
      <c r="F628" s="158"/>
      <c r="G628" s="158"/>
      <c r="H628" s="158"/>
      <c r="I628" s="158"/>
      <c r="J628" s="158"/>
      <c r="K628" s="158"/>
      <c r="L628" s="158"/>
      <c r="M628" s="158"/>
      <c r="N628" s="158"/>
      <c r="O628" s="158"/>
      <c r="P628" s="158"/>
      <c r="Q628" s="158"/>
      <c r="R628" s="158"/>
      <c r="S628" s="158"/>
      <c r="T628" s="158"/>
      <c r="U628" s="158"/>
      <c r="V628" s="158"/>
      <c r="W628" s="158"/>
      <c r="X628" s="158"/>
      <c r="Y628" s="158"/>
      <c r="Z628" s="158"/>
    </row>
    <row r="629" spans="1:26" ht="12" customHeight="1">
      <c r="A629" s="147"/>
      <c r="B629" s="158"/>
      <c r="C629" s="158"/>
      <c r="D629" s="158"/>
      <c r="E629" s="158"/>
      <c r="F629" s="158"/>
      <c r="G629" s="158"/>
      <c r="H629" s="158"/>
      <c r="I629" s="158"/>
      <c r="J629" s="158"/>
      <c r="K629" s="158"/>
      <c r="L629" s="158"/>
      <c r="M629" s="158"/>
      <c r="N629" s="158"/>
      <c r="O629" s="158"/>
      <c r="P629" s="158"/>
      <c r="Q629" s="158"/>
      <c r="R629" s="158"/>
      <c r="S629" s="158"/>
      <c r="T629" s="158"/>
      <c r="U629" s="158"/>
      <c r="V629" s="158"/>
      <c r="W629" s="158"/>
      <c r="X629" s="158"/>
      <c r="Y629" s="158"/>
      <c r="Z629" s="158"/>
    </row>
    <row r="630" spans="1:26" ht="12" customHeight="1">
      <c r="A630" s="147"/>
      <c r="B630" s="158"/>
      <c r="C630" s="158"/>
      <c r="D630" s="158"/>
      <c r="E630" s="158"/>
      <c r="F630" s="158"/>
      <c r="G630" s="158"/>
      <c r="H630" s="158"/>
      <c r="I630" s="158"/>
      <c r="J630" s="158"/>
      <c r="K630" s="158"/>
      <c r="L630" s="158"/>
      <c r="M630" s="158"/>
      <c r="N630" s="158"/>
      <c r="O630" s="158"/>
      <c r="P630" s="158"/>
      <c r="Q630" s="158"/>
      <c r="R630" s="158"/>
      <c r="S630" s="158"/>
      <c r="T630" s="158"/>
      <c r="U630" s="158"/>
      <c r="V630" s="158"/>
      <c r="W630" s="158"/>
      <c r="X630" s="158"/>
      <c r="Y630" s="158"/>
      <c r="Z630" s="158"/>
    </row>
    <row r="631" spans="1:26" ht="12" customHeight="1">
      <c r="A631" s="147"/>
      <c r="B631" s="158"/>
      <c r="C631" s="158"/>
      <c r="D631" s="158"/>
      <c r="E631" s="158"/>
      <c r="F631" s="158"/>
      <c r="G631" s="158"/>
      <c r="H631" s="158"/>
      <c r="I631" s="158"/>
      <c r="J631" s="158"/>
      <c r="K631" s="158"/>
      <c r="L631" s="158"/>
      <c r="M631" s="158"/>
      <c r="N631" s="158"/>
      <c r="O631" s="158"/>
      <c r="P631" s="158"/>
      <c r="Q631" s="158"/>
      <c r="R631" s="158"/>
      <c r="S631" s="158"/>
      <c r="T631" s="158"/>
      <c r="U631" s="158"/>
      <c r="V631" s="158"/>
      <c r="W631" s="158"/>
      <c r="X631" s="158"/>
      <c r="Y631" s="158"/>
      <c r="Z631" s="158"/>
    </row>
    <row r="632" spans="1:26" ht="12" customHeight="1">
      <c r="A632" s="147"/>
      <c r="B632" s="158"/>
      <c r="C632" s="158"/>
      <c r="D632" s="158"/>
      <c r="E632" s="158"/>
      <c r="F632" s="158"/>
      <c r="G632" s="158"/>
      <c r="H632" s="158"/>
      <c r="I632" s="158"/>
      <c r="J632" s="158"/>
      <c r="K632" s="158"/>
      <c r="L632" s="158"/>
      <c r="M632" s="158"/>
      <c r="N632" s="158"/>
      <c r="O632" s="158"/>
      <c r="P632" s="158"/>
      <c r="Q632" s="158"/>
      <c r="R632" s="158"/>
      <c r="S632" s="158"/>
      <c r="T632" s="158"/>
      <c r="U632" s="158"/>
      <c r="V632" s="158"/>
      <c r="W632" s="158"/>
      <c r="X632" s="158"/>
      <c r="Y632" s="158"/>
      <c r="Z632" s="158"/>
    </row>
    <row r="633" spans="1:26" ht="12" customHeight="1">
      <c r="A633" s="147"/>
      <c r="B633" s="158"/>
      <c r="C633" s="158"/>
      <c r="D633" s="158"/>
      <c r="E633" s="158"/>
      <c r="F633" s="158"/>
      <c r="G633" s="158"/>
      <c r="H633" s="158"/>
      <c r="I633" s="158"/>
      <c r="J633" s="158"/>
      <c r="K633" s="158"/>
      <c r="L633" s="158"/>
      <c r="M633" s="158"/>
      <c r="N633" s="158"/>
      <c r="O633" s="158"/>
      <c r="P633" s="158"/>
      <c r="Q633" s="158"/>
      <c r="R633" s="158"/>
      <c r="S633" s="158"/>
      <c r="T633" s="158"/>
      <c r="U633" s="158"/>
      <c r="V633" s="158"/>
      <c r="W633" s="158"/>
      <c r="X633" s="158"/>
      <c r="Y633" s="158"/>
      <c r="Z633" s="158"/>
    </row>
    <row r="634" spans="1:26" ht="12" customHeight="1">
      <c r="A634" s="147"/>
      <c r="B634" s="158"/>
      <c r="C634" s="158"/>
      <c r="D634" s="158"/>
      <c r="E634" s="158"/>
      <c r="F634" s="158"/>
      <c r="G634" s="158"/>
      <c r="H634" s="158"/>
      <c r="I634" s="158"/>
      <c r="J634" s="158"/>
      <c r="K634" s="158"/>
      <c r="L634" s="158"/>
      <c r="M634" s="158"/>
      <c r="N634" s="158"/>
      <c r="O634" s="158"/>
      <c r="P634" s="158"/>
      <c r="Q634" s="158"/>
      <c r="R634" s="158"/>
      <c r="S634" s="158"/>
      <c r="T634" s="158"/>
      <c r="U634" s="158"/>
      <c r="V634" s="158"/>
      <c r="W634" s="158"/>
      <c r="X634" s="158"/>
      <c r="Y634" s="158"/>
      <c r="Z634" s="158"/>
    </row>
    <row r="635" spans="1:26" ht="12" customHeight="1">
      <c r="A635" s="147"/>
      <c r="B635" s="158"/>
      <c r="C635" s="158"/>
      <c r="D635" s="158"/>
      <c r="E635" s="158"/>
      <c r="F635" s="158"/>
      <c r="G635" s="158"/>
      <c r="H635" s="158"/>
      <c r="I635" s="158"/>
      <c r="J635" s="158"/>
      <c r="K635" s="158"/>
      <c r="L635" s="158"/>
      <c r="M635" s="158"/>
      <c r="N635" s="158"/>
      <c r="O635" s="158"/>
      <c r="P635" s="158"/>
      <c r="Q635" s="158"/>
      <c r="R635" s="158"/>
      <c r="S635" s="158"/>
      <c r="T635" s="158"/>
      <c r="U635" s="158"/>
      <c r="V635" s="158"/>
      <c r="W635" s="158"/>
      <c r="X635" s="158"/>
      <c r="Y635" s="158"/>
      <c r="Z635" s="158"/>
    </row>
    <row r="636" spans="1:26" ht="12" customHeight="1">
      <c r="A636" s="147"/>
      <c r="B636" s="158"/>
      <c r="C636" s="158"/>
      <c r="D636" s="158"/>
      <c r="E636" s="158"/>
      <c r="F636" s="158"/>
      <c r="G636" s="158"/>
      <c r="H636" s="158"/>
      <c r="I636" s="158"/>
      <c r="J636" s="158"/>
      <c r="K636" s="158"/>
      <c r="L636" s="158"/>
      <c r="M636" s="158"/>
      <c r="N636" s="158"/>
      <c r="O636" s="158"/>
      <c r="P636" s="158"/>
      <c r="Q636" s="158"/>
      <c r="R636" s="158"/>
      <c r="S636" s="158"/>
      <c r="T636" s="158"/>
      <c r="U636" s="158"/>
      <c r="V636" s="158"/>
      <c r="W636" s="158"/>
      <c r="X636" s="158"/>
      <c r="Y636" s="158"/>
      <c r="Z636" s="158"/>
    </row>
    <row r="637" spans="1:26" ht="12" customHeight="1">
      <c r="A637" s="147"/>
      <c r="B637" s="158"/>
      <c r="C637" s="158"/>
      <c r="D637" s="158"/>
      <c r="E637" s="158"/>
      <c r="F637" s="158"/>
      <c r="G637" s="158"/>
      <c r="H637" s="158"/>
      <c r="I637" s="158"/>
      <c r="J637" s="158"/>
      <c r="K637" s="158"/>
      <c r="L637" s="158"/>
      <c r="M637" s="158"/>
      <c r="N637" s="158"/>
      <c r="O637" s="158"/>
      <c r="P637" s="158"/>
      <c r="Q637" s="158"/>
      <c r="R637" s="158"/>
      <c r="S637" s="158"/>
      <c r="T637" s="158"/>
      <c r="U637" s="158"/>
      <c r="V637" s="158"/>
      <c r="W637" s="158"/>
      <c r="X637" s="158"/>
      <c r="Y637" s="158"/>
      <c r="Z637" s="158"/>
    </row>
    <row r="638" spans="1:26" ht="12" customHeight="1">
      <c r="A638" s="147"/>
      <c r="B638" s="158"/>
      <c r="C638" s="158"/>
      <c r="D638" s="158"/>
      <c r="E638" s="158"/>
      <c r="F638" s="158"/>
      <c r="G638" s="158"/>
      <c r="H638" s="158"/>
      <c r="I638" s="158"/>
      <c r="J638" s="158"/>
      <c r="K638" s="158"/>
      <c r="L638" s="158"/>
      <c r="M638" s="158"/>
      <c r="N638" s="158"/>
      <c r="O638" s="158"/>
      <c r="P638" s="158"/>
      <c r="Q638" s="158"/>
      <c r="R638" s="158"/>
      <c r="S638" s="158"/>
      <c r="T638" s="158"/>
      <c r="U638" s="158"/>
      <c r="V638" s="158"/>
      <c r="W638" s="158"/>
      <c r="X638" s="158"/>
      <c r="Y638" s="158"/>
      <c r="Z638" s="158"/>
    </row>
    <row r="639" spans="1:26" ht="12" customHeight="1">
      <c r="A639" s="147"/>
      <c r="B639" s="158"/>
      <c r="C639" s="158"/>
      <c r="D639" s="158"/>
      <c r="E639" s="158"/>
      <c r="F639" s="158"/>
      <c r="G639" s="158"/>
      <c r="H639" s="158"/>
      <c r="I639" s="158"/>
      <c r="J639" s="158"/>
      <c r="K639" s="158"/>
      <c r="L639" s="158"/>
      <c r="M639" s="158"/>
      <c r="N639" s="158"/>
      <c r="O639" s="158"/>
      <c r="P639" s="158"/>
      <c r="Q639" s="158"/>
      <c r="R639" s="158"/>
      <c r="S639" s="158"/>
      <c r="T639" s="158"/>
      <c r="U639" s="158"/>
      <c r="V639" s="158"/>
      <c r="W639" s="158"/>
      <c r="X639" s="158"/>
      <c r="Y639" s="158"/>
      <c r="Z639" s="158"/>
    </row>
    <row r="640" spans="1:26" ht="12" customHeight="1">
      <c r="A640" s="147"/>
      <c r="B640" s="158"/>
      <c r="C640" s="158"/>
      <c r="D640" s="158"/>
      <c r="E640" s="158"/>
      <c r="F640" s="158"/>
      <c r="G640" s="158"/>
      <c r="H640" s="158"/>
      <c r="I640" s="158"/>
      <c r="J640" s="158"/>
      <c r="K640" s="158"/>
      <c r="L640" s="158"/>
      <c r="M640" s="158"/>
      <c r="N640" s="158"/>
      <c r="O640" s="158"/>
      <c r="P640" s="158"/>
      <c r="Q640" s="158"/>
      <c r="R640" s="158"/>
      <c r="S640" s="158"/>
      <c r="T640" s="158"/>
      <c r="U640" s="158"/>
      <c r="V640" s="158"/>
      <c r="W640" s="158"/>
      <c r="X640" s="158"/>
      <c r="Y640" s="158"/>
      <c r="Z640" s="158"/>
    </row>
    <row r="641" spans="1:26" ht="12" customHeight="1">
      <c r="A641" s="147"/>
      <c r="B641" s="158"/>
      <c r="C641" s="158"/>
      <c r="D641" s="158"/>
      <c r="E641" s="158"/>
      <c r="F641" s="158"/>
      <c r="G641" s="158"/>
      <c r="H641" s="158"/>
      <c r="I641" s="158"/>
      <c r="J641" s="158"/>
      <c r="K641" s="158"/>
      <c r="L641" s="158"/>
      <c r="M641" s="158"/>
      <c r="N641" s="158"/>
      <c r="O641" s="158"/>
      <c r="P641" s="158"/>
      <c r="Q641" s="158"/>
      <c r="R641" s="158"/>
      <c r="S641" s="158"/>
      <c r="T641" s="158"/>
      <c r="U641" s="158"/>
      <c r="V641" s="158"/>
      <c r="W641" s="158"/>
      <c r="X641" s="158"/>
      <c r="Y641" s="158"/>
      <c r="Z641" s="158"/>
    </row>
    <row r="642" spans="1:26" ht="12" customHeight="1">
      <c r="A642" s="147"/>
      <c r="B642" s="158"/>
      <c r="C642" s="158"/>
      <c r="D642" s="158"/>
      <c r="E642" s="158"/>
      <c r="F642" s="158"/>
      <c r="G642" s="158"/>
      <c r="H642" s="158"/>
      <c r="I642" s="158"/>
      <c r="J642" s="158"/>
      <c r="K642" s="158"/>
      <c r="L642" s="158"/>
      <c r="M642" s="158"/>
      <c r="N642" s="158"/>
      <c r="O642" s="158"/>
      <c r="P642" s="158"/>
      <c r="Q642" s="158"/>
      <c r="R642" s="158"/>
      <c r="S642" s="158"/>
      <c r="T642" s="158"/>
      <c r="U642" s="158"/>
      <c r="V642" s="158"/>
      <c r="W642" s="158"/>
      <c r="X642" s="158"/>
      <c r="Y642" s="158"/>
      <c r="Z642" s="158"/>
    </row>
    <row r="643" spans="1:26" ht="12" customHeight="1">
      <c r="A643" s="147"/>
      <c r="B643" s="158"/>
      <c r="C643" s="158"/>
      <c r="D643" s="158"/>
      <c r="E643" s="158"/>
      <c r="F643" s="158"/>
      <c r="G643" s="158"/>
      <c r="H643" s="158"/>
      <c r="I643" s="158"/>
      <c r="J643" s="158"/>
      <c r="K643" s="158"/>
      <c r="L643" s="158"/>
      <c r="M643" s="158"/>
      <c r="N643" s="158"/>
      <c r="O643" s="158"/>
      <c r="P643" s="158"/>
      <c r="Q643" s="158"/>
      <c r="R643" s="158"/>
      <c r="S643" s="158"/>
      <c r="T643" s="158"/>
      <c r="U643" s="158"/>
      <c r="V643" s="158"/>
      <c r="W643" s="158"/>
      <c r="X643" s="158"/>
      <c r="Y643" s="158"/>
      <c r="Z643" s="158"/>
    </row>
    <row r="644" spans="1:26" ht="12" customHeight="1">
      <c r="A644" s="147"/>
      <c r="B644" s="158"/>
      <c r="C644" s="158"/>
      <c r="D644" s="158"/>
      <c r="E644" s="158"/>
      <c r="F644" s="158"/>
      <c r="G644" s="158"/>
      <c r="H644" s="158"/>
      <c r="I644" s="158"/>
      <c r="J644" s="158"/>
      <c r="K644" s="158"/>
      <c r="L644" s="158"/>
      <c r="M644" s="158"/>
      <c r="N644" s="158"/>
      <c r="O644" s="158"/>
      <c r="P644" s="158"/>
      <c r="Q644" s="158"/>
      <c r="R644" s="158"/>
      <c r="S644" s="158"/>
      <c r="T644" s="158"/>
      <c r="U644" s="158"/>
      <c r="V644" s="158"/>
      <c r="W644" s="158"/>
      <c r="X644" s="158"/>
      <c r="Y644" s="158"/>
      <c r="Z644" s="158"/>
    </row>
    <row r="645" spans="1:26" ht="12" customHeight="1">
      <c r="A645" s="147"/>
      <c r="B645" s="158"/>
      <c r="C645" s="158"/>
      <c r="D645" s="158"/>
      <c r="E645" s="158"/>
      <c r="F645" s="158"/>
      <c r="G645" s="158"/>
      <c r="H645" s="158"/>
      <c r="I645" s="158"/>
      <c r="J645" s="158"/>
      <c r="K645" s="158"/>
      <c r="L645" s="158"/>
      <c r="M645" s="158"/>
      <c r="N645" s="158"/>
      <c r="O645" s="158"/>
      <c r="P645" s="158"/>
      <c r="Q645" s="158"/>
      <c r="R645" s="158"/>
      <c r="S645" s="158"/>
      <c r="T645" s="158"/>
      <c r="U645" s="158"/>
      <c r="V645" s="158"/>
      <c r="W645" s="158"/>
      <c r="X645" s="158"/>
      <c r="Y645" s="158"/>
      <c r="Z645" s="158"/>
    </row>
    <row r="646" spans="1:26" ht="12" customHeight="1">
      <c r="A646" s="147"/>
      <c r="B646" s="158"/>
      <c r="C646" s="158"/>
      <c r="D646" s="158"/>
      <c r="E646" s="158"/>
      <c r="F646" s="158"/>
      <c r="G646" s="158"/>
      <c r="H646" s="158"/>
      <c r="I646" s="158"/>
      <c r="J646" s="158"/>
      <c r="K646" s="158"/>
      <c r="L646" s="158"/>
      <c r="M646" s="158"/>
      <c r="N646" s="158"/>
      <c r="O646" s="158"/>
      <c r="P646" s="158"/>
      <c r="Q646" s="158"/>
      <c r="R646" s="158"/>
      <c r="S646" s="158"/>
      <c r="T646" s="158"/>
      <c r="U646" s="158"/>
      <c r="V646" s="158"/>
      <c r="W646" s="158"/>
      <c r="X646" s="158"/>
      <c r="Y646" s="158"/>
      <c r="Z646" s="158"/>
    </row>
    <row r="647" spans="1:26" ht="12" customHeight="1">
      <c r="A647" s="147"/>
      <c r="B647" s="158"/>
      <c r="C647" s="158"/>
      <c r="D647" s="158"/>
      <c r="E647" s="158"/>
      <c r="F647" s="158"/>
      <c r="G647" s="158"/>
      <c r="H647" s="158"/>
      <c r="I647" s="158"/>
      <c r="J647" s="158"/>
      <c r="K647" s="158"/>
      <c r="L647" s="158"/>
      <c r="M647" s="158"/>
      <c r="N647" s="158"/>
      <c r="O647" s="158"/>
      <c r="P647" s="158"/>
      <c r="Q647" s="158"/>
      <c r="R647" s="158"/>
      <c r="S647" s="158"/>
      <c r="T647" s="158"/>
      <c r="U647" s="158"/>
      <c r="V647" s="158"/>
      <c r="W647" s="158"/>
      <c r="X647" s="158"/>
      <c r="Y647" s="158"/>
      <c r="Z647" s="158"/>
    </row>
    <row r="648" spans="1:26" ht="12" customHeight="1">
      <c r="A648" s="147"/>
      <c r="B648" s="158"/>
      <c r="C648" s="158"/>
      <c r="D648" s="158"/>
      <c r="E648" s="158"/>
      <c r="F648" s="158"/>
      <c r="G648" s="158"/>
      <c r="H648" s="158"/>
      <c r="I648" s="158"/>
      <c r="J648" s="158"/>
      <c r="K648" s="158"/>
      <c r="L648" s="158"/>
      <c r="M648" s="158"/>
      <c r="N648" s="158"/>
      <c r="O648" s="158"/>
      <c r="P648" s="158"/>
      <c r="Q648" s="158"/>
      <c r="R648" s="158"/>
      <c r="S648" s="158"/>
      <c r="T648" s="158"/>
      <c r="U648" s="158"/>
      <c r="V648" s="158"/>
      <c r="W648" s="158"/>
      <c r="X648" s="158"/>
      <c r="Y648" s="158"/>
      <c r="Z648" s="158"/>
    </row>
    <row r="649" spans="1:26" ht="12" customHeight="1">
      <c r="A649" s="147"/>
      <c r="B649" s="158"/>
      <c r="C649" s="158"/>
      <c r="D649" s="158"/>
      <c r="E649" s="158"/>
      <c r="F649" s="158"/>
      <c r="G649" s="158"/>
      <c r="H649" s="158"/>
      <c r="I649" s="158"/>
      <c r="J649" s="158"/>
      <c r="K649" s="158"/>
      <c r="L649" s="158"/>
      <c r="M649" s="158"/>
      <c r="N649" s="158"/>
      <c r="O649" s="158"/>
      <c r="P649" s="158"/>
      <c r="Q649" s="158"/>
      <c r="R649" s="158"/>
      <c r="S649" s="158"/>
      <c r="T649" s="158"/>
      <c r="U649" s="158"/>
      <c r="V649" s="158"/>
      <c r="W649" s="158"/>
      <c r="X649" s="158"/>
      <c r="Y649" s="158"/>
      <c r="Z649" s="158"/>
    </row>
    <row r="650" spans="1:26" ht="12" customHeight="1">
      <c r="A650" s="147"/>
      <c r="B650" s="158"/>
      <c r="C650" s="158"/>
      <c r="D650" s="158"/>
      <c r="E650" s="158"/>
      <c r="F650" s="158"/>
      <c r="G650" s="158"/>
      <c r="H650" s="158"/>
      <c r="I650" s="158"/>
      <c r="J650" s="158"/>
      <c r="K650" s="158"/>
      <c r="L650" s="158"/>
      <c r="M650" s="158"/>
      <c r="N650" s="158"/>
      <c r="O650" s="158"/>
      <c r="P650" s="158"/>
      <c r="Q650" s="158"/>
      <c r="R650" s="158"/>
      <c r="S650" s="158"/>
      <c r="T650" s="158"/>
      <c r="U650" s="158"/>
      <c r="V650" s="158"/>
      <c r="W650" s="158"/>
      <c r="X650" s="158"/>
      <c r="Y650" s="158"/>
      <c r="Z650" s="158"/>
    </row>
    <row r="651" spans="1:26" ht="12" customHeight="1">
      <c r="A651" s="147"/>
      <c r="B651" s="158"/>
      <c r="C651" s="158"/>
      <c r="D651" s="158"/>
      <c r="E651" s="158"/>
      <c r="F651" s="158"/>
      <c r="G651" s="158"/>
      <c r="H651" s="158"/>
      <c r="I651" s="158"/>
      <c r="J651" s="158"/>
      <c r="K651" s="158"/>
      <c r="L651" s="158"/>
      <c r="M651" s="158"/>
      <c r="N651" s="158"/>
      <c r="O651" s="158"/>
      <c r="P651" s="158"/>
      <c r="Q651" s="158"/>
      <c r="R651" s="158"/>
      <c r="S651" s="158"/>
      <c r="T651" s="158"/>
      <c r="U651" s="158"/>
      <c r="V651" s="158"/>
      <c r="W651" s="158"/>
      <c r="X651" s="158"/>
      <c r="Y651" s="158"/>
      <c r="Z651" s="158"/>
    </row>
    <row r="652" spans="1:26" ht="12" customHeight="1">
      <c r="A652" s="147"/>
      <c r="B652" s="158"/>
      <c r="C652" s="158"/>
      <c r="D652" s="158"/>
      <c r="E652" s="158"/>
      <c r="F652" s="158"/>
      <c r="G652" s="158"/>
      <c r="H652" s="158"/>
      <c r="I652" s="158"/>
      <c r="J652" s="158"/>
      <c r="K652" s="158"/>
      <c r="L652" s="158"/>
      <c r="M652" s="158"/>
      <c r="N652" s="158"/>
      <c r="O652" s="158"/>
      <c r="P652" s="158"/>
      <c r="Q652" s="158"/>
      <c r="R652" s="158"/>
      <c r="S652" s="158"/>
      <c r="T652" s="158"/>
      <c r="U652" s="158"/>
      <c r="V652" s="158"/>
      <c r="W652" s="158"/>
      <c r="X652" s="158"/>
      <c r="Y652" s="158"/>
      <c r="Z652" s="158"/>
    </row>
    <row r="653" spans="1:26" ht="12" customHeight="1">
      <c r="A653" s="147"/>
      <c r="B653" s="158"/>
      <c r="C653" s="158"/>
      <c r="D653" s="158"/>
      <c r="E653" s="158"/>
      <c r="F653" s="158"/>
      <c r="G653" s="158"/>
      <c r="H653" s="158"/>
      <c r="I653" s="158"/>
      <c r="J653" s="158"/>
      <c r="K653" s="158"/>
      <c r="L653" s="158"/>
      <c r="M653" s="158"/>
      <c r="N653" s="158"/>
      <c r="O653" s="158"/>
      <c r="P653" s="158"/>
      <c r="Q653" s="158"/>
      <c r="R653" s="158"/>
      <c r="S653" s="158"/>
      <c r="T653" s="158"/>
      <c r="U653" s="158"/>
      <c r="V653" s="158"/>
      <c r="W653" s="158"/>
      <c r="X653" s="158"/>
      <c r="Y653" s="158"/>
      <c r="Z653" s="158"/>
    </row>
    <row r="654" spans="1:26" ht="12" customHeight="1">
      <c r="A654" s="147"/>
      <c r="B654" s="158"/>
      <c r="C654" s="158"/>
      <c r="D654" s="158"/>
      <c r="E654" s="158"/>
      <c r="F654" s="158"/>
      <c r="G654" s="158"/>
      <c r="H654" s="158"/>
      <c r="I654" s="158"/>
      <c r="J654" s="158"/>
      <c r="K654" s="158"/>
      <c r="L654" s="158"/>
      <c r="M654" s="158"/>
      <c r="N654" s="158"/>
      <c r="O654" s="158"/>
      <c r="P654" s="158"/>
      <c r="Q654" s="158"/>
      <c r="R654" s="158"/>
      <c r="S654" s="158"/>
      <c r="T654" s="158"/>
      <c r="U654" s="158"/>
      <c r="V654" s="158"/>
      <c r="W654" s="158"/>
      <c r="X654" s="158"/>
      <c r="Y654" s="158"/>
      <c r="Z654" s="158"/>
    </row>
    <row r="655" spans="1:26" ht="12" customHeight="1">
      <c r="A655" s="147"/>
      <c r="B655" s="158"/>
      <c r="C655" s="158"/>
      <c r="D655" s="158"/>
      <c r="E655" s="158"/>
      <c r="F655" s="158"/>
      <c r="G655" s="158"/>
      <c r="H655" s="158"/>
      <c r="I655" s="158"/>
      <c r="J655" s="158"/>
      <c r="K655" s="158"/>
      <c r="L655" s="158"/>
      <c r="M655" s="158"/>
      <c r="N655" s="158"/>
      <c r="O655" s="158"/>
      <c r="P655" s="158"/>
      <c r="Q655" s="158"/>
      <c r="R655" s="158"/>
      <c r="S655" s="158"/>
      <c r="T655" s="158"/>
      <c r="U655" s="158"/>
      <c r="V655" s="158"/>
      <c r="W655" s="158"/>
      <c r="X655" s="158"/>
      <c r="Y655" s="158"/>
      <c r="Z655" s="158"/>
    </row>
    <row r="656" spans="1:26" ht="12" customHeight="1">
      <c r="A656" s="147"/>
      <c r="B656" s="158"/>
      <c r="C656" s="158"/>
      <c r="D656" s="158"/>
      <c r="E656" s="158"/>
      <c r="F656" s="158"/>
      <c r="G656" s="158"/>
      <c r="H656" s="158"/>
      <c r="I656" s="158"/>
      <c r="J656" s="158"/>
      <c r="K656" s="158"/>
      <c r="L656" s="158"/>
      <c r="M656" s="158"/>
      <c r="N656" s="158"/>
      <c r="O656" s="158"/>
      <c r="P656" s="158"/>
      <c r="Q656" s="158"/>
      <c r="R656" s="158"/>
      <c r="S656" s="158"/>
      <c r="T656" s="158"/>
      <c r="U656" s="158"/>
      <c r="V656" s="158"/>
      <c r="W656" s="158"/>
      <c r="X656" s="158"/>
      <c r="Y656" s="158"/>
      <c r="Z656" s="158"/>
    </row>
    <row r="657" spans="1:26" ht="12" customHeight="1">
      <c r="A657" s="147"/>
      <c r="B657" s="158"/>
      <c r="C657" s="158"/>
      <c r="D657" s="158"/>
      <c r="E657" s="158"/>
      <c r="F657" s="158"/>
      <c r="G657" s="158"/>
      <c r="H657" s="158"/>
      <c r="I657" s="158"/>
      <c r="J657" s="158"/>
      <c r="K657" s="158"/>
      <c r="L657" s="158"/>
      <c r="M657" s="158"/>
      <c r="N657" s="158"/>
      <c r="O657" s="158"/>
      <c r="P657" s="158"/>
      <c r="Q657" s="158"/>
      <c r="R657" s="158"/>
      <c r="S657" s="158"/>
      <c r="T657" s="158"/>
      <c r="U657" s="158"/>
      <c r="V657" s="158"/>
      <c r="W657" s="158"/>
      <c r="X657" s="158"/>
      <c r="Y657" s="158"/>
      <c r="Z657" s="158"/>
    </row>
    <row r="658" spans="1:26" ht="12" customHeight="1">
      <c r="A658" s="147"/>
      <c r="B658" s="158"/>
      <c r="C658" s="158"/>
      <c r="D658" s="158"/>
      <c r="E658" s="158"/>
      <c r="F658" s="158"/>
      <c r="G658" s="158"/>
      <c r="H658" s="158"/>
      <c r="I658" s="158"/>
      <c r="J658" s="158"/>
      <c r="K658" s="158"/>
      <c r="L658" s="158"/>
      <c r="M658" s="158"/>
      <c r="N658" s="158"/>
      <c r="O658" s="158"/>
      <c r="P658" s="158"/>
      <c r="Q658" s="158"/>
      <c r="R658" s="158"/>
      <c r="S658" s="158"/>
      <c r="T658" s="158"/>
      <c r="U658" s="158"/>
      <c r="V658" s="158"/>
      <c r="W658" s="158"/>
      <c r="X658" s="158"/>
      <c r="Y658" s="158"/>
      <c r="Z658" s="158"/>
    </row>
    <row r="659" spans="1:26" ht="12" customHeight="1">
      <c r="A659" s="147"/>
      <c r="B659" s="158"/>
      <c r="C659" s="158"/>
      <c r="D659" s="158"/>
      <c r="E659" s="158"/>
      <c r="F659" s="158"/>
      <c r="G659" s="158"/>
      <c r="H659" s="158"/>
      <c r="I659" s="158"/>
      <c r="J659" s="158"/>
      <c r="K659" s="158"/>
      <c r="L659" s="158"/>
      <c r="M659" s="158"/>
      <c r="N659" s="158"/>
      <c r="O659" s="158"/>
      <c r="P659" s="158"/>
      <c r="Q659" s="158"/>
      <c r="R659" s="158"/>
      <c r="S659" s="158"/>
      <c r="T659" s="158"/>
      <c r="U659" s="158"/>
      <c r="V659" s="158"/>
      <c r="W659" s="158"/>
      <c r="X659" s="158"/>
      <c r="Y659" s="158"/>
      <c r="Z659" s="158"/>
    </row>
    <row r="660" spans="1:26" ht="12" customHeight="1">
      <c r="A660" s="147"/>
      <c r="B660" s="158"/>
      <c r="C660" s="158"/>
      <c r="D660" s="158"/>
      <c r="E660" s="158"/>
      <c r="F660" s="158"/>
      <c r="G660" s="158"/>
      <c r="H660" s="158"/>
      <c r="I660" s="158"/>
      <c r="J660" s="158"/>
      <c r="K660" s="158"/>
      <c r="L660" s="158"/>
      <c r="M660" s="158"/>
      <c r="N660" s="158"/>
      <c r="O660" s="158"/>
      <c r="P660" s="158"/>
      <c r="Q660" s="158"/>
      <c r="R660" s="158"/>
      <c r="S660" s="158"/>
      <c r="T660" s="158"/>
      <c r="U660" s="158"/>
      <c r="V660" s="158"/>
      <c r="W660" s="158"/>
      <c r="X660" s="158"/>
      <c r="Y660" s="158"/>
      <c r="Z660" s="158"/>
    </row>
    <row r="661" spans="1:26" ht="12" customHeight="1">
      <c r="A661" s="147"/>
      <c r="B661" s="158"/>
      <c r="C661" s="158"/>
      <c r="D661" s="158"/>
      <c r="E661" s="158"/>
      <c r="F661" s="158"/>
      <c r="G661" s="158"/>
      <c r="H661" s="158"/>
      <c r="I661" s="158"/>
      <c r="J661" s="158"/>
      <c r="K661" s="158"/>
      <c r="L661" s="158"/>
      <c r="M661" s="158"/>
      <c r="N661" s="158"/>
      <c r="O661" s="158"/>
      <c r="P661" s="158"/>
      <c r="Q661" s="158"/>
      <c r="R661" s="158"/>
      <c r="S661" s="158"/>
      <c r="T661" s="158"/>
      <c r="U661" s="158"/>
      <c r="V661" s="158"/>
      <c r="W661" s="158"/>
      <c r="X661" s="158"/>
      <c r="Y661" s="158"/>
      <c r="Z661" s="158"/>
    </row>
    <row r="662" spans="1:26" ht="12" customHeight="1">
      <c r="A662" s="147"/>
      <c r="B662" s="158"/>
      <c r="C662" s="158"/>
      <c r="D662" s="158"/>
      <c r="E662" s="158"/>
      <c r="F662" s="158"/>
      <c r="G662" s="158"/>
      <c r="H662" s="158"/>
      <c r="I662" s="158"/>
      <c r="J662" s="158"/>
      <c r="K662" s="158"/>
      <c r="L662" s="158"/>
      <c r="M662" s="158"/>
      <c r="N662" s="158"/>
      <c r="O662" s="158"/>
      <c r="P662" s="158"/>
      <c r="Q662" s="158"/>
      <c r="R662" s="158"/>
      <c r="S662" s="158"/>
      <c r="T662" s="158"/>
      <c r="U662" s="158"/>
      <c r="V662" s="158"/>
      <c r="W662" s="158"/>
      <c r="X662" s="158"/>
      <c r="Y662" s="158"/>
      <c r="Z662" s="158"/>
    </row>
    <row r="663" spans="1:26" ht="12" customHeight="1">
      <c r="A663" s="147"/>
      <c r="B663" s="158"/>
      <c r="C663" s="158"/>
      <c r="D663" s="158"/>
      <c r="E663" s="158"/>
      <c r="F663" s="158"/>
      <c r="G663" s="158"/>
      <c r="H663" s="158"/>
      <c r="I663" s="158"/>
      <c r="J663" s="158"/>
      <c r="K663" s="158"/>
      <c r="L663" s="158"/>
      <c r="M663" s="158"/>
      <c r="N663" s="158"/>
      <c r="O663" s="158"/>
      <c r="P663" s="158"/>
      <c r="Q663" s="158"/>
      <c r="R663" s="158"/>
      <c r="S663" s="158"/>
      <c r="T663" s="158"/>
      <c r="U663" s="158"/>
      <c r="V663" s="158"/>
      <c r="W663" s="158"/>
      <c r="X663" s="158"/>
      <c r="Y663" s="158"/>
      <c r="Z663" s="158"/>
    </row>
    <row r="664" spans="1:26" ht="12" customHeight="1">
      <c r="A664" s="147"/>
      <c r="B664" s="158"/>
      <c r="C664" s="158"/>
      <c r="D664" s="158"/>
      <c r="E664" s="158"/>
      <c r="F664" s="158"/>
      <c r="G664" s="158"/>
      <c r="H664" s="158"/>
      <c r="I664" s="158"/>
      <c r="J664" s="158"/>
      <c r="K664" s="158"/>
      <c r="L664" s="158"/>
      <c r="M664" s="158"/>
      <c r="N664" s="158"/>
      <c r="O664" s="158"/>
      <c r="P664" s="158"/>
      <c r="Q664" s="158"/>
      <c r="R664" s="158"/>
      <c r="S664" s="158"/>
      <c r="T664" s="158"/>
      <c r="U664" s="158"/>
      <c r="V664" s="158"/>
      <c r="W664" s="158"/>
      <c r="X664" s="158"/>
      <c r="Y664" s="158"/>
      <c r="Z664" s="158"/>
    </row>
    <row r="665" spans="1:26" ht="12" customHeight="1">
      <c r="A665" s="147"/>
      <c r="B665" s="158"/>
      <c r="C665" s="158"/>
      <c r="D665" s="158"/>
      <c r="E665" s="158"/>
      <c r="F665" s="158"/>
      <c r="G665" s="158"/>
      <c r="H665" s="158"/>
      <c r="I665" s="158"/>
      <c r="J665" s="158"/>
      <c r="K665" s="158"/>
      <c r="L665" s="158"/>
      <c r="M665" s="158"/>
      <c r="N665" s="158"/>
      <c r="O665" s="158"/>
      <c r="P665" s="158"/>
      <c r="Q665" s="158"/>
      <c r="R665" s="158"/>
      <c r="S665" s="158"/>
      <c r="T665" s="158"/>
      <c r="U665" s="158"/>
      <c r="V665" s="158"/>
      <c r="W665" s="158"/>
      <c r="X665" s="158"/>
      <c r="Y665" s="158"/>
      <c r="Z665" s="158"/>
    </row>
    <row r="666" spans="1:26" ht="12" customHeight="1">
      <c r="A666" s="147"/>
      <c r="B666" s="158"/>
      <c r="C666" s="158"/>
      <c r="D666" s="158"/>
      <c r="E666" s="158"/>
      <c r="F666" s="158"/>
      <c r="G666" s="158"/>
      <c r="H666" s="158"/>
      <c r="I666" s="158"/>
      <c r="J666" s="158"/>
      <c r="K666" s="158"/>
      <c r="L666" s="158"/>
      <c r="M666" s="158"/>
      <c r="N666" s="158"/>
      <c r="O666" s="158"/>
      <c r="P666" s="158"/>
      <c r="Q666" s="158"/>
      <c r="R666" s="158"/>
      <c r="S666" s="158"/>
      <c r="T666" s="158"/>
      <c r="U666" s="158"/>
      <c r="V666" s="158"/>
      <c r="W666" s="158"/>
      <c r="X666" s="158"/>
      <c r="Y666" s="158"/>
      <c r="Z666" s="158"/>
    </row>
    <row r="667" spans="1:26" ht="12" customHeight="1">
      <c r="A667" s="147"/>
      <c r="B667" s="158"/>
      <c r="C667" s="158"/>
      <c r="D667" s="158"/>
      <c r="E667" s="158"/>
      <c r="F667" s="158"/>
      <c r="G667" s="158"/>
      <c r="H667" s="158"/>
      <c r="I667" s="158"/>
      <c r="J667" s="158"/>
      <c r="K667" s="158"/>
      <c r="L667" s="158"/>
      <c r="M667" s="158"/>
      <c r="N667" s="158"/>
      <c r="O667" s="158"/>
      <c r="P667" s="158"/>
      <c r="Q667" s="158"/>
      <c r="R667" s="158"/>
      <c r="S667" s="158"/>
      <c r="T667" s="158"/>
      <c r="U667" s="158"/>
      <c r="V667" s="158"/>
      <c r="W667" s="158"/>
      <c r="X667" s="158"/>
      <c r="Y667" s="158"/>
      <c r="Z667" s="158"/>
    </row>
    <row r="668" spans="1:26" ht="12" customHeight="1">
      <c r="A668" s="147"/>
      <c r="B668" s="158"/>
      <c r="C668" s="158"/>
      <c r="D668" s="158"/>
      <c r="E668" s="158"/>
      <c r="F668" s="158"/>
      <c r="G668" s="158"/>
      <c r="H668" s="158"/>
      <c r="I668" s="158"/>
      <c r="J668" s="158"/>
      <c r="K668" s="158"/>
      <c r="L668" s="158"/>
      <c r="M668" s="158"/>
      <c r="N668" s="158"/>
      <c r="O668" s="158"/>
      <c r="P668" s="158"/>
      <c r="Q668" s="158"/>
      <c r="R668" s="158"/>
      <c r="S668" s="158"/>
      <c r="T668" s="158"/>
      <c r="U668" s="158"/>
      <c r="V668" s="158"/>
      <c r="W668" s="158"/>
      <c r="X668" s="158"/>
      <c r="Y668" s="158"/>
      <c r="Z668" s="158"/>
    </row>
    <row r="669" spans="1:26" ht="12" customHeight="1">
      <c r="A669" s="147"/>
      <c r="B669" s="158"/>
      <c r="C669" s="158"/>
      <c r="D669" s="158"/>
      <c r="E669" s="158"/>
      <c r="F669" s="158"/>
      <c r="G669" s="158"/>
      <c r="H669" s="158"/>
      <c r="I669" s="158"/>
      <c r="J669" s="158"/>
      <c r="K669" s="158"/>
      <c r="L669" s="158"/>
      <c r="M669" s="158"/>
      <c r="N669" s="158"/>
      <c r="O669" s="158"/>
      <c r="P669" s="158"/>
      <c r="Q669" s="158"/>
      <c r="R669" s="158"/>
      <c r="S669" s="158"/>
      <c r="T669" s="158"/>
      <c r="U669" s="158"/>
      <c r="V669" s="158"/>
      <c r="W669" s="158"/>
      <c r="X669" s="158"/>
      <c r="Y669" s="158"/>
      <c r="Z669" s="158"/>
    </row>
    <row r="670" spans="1:26" ht="12" customHeight="1">
      <c r="A670" s="147"/>
      <c r="B670" s="158"/>
      <c r="C670" s="158"/>
      <c r="D670" s="158"/>
      <c r="E670" s="158"/>
      <c r="F670" s="158"/>
      <c r="G670" s="158"/>
      <c r="H670" s="158"/>
      <c r="I670" s="158"/>
      <c r="J670" s="158"/>
      <c r="K670" s="158"/>
      <c r="L670" s="158"/>
      <c r="M670" s="158"/>
      <c r="N670" s="158"/>
      <c r="O670" s="158"/>
      <c r="P670" s="158"/>
      <c r="Q670" s="158"/>
      <c r="R670" s="158"/>
      <c r="S670" s="158"/>
      <c r="T670" s="158"/>
      <c r="U670" s="158"/>
      <c r="V670" s="158"/>
      <c r="W670" s="158"/>
      <c r="X670" s="158"/>
      <c r="Y670" s="158"/>
      <c r="Z670" s="158"/>
    </row>
    <row r="671" spans="1:26" ht="12" customHeight="1">
      <c r="A671" s="147"/>
      <c r="B671" s="158"/>
      <c r="C671" s="158"/>
      <c r="D671" s="158"/>
      <c r="E671" s="158"/>
      <c r="F671" s="158"/>
      <c r="G671" s="158"/>
      <c r="H671" s="158"/>
      <c r="I671" s="158"/>
      <c r="J671" s="158"/>
      <c r="K671" s="158"/>
      <c r="L671" s="158"/>
      <c r="M671" s="158"/>
      <c r="N671" s="158"/>
      <c r="O671" s="158"/>
      <c r="P671" s="158"/>
      <c r="Q671" s="158"/>
      <c r="R671" s="158"/>
      <c r="S671" s="158"/>
      <c r="T671" s="158"/>
      <c r="U671" s="158"/>
      <c r="V671" s="158"/>
      <c r="W671" s="158"/>
      <c r="X671" s="158"/>
      <c r="Y671" s="158"/>
      <c r="Z671" s="158"/>
    </row>
    <row r="672" spans="1:26" ht="12" customHeight="1">
      <c r="A672" s="147"/>
      <c r="B672" s="158"/>
      <c r="C672" s="158"/>
      <c r="D672" s="158"/>
      <c r="E672" s="158"/>
      <c r="F672" s="158"/>
      <c r="G672" s="158"/>
      <c r="H672" s="158"/>
      <c r="I672" s="158"/>
      <c r="J672" s="158"/>
      <c r="K672" s="158"/>
      <c r="L672" s="158"/>
      <c r="M672" s="158"/>
      <c r="N672" s="158"/>
      <c r="O672" s="158"/>
      <c r="P672" s="158"/>
      <c r="Q672" s="158"/>
      <c r="R672" s="158"/>
      <c r="S672" s="158"/>
      <c r="T672" s="158"/>
      <c r="U672" s="158"/>
      <c r="V672" s="158"/>
      <c r="W672" s="158"/>
      <c r="X672" s="158"/>
      <c r="Y672" s="158"/>
      <c r="Z672" s="158"/>
    </row>
    <row r="673" spans="1:26" ht="12" customHeight="1">
      <c r="A673" s="147"/>
      <c r="B673" s="158"/>
      <c r="C673" s="158"/>
      <c r="D673" s="158"/>
      <c r="E673" s="158"/>
      <c r="F673" s="158"/>
      <c r="G673" s="158"/>
      <c r="H673" s="158"/>
      <c r="I673" s="158"/>
      <c r="J673" s="158"/>
      <c r="K673" s="158"/>
      <c r="L673" s="158"/>
      <c r="M673" s="158"/>
      <c r="N673" s="158"/>
      <c r="O673" s="158"/>
      <c r="P673" s="158"/>
      <c r="Q673" s="158"/>
      <c r="R673" s="158"/>
      <c r="S673" s="158"/>
      <c r="T673" s="158"/>
      <c r="U673" s="158"/>
      <c r="V673" s="158"/>
      <c r="W673" s="158"/>
      <c r="X673" s="158"/>
      <c r="Y673" s="158"/>
      <c r="Z673" s="158"/>
    </row>
    <row r="674" spans="1:26" ht="12" customHeight="1">
      <c r="A674" s="147"/>
      <c r="B674" s="158"/>
      <c r="C674" s="158"/>
      <c r="D674" s="158"/>
      <c r="E674" s="158"/>
      <c r="F674" s="158"/>
      <c r="G674" s="158"/>
      <c r="H674" s="158"/>
      <c r="I674" s="158"/>
      <c r="J674" s="158"/>
      <c r="K674" s="158"/>
      <c r="L674" s="158"/>
      <c r="M674" s="158"/>
      <c r="N674" s="158"/>
      <c r="O674" s="158"/>
      <c r="P674" s="158"/>
      <c r="Q674" s="158"/>
      <c r="R674" s="158"/>
      <c r="S674" s="158"/>
      <c r="T674" s="158"/>
      <c r="U674" s="158"/>
      <c r="V674" s="158"/>
      <c r="W674" s="158"/>
      <c r="X674" s="158"/>
      <c r="Y674" s="158"/>
      <c r="Z674" s="158"/>
    </row>
    <row r="675" spans="1:26" ht="12" customHeight="1">
      <c r="A675" s="147"/>
      <c r="B675" s="158"/>
      <c r="C675" s="158"/>
      <c r="D675" s="158"/>
      <c r="E675" s="158"/>
      <c r="F675" s="158"/>
      <c r="G675" s="158"/>
      <c r="H675" s="158"/>
      <c r="I675" s="158"/>
      <c r="J675" s="158"/>
      <c r="K675" s="158"/>
      <c r="L675" s="158"/>
      <c r="M675" s="158"/>
      <c r="N675" s="158"/>
      <c r="O675" s="158"/>
      <c r="P675" s="158"/>
      <c r="Q675" s="158"/>
      <c r="R675" s="158"/>
      <c r="S675" s="158"/>
      <c r="T675" s="158"/>
      <c r="U675" s="158"/>
      <c r="V675" s="158"/>
      <c r="W675" s="158"/>
      <c r="X675" s="158"/>
      <c r="Y675" s="158"/>
      <c r="Z675" s="158"/>
    </row>
    <row r="676" spans="1:26" ht="12" customHeight="1">
      <c r="A676" s="147"/>
      <c r="B676" s="158"/>
      <c r="C676" s="158"/>
      <c r="D676" s="158"/>
      <c r="E676" s="158"/>
      <c r="F676" s="158"/>
      <c r="G676" s="158"/>
      <c r="H676" s="158"/>
      <c r="I676" s="158"/>
      <c r="J676" s="158"/>
      <c r="K676" s="158"/>
      <c r="L676" s="158"/>
      <c r="M676" s="158"/>
      <c r="N676" s="158"/>
      <c r="O676" s="158"/>
      <c r="P676" s="158"/>
      <c r="Q676" s="158"/>
      <c r="R676" s="158"/>
      <c r="S676" s="158"/>
      <c r="T676" s="158"/>
      <c r="U676" s="158"/>
      <c r="V676" s="158"/>
      <c r="W676" s="158"/>
      <c r="X676" s="158"/>
      <c r="Y676" s="158"/>
      <c r="Z676" s="158"/>
    </row>
    <row r="677" spans="1:26" ht="12" customHeight="1">
      <c r="A677" s="147"/>
      <c r="B677" s="158"/>
      <c r="C677" s="158"/>
      <c r="D677" s="158"/>
      <c r="E677" s="158"/>
      <c r="F677" s="158"/>
      <c r="G677" s="158"/>
      <c r="H677" s="158"/>
      <c r="I677" s="158"/>
      <c r="J677" s="158"/>
      <c r="K677" s="158"/>
      <c r="L677" s="158"/>
      <c r="M677" s="158"/>
      <c r="N677" s="158"/>
      <c r="O677" s="158"/>
      <c r="P677" s="158"/>
      <c r="Q677" s="158"/>
      <c r="R677" s="158"/>
      <c r="S677" s="158"/>
      <c r="T677" s="158"/>
      <c r="U677" s="158"/>
      <c r="V677" s="158"/>
      <c r="W677" s="158"/>
      <c r="X677" s="158"/>
      <c r="Y677" s="158"/>
      <c r="Z677" s="158"/>
    </row>
    <row r="678" spans="1:26" ht="12" customHeight="1">
      <c r="A678" s="147"/>
      <c r="B678" s="158"/>
      <c r="C678" s="158"/>
      <c r="D678" s="158"/>
      <c r="E678" s="158"/>
      <c r="F678" s="158"/>
      <c r="G678" s="158"/>
      <c r="H678" s="158"/>
      <c r="I678" s="158"/>
      <c r="J678" s="158"/>
      <c r="K678" s="158"/>
      <c r="L678" s="158"/>
      <c r="M678" s="158"/>
      <c r="N678" s="158"/>
      <c r="O678" s="158"/>
      <c r="P678" s="158"/>
      <c r="Q678" s="158"/>
      <c r="R678" s="158"/>
      <c r="S678" s="158"/>
      <c r="T678" s="158"/>
      <c r="U678" s="158"/>
      <c r="V678" s="158"/>
      <c r="W678" s="158"/>
      <c r="X678" s="158"/>
      <c r="Y678" s="158"/>
      <c r="Z678" s="158"/>
    </row>
    <row r="679" spans="1:26" ht="12" customHeight="1">
      <c r="A679" s="147"/>
      <c r="B679" s="158"/>
      <c r="C679" s="158"/>
      <c r="D679" s="158"/>
      <c r="E679" s="158"/>
      <c r="F679" s="158"/>
      <c r="G679" s="158"/>
      <c r="H679" s="158"/>
      <c r="I679" s="158"/>
      <c r="J679" s="158"/>
      <c r="K679" s="158"/>
      <c r="L679" s="158"/>
      <c r="M679" s="158"/>
      <c r="N679" s="158"/>
      <c r="O679" s="158"/>
      <c r="P679" s="158"/>
      <c r="Q679" s="158"/>
      <c r="R679" s="158"/>
      <c r="S679" s="158"/>
      <c r="T679" s="158"/>
      <c r="U679" s="158"/>
      <c r="V679" s="158"/>
      <c r="W679" s="158"/>
      <c r="X679" s="158"/>
      <c r="Y679" s="158"/>
      <c r="Z679" s="158"/>
    </row>
    <row r="680" spans="1:26" ht="12" customHeight="1">
      <c r="A680" s="147"/>
      <c r="B680" s="158"/>
      <c r="C680" s="158"/>
      <c r="D680" s="158"/>
      <c r="E680" s="158"/>
      <c r="F680" s="158"/>
      <c r="G680" s="158"/>
      <c r="H680" s="158"/>
      <c r="I680" s="158"/>
      <c r="J680" s="158"/>
      <c r="K680" s="158"/>
      <c r="L680" s="158"/>
      <c r="M680" s="158"/>
      <c r="N680" s="158"/>
      <c r="O680" s="158"/>
      <c r="P680" s="158"/>
      <c r="Q680" s="158"/>
      <c r="R680" s="158"/>
      <c r="S680" s="158"/>
      <c r="T680" s="158"/>
      <c r="U680" s="158"/>
      <c r="V680" s="158"/>
      <c r="W680" s="158"/>
      <c r="X680" s="158"/>
      <c r="Y680" s="158"/>
      <c r="Z680" s="158"/>
    </row>
    <row r="681" spans="1:26" ht="12" customHeight="1">
      <c r="A681" s="147"/>
      <c r="B681" s="158"/>
      <c r="C681" s="158"/>
      <c r="D681" s="158"/>
      <c r="E681" s="158"/>
      <c r="F681" s="158"/>
      <c r="G681" s="158"/>
      <c r="H681" s="158"/>
      <c r="I681" s="158"/>
      <c r="J681" s="158"/>
      <c r="K681" s="158"/>
      <c r="L681" s="158"/>
      <c r="M681" s="158"/>
      <c r="N681" s="158"/>
      <c r="O681" s="158"/>
      <c r="P681" s="158"/>
      <c r="Q681" s="158"/>
      <c r="R681" s="158"/>
      <c r="S681" s="158"/>
      <c r="T681" s="158"/>
      <c r="U681" s="158"/>
      <c r="V681" s="158"/>
      <c r="W681" s="158"/>
      <c r="X681" s="158"/>
      <c r="Y681" s="158"/>
      <c r="Z681" s="158"/>
    </row>
    <row r="682" spans="1:26" ht="12" customHeight="1">
      <c r="A682" s="147"/>
      <c r="B682" s="158"/>
      <c r="C682" s="158"/>
      <c r="D682" s="158"/>
      <c r="E682" s="158"/>
      <c r="F682" s="158"/>
      <c r="G682" s="158"/>
      <c r="H682" s="158"/>
      <c r="I682" s="158"/>
      <c r="J682" s="158"/>
      <c r="K682" s="158"/>
      <c r="L682" s="158"/>
      <c r="M682" s="158"/>
      <c r="N682" s="158"/>
      <c r="O682" s="158"/>
      <c r="P682" s="158"/>
      <c r="Q682" s="158"/>
      <c r="R682" s="158"/>
      <c r="S682" s="158"/>
      <c r="T682" s="158"/>
      <c r="U682" s="158"/>
      <c r="V682" s="158"/>
      <c r="W682" s="158"/>
      <c r="X682" s="158"/>
      <c r="Y682" s="158"/>
      <c r="Z682" s="158"/>
    </row>
    <row r="683" spans="1:26" ht="12" customHeight="1">
      <c r="A683" s="147"/>
      <c r="B683" s="158"/>
      <c r="C683" s="158"/>
      <c r="D683" s="158"/>
      <c r="E683" s="158"/>
      <c r="F683" s="158"/>
      <c r="G683" s="158"/>
      <c r="H683" s="158"/>
      <c r="I683" s="158"/>
      <c r="J683" s="158"/>
      <c r="K683" s="158"/>
      <c r="L683" s="158"/>
      <c r="M683" s="158"/>
      <c r="N683" s="158"/>
      <c r="O683" s="158"/>
      <c r="P683" s="158"/>
      <c r="Q683" s="158"/>
      <c r="R683" s="158"/>
      <c r="S683" s="158"/>
      <c r="T683" s="158"/>
      <c r="U683" s="158"/>
      <c r="V683" s="158"/>
      <c r="W683" s="158"/>
      <c r="X683" s="158"/>
      <c r="Y683" s="158"/>
      <c r="Z683" s="158"/>
    </row>
    <row r="684" spans="1:26" ht="12" customHeight="1">
      <c r="A684" s="147"/>
      <c r="B684" s="158"/>
      <c r="C684" s="158"/>
      <c r="D684" s="158"/>
      <c r="E684" s="158"/>
      <c r="F684" s="158"/>
      <c r="G684" s="158"/>
      <c r="H684" s="158"/>
      <c r="I684" s="158"/>
      <c r="J684" s="158"/>
      <c r="K684" s="158"/>
      <c r="L684" s="158"/>
      <c r="M684" s="158"/>
      <c r="N684" s="158"/>
      <c r="O684" s="158"/>
      <c r="P684" s="158"/>
      <c r="Q684" s="158"/>
      <c r="R684" s="158"/>
      <c r="S684" s="158"/>
      <c r="T684" s="158"/>
      <c r="U684" s="158"/>
      <c r="V684" s="158"/>
      <c r="W684" s="158"/>
      <c r="X684" s="158"/>
      <c r="Y684" s="158"/>
      <c r="Z684" s="158"/>
    </row>
    <row r="685" spans="1:26" ht="12" customHeight="1">
      <c r="A685" s="147"/>
      <c r="B685" s="158"/>
      <c r="C685" s="158"/>
      <c r="D685" s="158"/>
      <c r="E685" s="158"/>
      <c r="F685" s="158"/>
      <c r="G685" s="158"/>
      <c r="H685" s="158"/>
      <c r="I685" s="158"/>
      <c r="J685" s="158"/>
      <c r="K685" s="158"/>
      <c r="L685" s="158"/>
      <c r="M685" s="158"/>
      <c r="N685" s="158"/>
      <c r="O685" s="158"/>
      <c r="P685" s="158"/>
      <c r="Q685" s="158"/>
      <c r="R685" s="158"/>
      <c r="S685" s="158"/>
      <c r="T685" s="158"/>
      <c r="U685" s="158"/>
      <c r="V685" s="158"/>
      <c r="W685" s="158"/>
      <c r="X685" s="158"/>
      <c r="Y685" s="158"/>
      <c r="Z685" s="158"/>
    </row>
    <row r="686" spans="1:26" ht="12" customHeight="1">
      <c r="A686" s="147"/>
      <c r="B686" s="158"/>
      <c r="C686" s="158"/>
      <c r="D686" s="158"/>
      <c r="E686" s="158"/>
      <c r="F686" s="158"/>
      <c r="G686" s="158"/>
      <c r="H686" s="158"/>
      <c r="I686" s="158"/>
      <c r="J686" s="158"/>
      <c r="K686" s="158"/>
      <c r="L686" s="158"/>
      <c r="M686" s="158"/>
      <c r="N686" s="158"/>
      <c r="O686" s="158"/>
      <c r="P686" s="158"/>
      <c r="Q686" s="158"/>
      <c r="R686" s="158"/>
      <c r="S686" s="158"/>
      <c r="T686" s="158"/>
      <c r="U686" s="158"/>
      <c r="V686" s="158"/>
      <c r="W686" s="158"/>
      <c r="X686" s="158"/>
      <c r="Y686" s="158"/>
      <c r="Z686" s="158"/>
    </row>
    <row r="687" spans="1:26" ht="12" customHeight="1">
      <c r="A687" s="147"/>
      <c r="B687" s="158"/>
      <c r="C687" s="158"/>
      <c r="D687" s="158"/>
      <c r="E687" s="158"/>
      <c r="F687" s="158"/>
      <c r="G687" s="158"/>
      <c r="H687" s="158"/>
      <c r="I687" s="158"/>
      <c r="J687" s="158"/>
      <c r="K687" s="158"/>
      <c r="L687" s="158"/>
      <c r="M687" s="158"/>
      <c r="N687" s="158"/>
      <c r="O687" s="158"/>
      <c r="P687" s="158"/>
      <c r="Q687" s="158"/>
      <c r="R687" s="158"/>
      <c r="S687" s="158"/>
      <c r="T687" s="158"/>
      <c r="U687" s="158"/>
      <c r="V687" s="158"/>
      <c r="W687" s="158"/>
      <c r="X687" s="158"/>
      <c r="Y687" s="158"/>
      <c r="Z687" s="158"/>
    </row>
    <row r="688" spans="1:26" ht="12" customHeight="1">
      <c r="A688" s="147"/>
      <c r="B688" s="158"/>
      <c r="C688" s="158"/>
      <c r="D688" s="158"/>
      <c r="E688" s="158"/>
      <c r="F688" s="158"/>
      <c r="G688" s="158"/>
      <c r="H688" s="158"/>
      <c r="I688" s="158"/>
      <c r="J688" s="158"/>
      <c r="K688" s="158"/>
      <c r="L688" s="158"/>
      <c r="M688" s="158"/>
      <c r="N688" s="158"/>
      <c r="O688" s="158"/>
      <c r="P688" s="158"/>
      <c r="Q688" s="158"/>
      <c r="R688" s="158"/>
      <c r="S688" s="158"/>
      <c r="T688" s="158"/>
      <c r="U688" s="158"/>
      <c r="V688" s="158"/>
      <c r="W688" s="158"/>
      <c r="X688" s="158"/>
      <c r="Y688" s="158"/>
      <c r="Z688" s="158"/>
    </row>
    <row r="689" spans="1:26" ht="12" customHeight="1">
      <c r="A689" s="147"/>
      <c r="B689" s="158"/>
      <c r="C689" s="158"/>
      <c r="D689" s="158"/>
      <c r="E689" s="158"/>
      <c r="F689" s="158"/>
      <c r="G689" s="158"/>
      <c r="H689" s="158"/>
      <c r="I689" s="158"/>
      <c r="J689" s="158"/>
      <c r="K689" s="158"/>
      <c r="L689" s="158"/>
      <c r="M689" s="158"/>
      <c r="N689" s="158"/>
      <c r="O689" s="158"/>
      <c r="P689" s="158"/>
      <c r="Q689" s="158"/>
      <c r="R689" s="158"/>
      <c r="S689" s="158"/>
      <c r="T689" s="158"/>
      <c r="U689" s="158"/>
      <c r="V689" s="158"/>
      <c r="W689" s="158"/>
      <c r="X689" s="158"/>
      <c r="Y689" s="158"/>
      <c r="Z689" s="158"/>
    </row>
    <row r="690" spans="1:26" ht="12" customHeight="1">
      <c r="A690" s="147"/>
      <c r="B690" s="158"/>
      <c r="C690" s="158"/>
      <c r="D690" s="158"/>
      <c r="E690" s="158"/>
      <c r="F690" s="158"/>
      <c r="G690" s="158"/>
      <c r="H690" s="158"/>
      <c r="I690" s="158"/>
      <c r="J690" s="158"/>
      <c r="K690" s="158"/>
      <c r="L690" s="158"/>
      <c r="M690" s="158"/>
      <c r="N690" s="158"/>
      <c r="O690" s="158"/>
      <c r="P690" s="158"/>
      <c r="Q690" s="158"/>
      <c r="R690" s="158"/>
      <c r="S690" s="158"/>
      <c r="T690" s="158"/>
      <c r="U690" s="158"/>
      <c r="V690" s="158"/>
      <c r="W690" s="158"/>
      <c r="X690" s="158"/>
      <c r="Y690" s="158"/>
      <c r="Z690" s="158"/>
    </row>
    <row r="691" spans="1:26" ht="12" customHeight="1">
      <c r="A691" s="147"/>
      <c r="B691" s="158"/>
      <c r="C691" s="158"/>
      <c r="D691" s="158"/>
      <c r="E691" s="158"/>
      <c r="F691" s="158"/>
      <c r="G691" s="158"/>
      <c r="H691" s="158"/>
      <c r="I691" s="158"/>
      <c r="J691" s="158"/>
      <c r="K691" s="158"/>
      <c r="L691" s="158"/>
      <c r="M691" s="158"/>
      <c r="N691" s="158"/>
      <c r="O691" s="158"/>
      <c r="P691" s="158"/>
      <c r="Q691" s="158"/>
      <c r="R691" s="158"/>
      <c r="S691" s="158"/>
      <c r="T691" s="158"/>
      <c r="U691" s="158"/>
      <c r="V691" s="158"/>
      <c r="W691" s="158"/>
      <c r="X691" s="158"/>
      <c r="Y691" s="158"/>
      <c r="Z691" s="158"/>
    </row>
    <row r="692" spans="1:26" ht="12" customHeight="1">
      <c r="A692" s="147"/>
      <c r="B692" s="158"/>
      <c r="C692" s="158"/>
      <c r="D692" s="158"/>
      <c r="E692" s="158"/>
      <c r="F692" s="158"/>
      <c r="G692" s="158"/>
      <c r="H692" s="158"/>
      <c r="I692" s="158"/>
      <c r="J692" s="158"/>
      <c r="K692" s="158"/>
      <c r="L692" s="158"/>
      <c r="M692" s="158"/>
      <c r="N692" s="158"/>
      <c r="O692" s="158"/>
      <c r="P692" s="158"/>
      <c r="Q692" s="158"/>
      <c r="R692" s="158"/>
      <c r="S692" s="158"/>
      <c r="T692" s="158"/>
      <c r="U692" s="158"/>
      <c r="V692" s="158"/>
      <c r="W692" s="158"/>
      <c r="X692" s="158"/>
      <c r="Y692" s="158"/>
      <c r="Z692" s="158"/>
    </row>
    <row r="693" spans="1:26" ht="12" customHeight="1">
      <c r="A693" s="147"/>
      <c r="B693" s="158"/>
      <c r="C693" s="158"/>
      <c r="D693" s="158"/>
      <c r="E693" s="158"/>
      <c r="F693" s="158"/>
      <c r="G693" s="158"/>
      <c r="H693" s="158"/>
      <c r="I693" s="158"/>
      <c r="J693" s="158"/>
      <c r="K693" s="158"/>
      <c r="L693" s="158"/>
      <c r="M693" s="158"/>
      <c r="N693" s="158"/>
      <c r="O693" s="158"/>
      <c r="P693" s="158"/>
      <c r="Q693" s="158"/>
      <c r="R693" s="158"/>
      <c r="S693" s="158"/>
      <c r="T693" s="158"/>
      <c r="U693" s="158"/>
      <c r="V693" s="158"/>
      <c r="W693" s="158"/>
      <c r="X693" s="158"/>
      <c r="Y693" s="158"/>
      <c r="Z693" s="158"/>
    </row>
    <row r="694" spans="1:26" ht="12" customHeight="1">
      <c r="A694" s="147"/>
      <c r="B694" s="158"/>
      <c r="C694" s="158"/>
      <c r="D694" s="158"/>
      <c r="E694" s="158"/>
      <c r="F694" s="158"/>
      <c r="G694" s="158"/>
      <c r="H694" s="158"/>
      <c r="I694" s="158"/>
      <c r="J694" s="158"/>
      <c r="K694" s="158"/>
      <c r="L694" s="158"/>
      <c r="M694" s="158"/>
      <c r="N694" s="158"/>
      <c r="O694" s="158"/>
      <c r="P694" s="158"/>
      <c r="Q694" s="158"/>
      <c r="R694" s="158"/>
      <c r="S694" s="158"/>
      <c r="T694" s="158"/>
      <c r="U694" s="158"/>
      <c r="V694" s="158"/>
      <c r="W694" s="158"/>
      <c r="X694" s="158"/>
      <c r="Y694" s="158"/>
      <c r="Z694" s="158"/>
    </row>
    <row r="695" spans="1:26" ht="12" customHeight="1">
      <c r="A695" s="147"/>
      <c r="B695" s="158"/>
      <c r="C695" s="158"/>
      <c r="D695" s="158"/>
      <c r="E695" s="158"/>
      <c r="F695" s="158"/>
      <c r="G695" s="158"/>
      <c r="H695" s="158"/>
      <c r="I695" s="158"/>
      <c r="J695" s="158"/>
      <c r="K695" s="158"/>
      <c r="L695" s="158"/>
      <c r="M695" s="158"/>
      <c r="N695" s="158"/>
      <c r="O695" s="158"/>
      <c r="P695" s="158"/>
      <c r="Q695" s="158"/>
      <c r="R695" s="158"/>
      <c r="S695" s="158"/>
      <c r="T695" s="158"/>
      <c r="U695" s="158"/>
      <c r="V695" s="158"/>
      <c r="W695" s="158"/>
      <c r="X695" s="158"/>
      <c r="Y695" s="158"/>
      <c r="Z695" s="158"/>
    </row>
    <row r="696" spans="1:26" ht="12" customHeight="1">
      <c r="A696" s="147"/>
      <c r="B696" s="158"/>
      <c r="C696" s="158"/>
      <c r="D696" s="158"/>
      <c r="E696" s="158"/>
      <c r="F696" s="158"/>
      <c r="G696" s="158"/>
      <c r="H696" s="158"/>
      <c r="I696" s="158"/>
      <c r="J696" s="158"/>
      <c r="K696" s="158"/>
      <c r="L696" s="158"/>
      <c r="M696" s="158"/>
      <c r="N696" s="158"/>
      <c r="O696" s="158"/>
      <c r="P696" s="158"/>
      <c r="Q696" s="158"/>
      <c r="R696" s="158"/>
      <c r="S696" s="158"/>
      <c r="T696" s="158"/>
      <c r="U696" s="158"/>
      <c r="V696" s="158"/>
      <c r="W696" s="158"/>
      <c r="X696" s="158"/>
      <c r="Y696" s="158"/>
      <c r="Z696" s="158"/>
    </row>
    <row r="697" spans="1:26" ht="12" customHeight="1">
      <c r="A697" s="147"/>
      <c r="B697" s="158"/>
      <c r="C697" s="158"/>
      <c r="D697" s="158"/>
      <c r="E697" s="158"/>
      <c r="F697" s="158"/>
      <c r="G697" s="158"/>
      <c r="H697" s="158"/>
      <c r="I697" s="158"/>
      <c r="J697" s="158"/>
      <c r="K697" s="158"/>
      <c r="L697" s="158"/>
      <c r="M697" s="158"/>
      <c r="N697" s="158"/>
      <c r="O697" s="158"/>
      <c r="P697" s="158"/>
      <c r="Q697" s="158"/>
      <c r="R697" s="158"/>
      <c r="S697" s="158"/>
      <c r="T697" s="158"/>
      <c r="U697" s="158"/>
      <c r="V697" s="158"/>
      <c r="W697" s="158"/>
      <c r="X697" s="158"/>
      <c r="Y697" s="158"/>
      <c r="Z697" s="158"/>
    </row>
    <row r="698" spans="1:26" ht="12" customHeight="1">
      <c r="A698" s="147"/>
      <c r="B698" s="158"/>
      <c r="C698" s="158"/>
      <c r="D698" s="158"/>
      <c r="E698" s="158"/>
      <c r="F698" s="158"/>
      <c r="G698" s="158"/>
      <c r="H698" s="158"/>
      <c r="I698" s="158"/>
      <c r="J698" s="158"/>
      <c r="K698" s="158"/>
      <c r="L698" s="158"/>
      <c r="M698" s="158"/>
      <c r="N698" s="158"/>
      <c r="O698" s="158"/>
      <c r="P698" s="158"/>
      <c r="Q698" s="158"/>
      <c r="R698" s="158"/>
      <c r="S698" s="158"/>
      <c r="T698" s="158"/>
      <c r="U698" s="158"/>
      <c r="V698" s="158"/>
      <c r="W698" s="158"/>
      <c r="X698" s="158"/>
      <c r="Y698" s="158"/>
      <c r="Z698" s="158"/>
    </row>
    <row r="699" spans="1:26" ht="12" customHeight="1">
      <c r="A699" s="147"/>
      <c r="B699" s="158"/>
      <c r="C699" s="158"/>
      <c r="D699" s="158"/>
      <c r="E699" s="158"/>
      <c r="F699" s="158"/>
      <c r="G699" s="158"/>
      <c r="H699" s="158"/>
      <c r="I699" s="158"/>
      <c r="J699" s="158"/>
      <c r="K699" s="158"/>
      <c r="L699" s="158"/>
      <c r="M699" s="158"/>
      <c r="N699" s="158"/>
      <c r="O699" s="158"/>
      <c r="P699" s="158"/>
      <c r="Q699" s="158"/>
      <c r="R699" s="158"/>
      <c r="S699" s="158"/>
      <c r="T699" s="158"/>
      <c r="U699" s="158"/>
      <c r="V699" s="158"/>
      <c r="W699" s="158"/>
      <c r="X699" s="158"/>
      <c r="Y699" s="158"/>
      <c r="Z699" s="158"/>
    </row>
    <row r="700" spans="1:26" ht="12" customHeight="1">
      <c r="A700" s="147"/>
      <c r="B700" s="158"/>
      <c r="C700" s="158"/>
      <c r="D700" s="158"/>
      <c r="E700" s="158"/>
      <c r="F700" s="158"/>
      <c r="G700" s="158"/>
      <c r="H700" s="158"/>
      <c r="I700" s="158"/>
      <c r="J700" s="158"/>
      <c r="K700" s="158"/>
      <c r="L700" s="158"/>
      <c r="M700" s="158"/>
      <c r="N700" s="158"/>
      <c r="O700" s="158"/>
      <c r="P700" s="158"/>
      <c r="Q700" s="158"/>
      <c r="R700" s="158"/>
      <c r="S700" s="158"/>
      <c r="T700" s="158"/>
      <c r="U700" s="158"/>
      <c r="V700" s="158"/>
      <c r="W700" s="158"/>
      <c r="X700" s="158"/>
      <c r="Y700" s="158"/>
      <c r="Z700" s="158"/>
    </row>
    <row r="701" spans="1:26" ht="12" customHeight="1">
      <c r="A701" s="147"/>
      <c r="B701" s="158"/>
      <c r="C701" s="158"/>
      <c r="D701" s="158"/>
      <c r="E701" s="158"/>
      <c r="F701" s="158"/>
      <c r="G701" s="158"/>
      <c r="H701" s="158"/>
      <c r="I701" s="158"/>
      <c r="J701" s="158"/>
      <c r="K701" s="158"/>
      <c r="L701" s="158"/>
      <c r="M701" s="158"/>
      <c r="N701" s="158"/>
      <c r="O701" s="158"/>
      <c r="P701" s="158"/>
      <c r="Q701" s="158"/>
      <c r="R701" s="158"/>
      <c r="S701" s="158"/>
      <c r="T701" s="158"/>
      <c r="U701" s="158"/>
      <c r="V701" s="158"/>
      <c r="W701" s="158"/>
      <c r="X701" s="158"/>
      <c r="Y701" s="158"/>
      <c r="Z701" s="158"/>
    </row>
    <row r="702" spans="1:26" ht="12" customHeight="1">
      <c r="A702" s="147"/>
      <c r="B702" s="158"/>
      <c r="C702" s="158"/>
      <c r="D702" s="158"/>
      <c r="E702" s="158"/>
      <c r="F702" s="158"/>
      <c r="G702" s="158"/>
      <c r="H702" s="158"/>
      <c r="I702" s="158"/>
      <c r="J702" s="158"/>
      <c r="K702" s="158"/>
      <c r="L702" s="158"/>
      <c r="M702" s="158"/>
      <c r="N702" s="158"/>
      <c r="O702" s="158"/>
      <c r="P702" s="158"/>
      <c r="Q702" s="158"/>
      <c r="R702" s="158"/>
      <c r="S702" s="158"/>
      <c r="T702" s="158"/>
      <c r="U702" s="158"/>
      <c r="V702" s="158"/>
      <c r="W702" s="158"/>
      <c r="X702" s="158"/>
      <c r="Y702" s="158"/>
      <c r="Z702" s="158"/>
    </row>
    <row r="703" spans="1:26" ht="12" customHeight="1">
      <c r="A703" s="147"/>
      <c r="B703" s="158"/>
      <c r="C703" s="158"/>
      <c r="D703" s="158"/>
      <c r="E703" s="158"/>
      <c r="F703" s="158"/>
      <c r="G703" s="158"/>
      <c r="H703" s="158"/>
      <c r="I703" s="158"/>
      <c r="J703" s="158"/>
      <c r="K703" s="158"/>
      <c r="L703" s="158"/>
      <c r="M703" s="158"/>
      <c r="N703" s="158"/>
      <c r="O703" s="158"/>
      <c r="P703" s="158"/>
      <c r="Q703" s="158"/>
      <c r="R703" s="158"/>
      <c r="S703" s="158"/>
      <c r="T703" s="158"/>
      <c r="U703" s="158"/>
      <c r="V703" s="158"/>
      <c r="W703" s="158"/>
      <c r="X703" s="158"/>
      <c r="Y703" s="158"/>
      <c r="Z703" s="158"/>
    </row>
    <row r="704" spans="1:26" ht="12" customHeight="1">
      <c r="A704" s="147"/>
      <c r="B704" s="158"/>
      <c r="C704" s="158"/>
      <c r="D704" s="158"/>
      <c r="E704" s="158"/>
      <c r="F704" s="158"/>
      <c r="G704" s="158"/>
      <c r="H704" s="158"/>
      <c r="I704" s="158"/>
      <c r="J704" s="158"/>
      <c r="K704" s="158"/>
      <c r="L704" s="158"/>
      <c r="M704" s="158"/>
      <c r="N704" s="158"/>
      <c r="O704" s="158"/>
      <c r="P704" s="158"/>
      <c r="Q704" s="158"/>
      <c r="R704" s="158"/>
      <c r="S704" s="158"/>
      <c r="T704" s="158"/>
      <c r="U704" s="158"/>
      <c r="V704" s="158"/>
      <c r="W704" s="158"/>
      <c r="X704" s="158"/>
      <c r="Y704" s="158"/>
      <c r="Z704" s="158"/>
    </row>
    <row r="705" spans="1:26" ht="12" customHeight="1">
      <c r="A705" s="147"/>
      <c r="B705" s="158"/>
      <c r="C705" s="158"/>
      <c r="D705" s="158"/>
      <c r="E705" s="158"/>
      <c r="F705" s="158"/>
      <c r="G705" s="158"/>
      <c r="H705" s="158"/>
      <c r="I705" s="158"/>
      <c r="J705" s="158"/>
      <c r="K705" s="158"/>
      <c r="L705" s="158"/>
      <c r="M705" s="158"/>
      <c r="N705" s="158"/>
      <c r="O705" s="158"/>
      <c r="P705" s="158"/>
      <c r="Q705" s="158"/>
      <c r="R705" s="158"/>
      <c r="S705" s="158"/>
      <c r="T705" s="158"/>
      <c r="U705" s="158"/>
      <c r="V705" s="158"/>
      <c r="W705" s="158"/>
      <c r="X705" s="158"/>
      <c r="Y705" s="158"/>
      <c r="Z705" s="158"/>
    </row>
    <row r="706" spans="1:26" ht="12" customHeight="1">
      <c r="A706" s="147"/>
      <c r="B706" s="158"/>
      <c r="C706" s="158"/>
      <c r="D706" s="158"/>
      <c r="E706" s="158"/>
      <c r="F706" s="158"/>
      <c r="G706" s="158"/>
      <c r="H706" s="158"/>
      <c r="I706" s="158"/>
      <c r="J706" s="158"/>
      <c r="K706" s="158"/>
      <c r="L706" s="158"/>
      <c r="M706" s="158"/>
      <c r="N706" s="158"/>
      <c r="O706" s="158"/>
      <c r="P706" s="158"/>
      <c r="Q706" s="158"/>
      <c r="R706" s="158"/>
      <c r="S706" s="158"/>
      <c r="T706" s="158"/>
      <c r="U706" s="158"/>
      <c r="V706" s="158"/>
      <c r="W706" s="158"/>
      <c r="X706" s="158"/>
      <c r="Y706" s="158"/>
      <c r="Z706" s="158"/>
    </row>
    <row r="707" spans="1:26" ht="12" customHeight="1">
      <c r="A707" s="147"/>
      <c r="B707" s="158"/>
      <c r="C707" s="158"/>
      <c r="D707" s="158"/>
      <c r="E707" s="158"/>
      <c r="F707" s="158"/>
      <c r="G707" s="158"/>
      <c r="H707" s="158"/>
      <c r="I707" s="158"/>
      <c r="J707" s="158"/>
      <c r="K707" s="158"/>
      <c r="L707" s="158"/>
      <c r="M707" s="158"/>
      <c r="N707" s="158"/>
      <c r="O707" s="158"/>
      <c r="P707" s="158"/>
      <c r="Q707" s="158"/>
      <c r="R707" s="158"/>
      <c r="S707" s="158"/>
      <c r="T707" s="158"/>
      <c r="U707" s="158"/>
      <c r="V707" s="158"/>
      <c r="W707" s="158"/>
      <c r="X707" s="158"/>
      <c r="Y707" s="158"/>
      <c r="Z707" s="158"/>
    </row>
    <row r="708" spans="1:26" ht="12" customHeight="1">
      <c r="A708" s="147"/>
      <c r="B708" s="158"/>
      <c r="C708" s="158"/>
      <c r="D708" s="158"/>
      <c r="E708" s="158"/>
      <c r="F708" s="158"/>
      <c r="G708" s="158"/>
      <c r="H708" s="158"/>
      <c r="I708" s="158"/>
      <c r="J708" s="158"/>
      <c r="K708" s="158"/>
      <c r="L708" s="158"/>
      <c r="M708" s="158"/>
      <c r="N708" s="158"/>
      <c r="O708" s="158"/>
      <c r="P708" s="158"/>
      <c r="Q708" s="158"/>
      <c r="R708" s="158"/>
      <c r="S708" s="158"/>
      <c r="T708" s="158"/>
      <c r="U708" s="158"/>
      <c r="V708" s="158"/>
      <c r="W708" s="158"/>
      <c r="X708" s="158"/>
      <c r="Y708" s="158"/>
      <c r="Z708" s="158"/>
    </row>
    <row r="709" spans="1:26" ht="12" customHeight="1">
      <c r="A709" s="147"/>
      <c r="B709" s="158"/>
      <c r="C709" s="158"/>
      <c r="D709" s="158"/>
      <c r="E709" s="158"/>
      <c r="F709" s="158"/>
      <c r="G709" s="158"/>
      <c r="H709" s="158"/>
      <c r="I709" s="158"/>
      <c r="J709" s="158"/>
      <c r="K709" s="158"/>
      <c r="L709" s="158"/>
      <c r="M709" s="158"/>
      <c r="N709" s="158"/>
      <c r="O709" s="158"/>
      <c r="P709" s="158"/>
      <c r="Q709" s="158"/>
      <c r="R709" s="158"/>
      <c r="S709" s="158"/>
      <c r="T709" s="158"/>
      <c r="U709" s="158"/>
      <c r="V709" s="158"/>
      <c r="W709" s="158"/>
      <c r="X709" s="158"/>
      <c r="Y709" s="158"/>
      <c r="Z709" s="158"/>
    </row>
    <row r="710" spans="1:26" ht="12" customHeight="1">
      <c r="A710" s="147"/>
      <c r="B710" s="158"/>
      <c r="C710" s="158"/>
      <c r="D710" s="158"/>
      <c r="E710" s="158"/>
      <c r="F710" s="158"/>
      <c r="G710" s="158"/>
      <c r="H710" s="158"/>
      <c r="I710" s="158"/>
      <c r="J710" s="158"/>
      <c r="K710" s="158"/>
      <c r="L710" s="158"/>
      <c r="M710" s="158"/>
      <c r="N710" s="158"/>
      <c r="O710" s="158"/>
      <c r="P710" s="158"/>
      <c r="Q710" s="158"/>
      <c r="R710" s="158"/>
      <c r="S710" s="158"/>
      <c r="T710" s="158"/>
      <c r="U710" s="158"/>
      <c r="V710" s="158"/>
      <c r="W710" s="158"/>
      <c r="X710" s="158"/>
      <c r="Y710" s="158"/>
      <c r="Z710" s="158"/>
    </row>
    <row r="711" spans="1:26" ht="12" customHeight="1">
      <c r="A711" s="147"/>
      <c r="B711" s="158"/>
      <c r="C711" s="158"/>
      <c r="D711" s="158"/>
      <c r="E711" s="158"/>
      <c r="F711" s="158"/>
      <c r="G711" s="158"/>
      <c r="H711" s="158"/>
      <c r="I711" s="158"/>
      <c r="J711" s="158"/>
      <c r="K711" s="158"/>
      <c r="L711" s="158"/>
      <c r="M711" s="158"/>
      <c r="N711" s="158"/>
      <c r="O711" s="158"/>
      <c r="P711" s="158"/>
      <c r="Q711" s="158"/>
      <c r="R711" s="158"/>
      <c r="S711" s="158"/>
      <c r="T711" s="158"/>
      <c r="U711" s="158"/>
      <c r="V711" s="158"/>
      <c r="W711" s="158"/>
      <c r="X711" s="158"/>
      <c r="Y711" s="158"/>
      <c r="Z711" s="158"/>
    </row>
    <row r="712" spans="1:26" ht="12" customHeight="1">
      <c r="A712" s="147"/>
      <c r="B712" s="158"/>
      <c r="C712" s="158"/>
      <c r="D712" s="158"/>
      <c r="E712" s="158"/>
      <c r="F712" s="158"/>
      <c r="G712" s="158"/>
      <c r="H712" s="158"/>
      <c r="I712" s="158"/>
      <c r="J712" s="158"/>
      <c r="K712" s="158"/>
      <c r="L712" s="158"/>
      <c r="M712" s="158"/>
      <c r="N712" s="158"/>
      <c r="O712" s="158"/>
      <c r="P712" s="158"/>
      <c r="Q712" s="158"/>
      <c r="R712" s="158"/>
      <c r="S712" s="158"/>
      <c r="T712" s="158"/>
      <c r="U712" s="158"/>
      <c r="V712" s="158"/>
      <c r="W712" s="158"/>
      <c r="X712" s="158"/>
      <c r="Y712" s="158"/>
      <c r="Z712" s="158"/>
    </row>
    <row r="713" spans="1:26" ht="12" customHeight="1">
      <c r="A713" s="147"/>
      <c r="B713" s="158"/>
      <c r="C713" s="158"/>
      <c r="D713" s="158"/>
      <c r="E713" s="158"/>
      <c r="F713" s="158"/>
      <c r="G713" s="158"/>
      <c r="H713" s="158"/>
      <c r="I713" s="158"/>
      <c r="J713" s="158"/>
      <c r="K713" s="158"/>
      <c r="L713" s="158"/>
      <c r="M713" s="158"/>
      <c r="N713" s="158"/>
      <c r="O713" s="158"/>
      <c r="P713" s="158"/>
      <c r="Q713" s="158"/>
      <c r="R713" s="158"/>
      <c r="S713" s="158"/>
      <c r="T713" s="158"/>
      <c r="U713" s="158"/>
      <c r="V713" s="158"/>
      <c r="W713" s="158"/>
      <c r="X713" s="158"/>
      <c r="Y713" s="158"/>
      <c r="Z713" s="158"/>
    </row>
    <row r="714" spans="1:26" ht="12" customHeight="1">
      <c r="A714" s="147"/>
      <c r="B714" s="158"/>
      <c r="C714" s="158"/>
      <c r="D714" s="158"/>
      <c r="E714" s="158"/>
      <c r="F714" s="158"/>
      <c r="G714" s="158"/>
      <c r="H714" s="158"/>
      <c r="I714" s="158"/>
      <c r="J714" s="158"/>
      <c r="K714" s="158"/>
      <c r="L714" s="158"/>
      <c r="M714" s="158"/>
      <c r="N714" s="158"/>
      <c r="O714" s="158"/>
      <c r="P714" s="158"/>
      <c r="Q714" s="158"/>
      <c r="R714" s="158"/>
      <c r="S714" s="158"/>
      <c r="T714" s="158"/>
      <c r="U714" s="158"/>
      <c r="V714" s="158"/>
      <c r="W714" s="158"/>
      <c r="X714" s="158"/>
      <c r="Y714" s="158"/>
      <c r="Z714" s="158"/>
    </row>
    <row r="715" spans="1:26" ht="12" customHeight="1">
      <c r="A715" s="147"/>
      <c r="B715" s="158"/>
      <c r="C715" s="158"/>
      <c r="D715" s="158"/>
      <c r="E715" s="158"/>
      <c r="F715" s="158"/>
      <c r="G715" s="158"/>
      <c r="H715" s="158"/>
      <c r="I715" s="158"/>
      <c r="J715" s="158"/>
      <c r="K715" s="158"/>
      <c r="L715" s="158"/>
      <c r="M715" s="158"/>
      <c r="N715" s="158"/>
      <c r="O715" s="158"/>
      <c r="P715" s="158"/>
      <c r="Q715" s="158"/>
      <c r="R715" s="158"/>
      <c r="S715" s="158"/>
      <c r="T715" s="158"/>
      <c r="U715" s="158"/>
      <c r="V715" s="158"/>
      <c r="W715" s="158"/>
      <c r="X715" s="158"/>
      <c r="Y715" s="158"/>
      <c r="Z715" s="158"/>
    </row>
    <row r="716" spans="1:26" ht="12" customHeight="1">
      <c r="A716" s="147"/>
      <c r="B716" s="158"/>
      <c r="C716" s="158"/>
      <c r="D716" s="158"/>
      <c r="E716" s="158"/>
      <c r="F716" s="158"/>
      <c r="G716" s="158"/>
      <c r="H716" s="158"/>
      <c r="I716" s="158"/>
      <c r="J716" s="158"/>
      <c r="K716" s="158"/>
      <c r="L716" s="158"/>
      <c r="M716" s="158"/>
      <c r="N716" s="158"/>
      <c r="O716" s="158"/>
      <c r="P716" s="158"/>
      <c r="Q716" s="158"/>
      <c r="R716" s="158"/>
      <c r="S716" s="158"/>
      <c r="T716" s="158"/>
      <c r="U716" s="158"/>
      <c r="V716" s="158"/>
      <c r="W716" s="158"/>
      <c r="X716" s="158"/>
      <c r="Y716" s="158"/>
      <c r="Z716" s="158"/>
    </row>
    <row r="717" spans="1:26" ht="12" customHeight="1">
      <c r="A717" s="147"/>
      <c r="B717" s="158"/>
      <c r="C717" s="158"/>
      <c r="D717" s="158"/>
      <c r="E717" s="158"/>
      <c r="F717" s="158"/>
      <c r="G717" s="158"/>
      <c r="H717" s="158"/>
      <c r="I717" s="158"/>
      <c r="J717" s="158"/>
      <c r="K717" s="158"/>
      <c r="L717" s="158"/>
      <c r="M717" s="158"/>
      <c r="N717" s="158"/>
      <c r="O717" s="158"/>
      <c r="P717" s="158"/>
      <c r="Q717" s="158"/>
      <c r="R717" s="158"/>
      <c r="S717" s="158"/>
      <c r="T717" s="158"/>
      <c r="U717" s="158"/>
      <c r="V717" s="158"/>
      <c r="W717" s="158"/>
      <c r="X717" s="158"/>
      <c r="Y717" s="158"/>
      <c r="Z717" s="158"/>
    </row>
    <row r="718" spans="1:26" ht="12" customHeight="1">
      <c r="A718" s="147"/>
      <c r="B718" s="158"/>
      <c r="C718" s="158"/>
      <c r="D718" s="158"/>
      <c r="E718" s="158"/>
      <c r="F718" s="158"/>
      <c r="G718" s="158"/>
      <c r="H718" s="158"/>
      <c r="I718" s="158"/>
      <c r="J718" s="158"/>
      <c r="K718" s="158"/>
      <c r="L718" s="158"/>
      <c r="M718" s="158"/>
      <c r="N718" s="158"/>
      <c r="O718" s="158"/>
      <c r="P718" s="158"/>
      <c r="Q718" s="158"/>
      <c r="R718" s="158"/>
      <c r="S718" s="158"/>
      <c r="T718" s="158"/>
      <c r="U718" s="158"/>
      <c r="V718" s="158"/>
      <c r="W718" s="158"/>
      <c r="X718" s="158"/>
      <c r="Y718" s="158"/>
      <c r="Z718" s="158"/>
    </row>
    <row r="719" spans="1:26" ht="12" customHeight="1">
      <c r="A719" s="147"/>
      <c r="B719" s="158"/>
      <c r="C719" s="158"/>
      <c r="D719" s="158"/>
      <c r="E719" s="158"/>
      <c r="F719" s="158"/>
      <c r="G719" s="158"/>
      <c r="H719" s="158"/>
      <c r="I719" s="158"/>
      <c r="J719" s="158"/>
      <c r="K719" s="158"/>
      <c r="L719" s="158"/>
      <c r="M719" s="158"/>
      <c r="N719" s="158"/>
      <c r="O719" s="158"/>
      <c r="P719" s="158"/>
      <c r="Q719" s="158"/>
      <c r="R719" s="158"/>
      <c r="S719" s="158"/>
      <c r="T719" s="158"/>
      <c r="U719" s="158"/>
      <c r="V719" s="158"/>
      <c r="W719" s="158"/>
      <c r="X719" s="158"/>
      <c r="Y719" s="158"/>
      <c r="Z719" s="158"/>
    </row>
    <row r="720" spans="1:26" ht="12" customHeight="1">
      <c r="A720" s="147"/>
      <c r="B720" s="158"/>
      <c r="C720" s="158"/>
      <c r="D720" s="158"/>
      <c r="E720" s="158"/>
      <c r="F720" s="158"/>
      <c r="G720" s="158"/>
      <c r="H720" s="158"/>
      <c r="I720" s="158"/>
      <c r="J720" s="158"/>
      <c r="K720" s="158"/>
      <c r="L720" s="158"/>
      <c r="M720" s="158"/>
      <c r="N720" s="158"/>
      <c r="O720" s="158"/>
      <c r="P720" s="158"/>
      <c r="Q720" s="158"/>
      <c r="R720" s="158"/>
      <c r="S720" s="158"/>
      <c r="T720" s="158"/>
      <c r="U720" s="158"/>
      <c r="V720" s="158"/>
      <c r="W720" s="158"/>
      <c r="X720" s="158"/>
      <c r="Y720" s="158"/>
      <c r="Z720" s="158"/>
    </row>
    <row r="721" spans="1:26" ht="12" customHeight="1">
      <c r="A721" s="147"/>
      <c r="B721" s="158"/>
      <c r="C721" s="158"/>
      <c r="D721" s="158"/>
      <c r="E721" s="158"/>
      <c r="F721" s="158"/>
      <c r="G721" s="158"/>
      <c r="H721" s="158"/>
      <c r="I721" s="158"/>
      <c r="J721" s="158"/>
      <c r="K721" s="158"/>
      <c r="L721" s="158"/>
      <c r="M721" s="158"/>
      <c r="N721" s="158"/>
      <c r="O721" s="158"/>
      <c r="P721" s="158"/>
      <c r="Q721" s="158"/>
      <c r="R721" s="158"/>
      <c r="S721" s="158"/>
      <c r="T721" s="158"/>
      <c r="U721" s="158"/>
      <c r="V721" s="158"/>
      <c r="W721" s="158"/>
      <c r="X721" s="158"/>
      <c r="Y721" s="158"/>
      <c r="Z721" s="158"/>
    </row>
    <row r="722" spans="1:26" ht="12" customHeight="1">
      <c r="A722" s="147"/>
      <c r="B722" s="158"/>
      <c r="C722" s="158"/>
      <c r="D722" s="158"/>
      <c r="E722" s="158"/>
      <c r="F722" s="158"/>
      <c r="G722" s="158"/>
      <c r="H722" s="158"/>
      <c r="I722" s="158"/>
      <c r="J722" s="158"/>
      <c r="K722" s="158"/>
      <c r="L722" s="158"/>
      <c r="M722" s="158"/>
      <c r="N722" s="158"/>
      <c r="O722" s="158"/>
      <c r="P722" s="158"/>
      <c r="Q722" s="158"/>
      <c r="R722" s="158"/>
      <c r="S722" s="158"/>
      <c r="T722" s="158"/>
      <c r="U722" s="158"/>
      <c r="V722" s="158"/>
      <c r="W722" s="158"/>
      <c r="X722" s="158"/>
      <c r="Y722" s="158"/>
      <c r="Z722" s="158"/>
    </row>
    <row r="723" spans="1:26" ht="12" customHeight="1">
      <c r="A723" s="147"/>
      <c r="B723" s="158"/>
      <c r="C723" s="158"/>
      <c r="D723" s="158"/>
      <c r="E723" s="158"/>
      <c r="F723" s="158"/>
      <c r="G723" s="158"/>
      <c r="H723" s="158"/>
      <c r="I723" s="158"/>
      <c r="J723" s="158"/>
      <c r="K723" s="158"/>
      <c r="L723" s="158"/>
      <c r="M723" s="158"/>
      <c r="N723" s="158"/>
      <c r="O723" s="158"/>
      <c r="P723" s="158"/>
      <c r="Q723" s="158"/>
      <c r="R723" s="158"/>
      <c r="S723" s="158"/>
      <c r="T723" s="158"/>
      <c r="U723" s="158"/>
      <c r="V723" s="158"/>
      <c r="W723" s="158"/>
      <c r="X723" s="158"/>
      <c r="Y723" s="158"/>
      <c r="Z723" s="158"/>
    </row>
    <row r="724" spans="1:26" ht="12" customHeight="1">
      <c r="A724" s="147"/>
      <c r="B724" s="158"/>
      <c r="C724" s="158"/>
      <c r="D724" s="158"/>
      <c r="E724" s="158"/>
      <c r="F724" s="158"/>
      <c r="G724" s="158"/>
      <c r="H724" s="158"/>
      <c r="I724" s="158"/>
      <c r="J724" s="158"/>
      <c r="K724" s="158"/>
      <c r="L724" s="158"/>
      <c r="M724" s="158"/>
      <c r="N724" s="158"/>
      <c r="O724" s="158"/>
      <c r="P724" s="158"/>
      <c r="Q724" s="158"/>
      <c r="R724" s="158"/>
      <c r="S724" s="158"/>
      <c r="T724" s="158"/>
      <c r="U724" s="158"/>
      <c r="V724" s="158"/>
      <c r="W724" s="158"/>
      <c r="X724" s="158"/>
      <c r="Y724" s="158"/>
      <c r="Z724" s="158"/>
    </row>
    <row r="725" spans="1:26" ht="12" customHeight="1">
      <c r="A725" s="147"/>
      <c r="B725" s="158"/>
      <c r="C725" s="158"/>
      <c r="D725" s="158"/>
      <c r="E725" s="158"/>
      <c r="F725" s="158"/>
      <c r="G725" s="158"/>
      <c r="H725" s="158"/>
      <c r="I725" s="158"/>
      <c r="J725" s="158"/>
      <c r="K725" s="158"/>
      <c r="L725" s="158"/>
      <c r="M725" s="158"/>
      <c r="N725" s="158"/>
      <c r="O725" s="158"/>
      <c r="P725" s="158"/>
      <c r="Q725" s="158"/>
      <c r="R725" s="158"/>
      <c r="S725" s="158"/>
      <c r="T725" s="158"/>
      <c r="U725" s="158"/>
      <c r="V725" s="158"/>
      <c r="W725" s="158"/>
      <c r="X725" s="158"/>
      <c r="Y725" s="158"/>
      <c r="Z725" s="158"/>
    </row>
    <row r="726" spans="1:26" ht="12" customHeight="1">
      <c r="A726" s="147"/>
      <c r="B726" s="158"/>
      <c r="C726" s="158"/>
      <c r="D726" s="158"/>
      <c r="E726" s="158"/>
      <c r="F726" s="158"/>
      <c r="G726" s="158"/>
      <c r="H726" s="158"/>
      <c r="I726" s="158"/>
      <c r="J726" s="158"/>
      <c r="K726" s="158"/>
      <c r="L726" s="158"/>
      <c r="M726" s="158"/>
      <c r="N726" s="158"/>
      <c r="O726" s="158"/>
      <c r="P726" s="158"/>
      <c r="Q726" s="158"/>
      <c r="R726" s="158"/>
      <c r="S726" s="158"/>
      <c r="T726" s="158"/>
      <c r="U726" s="158"/>
      <c r="V726" s="158"/>
      <c r="W726" s="158"/>
      <c r="X726" s="158"/>
      <c r="Y726" s="158"/>
      <c r="Z726" s="158"/>
    </row>
    <row r="727" spans="1:26" ht="12" customHeight="1">
      <c r="A727" s="147"/>
      <c r="B727" s="158"/>
      <c r="C727" s="158"/>
      <c r="D727" s="158"/>
      <c r="E727" s="158"/>
      <c r="F727" s="158"/>
      <c r="G727" s="158"/>
      <c r="H727" s="158"/>
      <c r="I727" s="158"/>
      <c r="J727" s="158"/>
      <c r="K727" s="158"/>
      <c r="L727" s="158"/>
      <c r="M727" s="158"/>
      <c r="N727" s="158"/>
      <c r="O727" s="158"/>
      <c r="P727" s="158"/>
      <c r="Q727" s="158"/>
      <c r="R727" s="158"/>
      <c r="S727" s="158"/>
      <c r="T727" s="158"/>
      <c r="U727" s="158"/>
      <c r="V727" s="158"/>
      <c r="W727" s="158"/>
      <c r="X727" s="158"/>
      <c r="Y727" s="158"/>
      <c r="Z727" s="158"/>
    </row>
    <row r="728" spans="1:26" ht="12" customHeight="1">
      <c r="A728" s="147"/>
      <c r="B728" s="158"/>
      <c r="C728" s="158"/>
      <c r="D728" s="158"/>
      <c r="E728" s="158"/>
      <c r="F728" s="158"/>
      <c r="G728" s="158"/>
      <c r="H728" s="158"/>
      <c r="I728" s="158"/>
      <c r="J728" s="158"/>
      <c r="K728" s="158"/>
      <c r="L728" s="158"/>
      <c r="M728" s="158"/>
      <c r="N728" s="158"/>
      <c r="O728" s="158"/>
      <c r="P728" s="158"/>
      <c r="Q728" s="158"/>
      <c r="R728" s="158"/>
      <c r="S728" s="158"/>
      <c r="T728" s="158"/>
      <c r="U728" s="158"/>
      <c r="V728" s="158"/>
      <c r="W728" s="158"/>
      <c r="X728" s="158"/>
      <c r="Y728" s="158"/>
      <c r="Z728" s="158"/>
    </row>
    <row r="729" spans="1:26" ht="12" customHeight="1">
      <c r="A729" s="147"/>
      <c r="B729" s="158"/>
      <c r="C729" s="158"/>
      <c r="D729" s="158"/>
      <c r="E729" s="158"/>
      <c r="F729" s="158"/>
      <c r="G729" s="158"/>
      <c r="H729" s="158"/>
      <c r="I729" s="158"/>
      <c r="J729" s="158"/>
      <c r="K729" s="158"/>
      <c r="L729" s="158"/>
      <c r="M729" s="158"/>
      <c r="N729" s="158"/>
      <c r="O729" s="158"/>
      <c r="P729" s="158"/>
      <c r="Q729" s="158"/>
      <c r="R729" s="158"/>
      <c r="S729" s="158"/>
      <c r="T729" s="158"/>
      <c r="U729" s="158"/>
      <c r="V729" s="158"/>
      <c r="W729" s="158"/>
      <c r="X729" s="158"/>
      <c r="Y729" s="158"/>
      <c r="Z729" s="158"/>
    </row>
    <row r="730" spans="1:26" ht="12" customHeight="1">
      <c r="A730" s="147"/>
      <c r="B730" s="158"/>
      <c r="C730" s="158"/>
      <c r="D730" s="158"/>
      <c r="E730" s="158"/>
      <c r="F730" s="158"/>
      <c r="G730" s="158"/>
      <c r="H730" s="158"/>
      <c r="I730" s="158"/>
      <c r="J730" s="158"/>
      <c r="K730" s="158"/>
      <c r="L730" s="158"/>
      <c r="M730" s="158"/>
      <c r="N730" s="158"/>
      <c r="O730" s="158"/>
      <c r="P730" s="158"/>
      <c r="Q730" s="158"/>
      <c r="R730" s="158"/>
      <c r="S730" s="158"/>
      <c r="T730" s="158"/>
      <c r="U730" s="158"/>
      <c r="V730" s="158"/>
      <c r="W730" s="158"/>
      <c r="X730" s="158"/>
      <c r="Y730" s="158"/>
      <c r="Z730" s="158"/>
    </row>
    <row r="731" spans="1:26" ht="12" customHeight="1">
      <c r="A731" s="147"/>
      <c r="B731" s="158"/>
      <c r="C731" s="158"/>
      <c r="D731" s="158"/>
      <c r="E731" s="158"/>
      <c r="F731" s="158"/>
      <c r="G731" s="158"/>
      <c r="H731" s="158"/>
      <c r="I731" s="158"/>
      <c r="J731" s="158"/>
      <c r="K731" s="158"/>
      <c r="L731" s="158"/>
      <c r="M731" s="158"/>
      <c r="N731" s="158"/>
      <c r="O731" s="158"/>
      <c r="P731" s="158"/>
      <c r="Q731" s="158"/>
      <c r="R731" s="158"/>
      <c r="S731" s="158"/>
      <c r="T731" s="158"/>
      <c r="U731" s="158"/>
      <c r="V731" s="158"/>
      <c r="W731" s="158"/>
      <c r="X731" s="158"/>
      <c r="Y731" s="158"/>
      <c r="Z731" s="158"/>
    </row>
    <row r="732" spans="1:26" ht="12" customHeight="1">
      <c r="A732" s="147"/>
      <c r="B732" s="158"/>
      <c r="C732" s="158"/>
      <c r="D732" s="158"/>
      <c r="E732" s="158"/>
      <c r="F732" s="158"/>
      <c r="G732" s="158"/>
      <c r="H732" s="158"/>
      <c r="I732" s="158"/>
      <c r="J732" s="158"/>
      <c r="K732" s="158"/>
      <c r="L732" s="158"/>
      <c r="M732" s="158"/>
      <c r="N732" s="158"/>
      <c r="O732" s="158"/>
      <c r="P732" s="158"/>
      <c r="Q732" s="158"/>
      <c r="R732" s="158"/>
      <c r="S732" s="158"/>
      <c r="T732" s="158"/>
      <c r="U732" s="158"/>
      <c r="V732" s="158"/>
      <c r="W732" s="158"/>
      <c r="X732" s="158"/>
      <c r="Y732" s="158"/>
      <c r="Z732" s="158"/>
    </row>
    <row r="733" spans="1:26" ht="12" customHeight="1">
      <c r="A733" s="147"/>
      <c r="B733" s="158"/>
      <c r="C733" s="158"/>
      <c r="D733" s="158"/>
      <c r="E733" s="158"/>
      <c r="F733" s="158"/>
      <c r="G733" s="158"/>
      <c r="H733" s="158"/>
      <c r="I733" s="158"/>
      <c r="J733" s="158"/>
      <c r="K733" s="158"/>
      <c r="L733" s="158"/>
      <c r="M733" s="158"/>
      <c r="N733" s="158"/>
      <c r="O733" s="158"/>
      <c r="P733" s="158"/>
      <c r="Q733" s="158"/>
      <c r="R733" s="158"/>
      <c r="S733" s="158"/>
      <c r="T733" s="158"/>
      <c r="U733" s="158"/>
      <c r="V733" s="158"/>
      <c r="W733" s="158"/>
      <c r="X733" s="158"/>
      <c r="Y733" s="158"/>
      <c r="Z733" s="158"/>
    </row>
    <row r="734" spans="1:26" ht="12" customHeight="1">
      <c r="A734" s="147"/>
      <c r="B734" s="158"/>
      <c r="C734" s="158"/>
      <c r="D734" s="158"/>
      <c r="E734" s="158"/>
      <c r="F734" s="158"/>
      <c r="G734" s="158"/>
      <c r="H734" s="158"/>
      <c r="I734" s="158"/>
      <c r="J734" s="158"/>
      <c r="K734" s="158"/>
      <c r="L734" s="158"/>
      <c r="M734" s="158"/>
      <c r="N734" s="158"/>
      <c r="O734" s="158"/>
      <c r="P734" s="158"/>
      <c r="Q734" s="158"/>
      <c r="R734" s="158"/>
      <c r="S734" s="158"/>
      <c r="T734" s="158"/>
      <c r="U734" s="158"/>
      <c r="V734" s="158"/>
      <c r="W734" s="158"/>
      <c r="X734" s="158"/>
      <c r="Y734" s="158"/>
      <c r="Z734" s="158"/>
    </row>
    <row r="735" spans="1:26" ht="12" customHeight="1">
      <c r="A735" s="147"/>
      <c r="B735" s="158"/>
      <c r="C735" s="158"/>
      <c r="D735" s="158"/>
      <c r="E735" s="158"/>
      <c r="F735" s="158"/>
      <c r="G735" s="158"/>
      <c r="H735" s="158"/>
      <c r="I735" s="158"/>
      <c r="J735" s="158"/>
      <c r="K735" s="158"/>
      <c r="L735" s="158"/>
      <c r="M735" s="158"/>
      <c r="N735" s="158"/>
      <c r="O735" s="158"/>
      <c r="P735" s="158"/>
      <c r="Q735" s="158"/>
      <c r="R735" s="158"/>
      <c r="S735" s="158"/>
      <c r="T735" s="158"/>
      <c r="U735" s="158"/>
      <c r="V735" s="158"/>
      <c r="W735" s="158"/>
      <c r="X735" s="158"/>
      <c r="Y735" s="158"/>
      <c r="Z735" s="158"/>
    </row>
    <row r="736" spans="1:26" ht="12" customHeight="1">
      <c r="A736" s="147"/>
      <c r="B736" s="158"/>
      <c r="C736" s="158"/>
      <c r="D736" s="158"/>
      <c r="E736" s="158"/>
      <c r="F736" s="158"/>
      <c r="G736" s="158"/>
      <c r="H736" s="158"/>
      <c r="I736" s="158"/>
      <c r="J736" s="158"/>
      <c r="K736" s="158"/>
      <c r="L736" s="158"/>
      <c r="M736" s="158"/>
      <c r="N736" s="158"/>
      <c r="O736" s="158"/>
      <c r="P736" s="158"/>
      <c r="Q736" s="158"/>
      <c r="R736" s="158"/>
      <c r="S736" s="158"/>
      <c r="T736" s="158"/>
      <c r="U736" s="158"/>
      <c r="V736" s="158"/>
      <c r="W736" s="158"/>
      <c r="X736" s="158"/>
      <c r="Y736" s="158"/>
      <c r="Z736" s="158"/>
    </row>
    <row r="737" spans="1:26" ht="12" customHeight="1">
      <c r="A737" s="147"/>
      <c r="B737" s="158"/>
      <c r="C737" s="158"/>
      <c r="D737" s="158"/>
      <c r="E737" s="158"/>
      <c r="F737" s="158"/>
      <c r="G737" s="158"/>
      <c r="H737" s="158"/>
      <c r="I737" s="158"/>
      <c r="J737" s="158"/>
      <c r="K737" s="158"/>
      <c r="L737" s="158"/>
      <c r="M737" s="158"/>
      <c r="N737" s="158"/>
      <c r="O737" s="158"/>
      <c r="P737" s="158"/>
      <c r="Q737" s="158"/>
      <c r="R737" s="158"/>
      <c r="S737" s="158"/>
      <c r="T737" s="158"/>
      <c r="U737" s="158"/>
      <c r="V737" s="158"/>
      <c r="W737" s="158"/>
      <c r="X737" s="158"/>
      <c r="Y737" s="158"/>
      <c r="Z737" s="158"/>
    </row>
    <row r="738" spans="1:26" ht="12" customHeight="1">
      <c r="A738" s="147"/>
      <c r="B738" s="158"/>
      <c r="C738" s="158"/>
      <c r="D738" s="158"/>
      <c r="E738" s="158"/>
      <c r="F738" s="158"/>
      <c r="G738" s="158"/>
      <c r="H738" s="158"/>
      <c r="I738" s="158"/>
      <c r="J738" s="158"/>
      <c r="K738" s="158"/>
      <c r="L738" s="158"/>
      <c r="M738" s="158"/>
      <c r="N738" s="158"/>
      <c r="O738" s="158"/>
      <c r="P738" s="158"/>
      <c r="Q738" s="158"/>
      <c r="R738" s="158"/>
      <c r="S738" s="158"/>
      <c r="T738" s="158"/>
      <c r="U738" s="158"/>
      <c r="V738" s="158"/>
      <c r="W738" s="158"/>
      <c r="X738" s="158"/>
      <c r="Y738" s="158"/>
      <c r="Z738" s="158"/>
    </row>
    <row r="739" spans="1:26" ht="12" customHeight="1">
      <c r="A739" s="147"/>
      <c r="B739" s="158"/>
      <c r="C739" s="158"/>
      <c r="D739" s="158"/>
      <c r="E739" s="158"/>
      <c r="F739" s="158"/>
      <c r="G739" s="158"/>
      <c r="H739" s="158"/>
      <c r="I739" s="158"/>
      <c r="J739" s="158"/>
      <c r="K739" s="158"/>
      <c r="L739" s="158"/>
      <c r="M739" s="158"/>
      <c r="N739" s="158"/>
      <c r="O739" s="158"/>
      <c r="P739" s="158"/>
      <c r="Q739" s="158"/>
      <c r="R739" s="158"/>
      <c r="S739" s="158"/>
      <c r="T739" s="158"/>
      <c r="U739" s="158"/>
      <c r="V739" s="158"/>
      <c r="W739" s="158"/>
      <c r="X739" s="158"/>
      <c r="Y739" s="158"/>
      <c r="Z739" s="158"/>
    </row>
    <row r="740" spans="1:26" ht="12" customHeight="1">
      <c r="A740" s="147"/>
      <c r="B740" s="158"/>
      <c r="C740" s="158"/>
      <c r="D740" s="158"/>
      <c r="E740" s="158"/>
      <c r="F740" s="158"/>
      <c r="G740" s="158"/>
      <c r="H740" s="158"/>
      <c r="I740" s="158"/>
      <c r="J740" s="158"/>
      <c r="K740" s="158"/>
      <c r="L740" s="158"/>
      <c r="M740" s="158"/>
      <c r="N740" s="158"/>
      <c r="O740" s="158"/>
      <c r="P740" s="158"/>
      <c r="Q740" s="158"/>
      <c r="R740" s="158"/>
      <c r="S740" s="158"/>
      <c r="T740" s="158"/>
      <c r="U740" s="158"/>
      <c r="V740" s="158"/>
      <c r="W740" s="158"/>
      <c r="X740" s="158"/>
      <c r="Y740" s="158"/>
      <c r="Z740" s="158"/>
    </row>
    <row r="741" spans="1:26" ht="12" customHeight="1">
      <c r="A741" s="147"/>
      <c r="B741" s="158"/>
      <c r="C741" s="158"/>
      <c r="D741" s="158"/>
      <c r="E741" s="158"/>
      <c r="F741" s="158"/>
      <c r="G741" s="158"/>
      <c r="H741" s="158"/>
      <c r="I741" s="158"/>
      <c r="J741" s="158"/>
      <c r="K741" s="158"/>
      <c r="L741" s="158"/>
      <c r="M741" s="158"/>
      <c r="N741" s="158"/>
      <c r="O741" s="158"/>
      <c r="P741" s="158"/>
      <c r="Q741" s="158"/>
      <c r="R741" s="158"/>
      <c r="S741" s="158"/>
      <c r="T741" s="158"/>
      <c r="U741" s="158"/>
      <c r="V741" s="158"/>
      <c r="W741" s="158"/>
      <c r="X741" s="158"/>
      <c r="Y741" s="158"/>
      <c r="Z741" s="158"/>
    </row>
    <row r="742" spans="1:26" ht="12" customHeight="1">
      <c r="A742" s="147"/>
      <c r="B742" s="158"/>
      <c r="C742" s="158"/>
      <c r="D742" s="158"/>
      <c r="E742" s="158"/>
      <c r="F742" s="158"/>
      <c r="G742" s="158"/>
      <c r="H742" s="158"/>
      <c r="I742" s="158"/>
      <c r="J742" s="158"/>
      <c r="K742" s="158"/>
      <c r="L742" s="158"/>
      <c r="M742" s="158"/>
      <c r="N742" s="158"/>
      <c r="O742" s="158"/>
      <c r="P742" s="158"/>
      <c r="Q742" s="158"/>
      <c r="R742" s="158"/>
      <c r="S742" s="158"/>
      <c r="T742" s="158"/>
      <c r="U742" s="158"/>
      <c r="V742" s="158"/>
      <c r="W742" s="158"/>
      <c r="X742" s="158"/>
      <c r="Y742" s="158"/>
      <c r="Z742" s="158"/>
    </row>
    <row r="743" spans="1:26" ht="12" customHeight="1">
      <c r="A743" s="147"/>
      <c r="B743" s="158"/>
      <c r="C743" s="158"/>
      <c r="D743" s="158"/>
      <c r="E743" s="158"/>
      <c r="F743" s="158"/>
      <c r="G743" s="158"/>
      <c r="H743" s="158"/>
      <c r="I743" s="158"/>
      <c r="J743" s="158"/>
      <c r="K743" s="158"/>
      <c r="L743" s="158"/>
      <c r="M743" s="158"/>
      <c r="N743" s="158"/>
      <c r="O743" s="158"/>
      <c r="P743" s="158"/>
      <c r="Q743" s="158"/>
      <c r="R743" s="158"/>
      <c r="S743" s="158"/>
      <c r="T743" s="158"/>
      <c r="U743" s="158"/>
      <c r="V743" s="158"/>
      <c r="W743" s="158"/>
      <c r="X743" s="158"/>
      <c r="Y743" s="158"/>
      <c r="Z743" s="158"/>
    </row>
    <row r="744" spans="1:26" ht="12" customHeight="1">
      <c r="A744" s="147"/>
      <c r="B744" s="158"/>
      <c r="C744" s="158"/>
      <c r="D744" s="158"/>
      <c r="E744" s="158"/>
      <c r="F744" s="158"/>
      <c r="G744" s="158"/>
      <c r="H744" s="158"/>
      <c r="I744" s="158"/>
      <c r="J744" s="158"/>
      <c r="K744" s="158"/>
      <c r="L744" s="158"/>
      <c r="M744" s="158"/>
      <c r="N744" s="158"/>
      <c r="O744" s="158"/>
      <c r="P744" s="158"/>
      <c r="Q744" s="158"/>
      <c r="R744" s="158"/>
      <c r="S744" s="158"/>
      <c r="T744" s="158"/>
      <c r="U744" s="158"/>
      <c r="V744" s="158"/>
      <c r="W744" s="158"/>
      <c r="X744" s="158"/>
      <c r="Y744" s="158"/>
      <c r="Z744" s="158"/>
    </row>
    <row r="745" spans="1:26" ht="12" customHeight="1">
      <c r="A745" s="147"/>
      <c r="B745" s="158"/>
      <c r="C745" s="158"/>
      <c r="D745" s="158"/>
      <c r="E745" s="158"/>
      <c r="F745" s="158"/>
      <c r="G745" s="158"/>
      <c r="H745" s="158"/>
      <c r="I745" s="158"/>
      <c r="J745" s="158"/>
      <c r="K745" s="158"/>
      <c r="L745" s="158"/>
      <c r="M745" s="158"/>
      <c r="N745" s="158"/>
      <c r="O745" s="158"/>
      <c r="P745" s="158"/>
      <c r="Q745" s="158"/>
      <c r="R745" s="158"/>
      <c r="S745" s="158"/>
      <c r="T745" s="158"/>
      <c r="U745" s="158"/>
      <c r="V745" s="158"/>
      <c r="W745" s="158"/>
      <c r="X745" s="158"/>
      <c r="Y745" s="158"/>
      <c r="Z745" s="158"/>
    </row>
    <row r="746" spans="1:26" ht="12" customHeight="1">
      <c r="A746" s="147"/>
      <c r="B746" s="158"/>
      <c r="C746" s="158"/>
      <c r="D746" s="158"/>
      <c r="E746" s="158"/>
      <c r="F746" s="158"/>
      <c r="G746" s="158"/>
      <c r="H746" s="158"/>
      <c r="I746" s="158"/>
      <c r="J746" s="158"/>
      <c r="K746" s="158"/>
      <c r="L746" s="158"/>
      <c r="M746" s="158"/>
      <c r="N746" s="158"/>
      <c r="O746" s="158"/>
      <c r="P746" s="158"/>
      <c r="Q746" s="158"/>
      <c r="R746" s="158"/>
      <c r="S746" s="158"/>
      <c r="T746" s="158"/>
      <c r="U746" s="158"/>
      <c r="V746" s="158"/>
      <c r="W746" s="158"/>
      <c r="X746" s="158"/>
      <c r="Y746" s="158"/>
      <c r="Z746" s="158"/>
    </row>
    <row r="747" spans="1:26" ht="12" customHeight="1">
      <c r="A747" s="147"/>
      <c r="B747" s="158"/>
      <c r="C747" s="158"/>
      <c r="D747" s="158"/>
      <c r="E747" s="158"/>
      <c r="F747" s="158"/>
      <c r="G747" s="158"/>
      <c r="H747" s="158"/>
      <c r="I747" s="158"/>
      <c r="J747" s="158"/>
      <c r="K747" s="158"/>
      <c r="L747" s="158"/>
      <c r="M747" s="158"/>
      <c r="N747" s="158"/>
      <c r="O747" s="158"/>
      <c r="P747" s="158"/>
      <c r="Q747" s="158"/>
      <c r="R747" s="158"/>
      <c r="S747" s="158"/>
      <c r="T747" s="158"/>
      <c r="U747" s="158"/>
      <c r="V747" s="158"/>
      <c r="W747" s="158"/>
      <c r="X747" s="158"/>
      <c r="Y747" s="158"/>
      <c r="Z747" s="158"/>
    </row>
    <row r="748" spans="1:26" ht="12" customHeight="1">
      <c r="A748" s="147"/>
      <c r="B748" s="158"/>
      <c r="C748" s="158"/>
      <c r="D748" s="158"/>
      <c r="E748" s="158"/>
      <c r="F748" s="158"/>
      <c r="G748" s="158"/>
      <c r="H748" s="158"/>
      <c r="I748" s="158"/>
      <c r="J748" s="158"/>
      <c r="K748" s="158"/>
      <c r="L748" s="158"/>
      <c r="M748" s="158"/>
      <c r="N748" s="158"/>
      <c r="O748" s="158"/>
      <c r="P748" s="158"/>
      <c r="Q748" s="158"/>
      <c r="R748" s="158"/>
      <c r="S748" s="158"/>
      <c r="T748" s="158"/>
      <c r="U748" s="158"/>
      <c r="V748" s="158"/>
      <c r="W748" s="158"/>
      <c r="X748" s="158"/>
      <c r="Y748" s="158"/>
      <c r="Z748" s="158"/>
    </row>
    <row r="749" spans="1:26" ht="12" customHeight="1">
      <c r="A749" s="147"/>
      <c r="B749" s="158"/>
      <c r="C749" s="158"/>
      <c r="D749" s="158"/>
      <c r="E749" s="158"/>
      <c r="F749" s="158"/>
      <c r="G749" s="158"/>
      <c r="H749" s="158"/>
      <c r="I749" s="158"/>
      <c r="J749" s="158"/>
      <c r="K749" s="158"/>
      <c r="L749" s="158"/>
      <c r="M749" s="158"/>
      <c r="N749" s="158"/>
      <c r="O749" s="158"/>
      <c r="P749" s="158"/>
      <c r="Q749" s="158"/>
      <c r="R749" s="158"/>
      <c r="S749" s="158"/>
      <c r="T749" s="158"/>
      <c r="U749" s="158"/>
      <c r="V749" s="158"/>
      <c r="W749" s="158"/>
      <c r="X749" s="158"/>
      <c r="Y749" s="158"/>
      <c r="Z749" s="158"/>
    </row>
    <row r="750" spans="1:26" ht="12" customHeight="1">
      <c r="A750" s="147"/>
      <c r="B750" s="158"/>
      <c r="C750" s="158"/>
      <c r="D750" s="158"/>
      <c r="E750" s="158"/>
      <c r="F750" s="158"/>
      <c r="G750" s="158"/>
      <c r="H750" s="158"/>
      <c r="I750" s="158"/>
      <c r="J750" s="158"/>
      <c r="K750" s="158"/>
      <c r="L750" s="158"/>
      <c r="M750" s="158"/>
      <c r="N750" s="158"/>
      <c r="O750" s="158"/>
      <c r="P750" s="158"/>
      <c r="Q750" s="158"/>
      <c r="R750" s="158"/>
      <c r="S750" s="158"/>
      <c r="T750" s="158"/>
      <c r="U750" s="158"/>
      <c r="V750" s="158"/>
      <c r="W750" s="158"/>
      <c r="X750" s="158"/>
      <c r="Y750" s="158"/>
      <c r="Z750" s="158"/>
    </row>
    <row r="751" spans="1:26" ht="12" customHeight="1">
      <c r="A751" s="147"/>
      <c r="B751" s="158"/>
      <c r="C751" s="158"/>
      <c r="D751" s="158"/>
      <c r="E751" s="158"/>
      <c r="F751" s="158"/>
      <c r="G751" s="158"/>
      <c r="H751" s="158"/>
      <c r="I751" s="158"/>
      <c r="J751" s="158"/>
      <c r="K751" s="158"/>
      <c r="L751" s="158"/>
      <c r="M751" s="158"/>
      <c r="N751" s="158"/>
      <c r="O751" s="158"/>
      <c r="P751" s="158"/>
      <c r="Q751" s="158"/>
      <c r="R751" s="158"/>
      <c r="S751" s="158"/>
      <c r="T751" s="158"/>
      <c r="U751" s="158"/>
      <c r="V751" s="158"/>
      <c r="W751" s="158"/>
      <c r="X751" s="158"/>
      <c r="Y751" s="158"/>
      <c r="Z751" s="158"/>
    </row>
    <row r="752" spans="1:26" ht="12" customHeight="1">
      <c r="A752" s="147"/>
      <c r="B752" s="158"/>
      <c r="C752" s="158"/>
      <c r="D752" s="158"/>
      <c r="E752" s="158"/>
      <c r="F752" s="158"/>
      <c r="G752" s="158"/>
      <c r="H752" s="158"/>
      <c r="I752" s="158"/>
      <c r="J752" s="158"/>
      <c r="K752" s="158"/>
      <c r="L752" s="158"/>
      <c r="M752" s="158"/>
      <c r="N752" s="158"/>
      <c r="O752" s="158"/>
      <c r="P752" s="158"/>
      <c r="Q752" s="158"/>
      <c r="R752" s="158"/>
      <c r="S752" s="158"/>
      <c r="T752" s="158"/>
      <c r="U752" s="158"/>
      <c r="V752" s="158"/>
      <c r="W752" s="158"/>
      <c r="X752" s="158"/>
      <c r="Y752" s="158"/>
      <c r="Z752" s="158"/>
    </row>
    <row r="753" spans="1:26" ht="12" customHeight="1">
      <c r="A753" s="147"/>
      <c r="B753" s="158"/>
      <c r="C753" s="158"/>
      <c r="D753" s="158"/>
      <c r="E753" s="158"/>
      <c r="F753" s="158"/>
      <c r="G753" s="158"/>
      <c r="H753" s="158"/>
      <c r="I753" s="158"/>
      <c r="J753" s="158"/>
      <c r="K753" s="158"/>
      <c r="L753" s="158"/>
      <c r="M753" s="158"/>
      <c r="N753" s="158"/>
      <c r="O753" s="158"/>
      <c r="P753" s="158"/>
      <c r="Q753" s="158"/>
      <c r="R753" s="158"/>
      <c r="S753" s="158"/>
      <c r="T753" s="158"/>
      <c r="U753" s="158"/>
      <c r="V753" s="158"/>
      <c r="W753" s="158"/>
      <c r="X753" s="158"/>
      <c r="Y753" s="158"/>
      <c r="Z753" s="158"/>
    </row>
    <row r="754" spans="1:26" ht="12" customHeight="1">
      <c r="A754" s="147"/>
      <c r="B754" s="158"/>
      <c r="C754" s="158"/>
      <c r="D754" s="158"/>
      <c r="E754" s="158"/>
      <c r="F754" s="158"/>
      <c r="G754" s="158"/>
      <c r="H754" s="158"/>
      <c r="I754" s="158"/>
      <c r="J754" s="158"/>
      <c r="K754" s="158"/>
      <c r="L754" s="158"/>
      <c r="M754" s="158"/>
      <c r="N754" s="158"/>
      <c r="O754" s="158"/>
      <c r="P754" s="158"/>
      <c r="Q754" s="158"/>
      <c r="R754" s="158"/>
      <c r="S754" s="158"/>
      <c r="T754" s="158"/>
      <c r="U754" s="158"/>
      <c r="V754" s="158"/>
      <c r="W754" s="158"/>
      <c r="X754" s="158"/>
      <c r="Y754" s="158"/>
      <c r="Z754" s="158"/>
    </row>
    <row r="755" spans="1:26" ht="12" customHeight="1">
      <c r="A755" s="147"/>
      <c r="B755" s="158"/>
      <c r="C755" s="158"/>
      <c r="D755" s="158"/>
      <c r="E755" s="158"/>
      <c r="F755" s="158"/>
      <c r="G755" s="158"/>
      <c r="H755" s="158"/>
      <c r="I755" s="158"/>
      <c r="J755" s="158"/>
      <c r="K755" s="158"/>
      <c r="L755" s="158"/>
      <c r="M755" s="158"/>
      <c r="N755" s="158"/>
      <c r="O755" s="158"/>
      <c r="P755" s="158"/>
      <c r="Q755" s="158"/>
      <c r="R755" s="158"/>
      <c r="S755" s="158"/>
      <c r="T755" s="158"/>
      <c r="U755" s="158"/>
      <c r="V755" s="158"/>
      <c r="W755" s="158"/>
      <c r="X755" s="158"/>
      <c r="Y755" s="158"/>
      <c r="Z755" s="158"/>
    </row>
    <row r="756" spans="1:26" ht="12" customHeight="1">
      <c r="A756" s="147"/>
      <c r="B756" s="158"/>
      <c r="C756" s="158"/>
      <c r="D756" s="158"/>
      <c r="E756" s="158"/>
      <c r="F756" s="158"/>
      <c r="G756" s="158"/>
      <c r="H756" s="158"/>
      <c r="I756" s="158"/>
      <c r="J756" s="158"/>
      <c r="K756" s="158"/>
      <c r="L756" s="158"/>
      <c r="M756" s="158"/>
      <c r="N756" s="158"/>
      <c r="O756" s="158"/>
      <c r="P756" s="158"/>
      <c r="Q756" s="158"/>
      <c r="R756" s="158"/>
      <c r="S756" s="158"/>
      <c r="T756" s="158"/>
      <c r="U756" s="158"/>
      <c r="V756" s="158"/>
      <c r="W756" s="158"/>
      <c r="X756" s="158"/>
      <c r="Y756" s="158"/>
      <c r="Z756" s="158"/>
    </row>
    <row r="757" spans="1:26" ht="12" customHeight="1">
      <c r="A757" s="147"/>
      <c r="B757" s="158"/>
      <c r="C757" s="158"/>
      <c r="D757" s="158"/>
      <c r="E757" s="158"/>
      <c r="F757" s="158"/>
      <c r="G757" s="158"/>
      <c r="H757" s="158"/>
      <c r="I757" s="158"/>
      <c r="J757" s="158"/>
      <c r="K757" s="158"/>
      <c r="L757" s="158"/>
      <c r="M757" s="158"/>
      <c r="N757" s="158"/>
      <c r="O757" s="158"/>
      <c r="P757" s="158"/>
      <c r="Q757" s="158"/>
      <c r="R757" s="158"/>
      <c r="S757" s="158"/>
      <c r="T757" s="158"/>
      <c r="U757" s="158"/>
      <c r="V757" s="158"/>
      <c r="W757" s="158"/>
      <c r="X757" s="158"/>
      <c r="Y757" s="158"/>
      <c r="Z757" s="158"/>
    </row>
    <row r="758" spans="1:26" ht="12" customHeight="1">
      <c r="A758" s="147"/>
      <c r="B758" s="158"/>
      <c r="C758" s="158"/>
      <c r="D758" s="158"/>
      <c r="E758" s="158"/>
      <c r="F758" s="158"/>
      <c r="G758" s="158"/>
      <c r="H758" s="158"/>
      <c r="I758" s="158"/>
      <c r="J758" s="158"/>
      <c r="K758" s="158"/>
      <c r="L758" s="158"/>
      <c r="M758" s="158"/>
      <c r="N758" s="158"/>
      <c r="O758" s="158"/>
      <c r="P758" s="158"/>
      <c r="Q758" s="158"/>
      <c r="R758" s="158"/>
      <c r="S758" s="158"/>
      <c r="T758" s="158"/>
      <c r="U758" s="158"/>
      <c r="V758" s="158"/>
      <c r="W758" s="158"/>
      <c r="X758" s="158"/>
      <c r="Y758" s="158"/>
      <c r="Z758" s="158"/>
    </row>
    <row r="759" spans="1:26" ht="12" customHeight="1">
      <c r="A759" s="147"/>
      <c r="B759" s="158"/>
      <c r="C759" s="158"/>
      <c r="D759" s="158"/>
      <c r="E759" s="158"/>
      <c r="F759" s="158"/>
      <c r="G759" s="158"/>
      <c r="H759" s="158"/>
      <c r="I759" s="158"/>
      <c r="J759" s="158"/>
      <c r="K759" s="158"/>
      <c r="L759" s="158"/>
      <c r="M759" s="158"/>
      <c r="N759" s="158"/>
      <c r="O759" s="158"/>
      <c r="P759" s="158"/>
      <c r="Q759" s="158"/>
      <c r="R759" s="158"/>
      <c r="S759" s="158"/>
      <c r="T759" s="158"/>
      <c r="U759" s="158"/>
      <c r="V759" s="158"/>
      <c r="W759" s="158"/>
      <c r="X759" s="158"/>
      <c r="Y759" s="158"/>
      <c r="Z759" s="158"/>
    </row>
    <row r="760" spans="1:26" ht="12" customHeight="1">
      <c r="A760" s="147"/>
      <c r="B760" s="158"/>
      <c r="C760" s="158"/>
      <c r="D760" s="158"/>
      <c r="E760" s="158"/>
      <c r="F760" s="158"/>
      <c r="G760" s="158"/>
      <c r="H760" s="158"/>
      <c r="I760" s="158"/>
      <c r="J760" s="158"/>
      <c r="K760" s="158"/>
      <c r="L760" s="158"/>
      <c r="M760" s="158"/>
      <c r="N760" s="158"/>
      <c r="O760" s="158"/>
      <c r="P760" s="158"/>
      <c r="Q760" s="158"/>
      <c r="R760" s="158"/>
      <c r="S760" s="158"/>
      <c r="T760" s="158"/>
      <c r="U760" s="158"/>
      <c r="V760" s="158"/>
      <c r="W760" s="158"/>
      <c r="X760" s="158"/>
      <c r="Y760" s="158"/>
      <c r="Z760" s="158"/>
    </row>
    <row r="761" spans="1:26" ht="12" customHeight="1">
      <c r="A761" s="147"/>
      <c r="B761" s="158"/>
      <c r="C761" s="158"/>
      <c r="D761" s="158"/>
      <c r="E761" s="158"/>
      <c r="F761" s="158"/>
      <c r="G761" s="158"/>
      <c r="H761" s="158"/>
      <c r="I761" s="158"/>
      <c r="J761" s="158"/>
      <c r="K761" s="158"/>
      <c r="L761" s="158"/>
      <c r="M761" s="158"/>
      <c r="N761" s="158"/>
      <c r="O761" s="158"/>
      <c r="P761" s="158"/>
      <c r="Q761" s="158"/>
      <c r="R761" s="158"/>
      <c r="S761" s="158"/>
      <c r="T761" s="158"/>
      <c r="U761" s="158"/>
      <c r="V761" s="158"/>
      <c r="W761" s="158"/>
      <c r="X761" s="158"/>
      <c r="Y761" s="158"/>
      <c r="Z761" s="158"/>
    </row>
    <row r="762" spans="1:26" ht="12" customHeight="1">
      <c r="A762" s="147"/>
      <c r="B762" s="158"/>
      <c r="C762" s="158"/>
      <c r="D762" s="158"/>
      <c r="E762" s="158"/>
      <c r="F762" s="158"/>
      <c r="G762" s="158"/>
      <c r="H762" s="158"/>
      <c r="I762" s="158"/>
      <c r="J762" s="158"/>
      <c r="K762" s="158"/>
      <c r="L762" s="158"/>
      <c r="M762" s="158"/>
      <c r="N762" s="158"/>
      <c r="O762" s="158"/>
      <c r="P762" s="158"/>
      <c r="Q762" s="158"/>
      <c r="R762" s="158"/>
      <c r="S762" s="158"/>
      <c r="T762" s="158"/>
      <c r="U762" s="158"/>
      <c r="V762" s="158"/>
      <c r="W762" s="158"/>
      <c r="X762" s="158"/>
      <c r="Y762" s="158"/>
      <c r="Z762" s="158"/>
    </row>
    <row r="763" spans="1:26" ht="12" customHeight="1">
      <c r="A763" s="147"/>
      <c r="B763" s="158"/>
      <c r="C763" s="158"/>
      <c r="D763" s="158"/>
      <c r="E763" s="158"/>
      <c r="F763" s="158"/>
      <c r="G763" s="158"/>
      <c r="H763" s="158"/>
      <c r="I763" s="158"/>
      <c r="J763" s="158"/>
      <c r="K763" s="158"/>
      <c r="L763" s="158"/>
      <c r="M763" s="158"/>
      <c r="N763" s="158"/>
      <c r="O763" s="158"/>
      <c r="P763" s="158"/>
      <c r="Q763" s="158"/>
      <c r="R763" s="158"/>
      <c r="S763" s="158"/>
      <c r="T763" s="158"/>
      <c r="U763" s="158"/>
      <c r="V763" s="158"/>
      <c r="W763" s="158"/>
      <c r="X763" s="158"/>
      <c r="Y763" s="158"/>
      <c r="Z763" s="158"/>
    </row>
    <row r="764" spans="1:26" ht="12" customHeight="1">
      <c r="A764" s="147"/>
      <c r="B764" s="158"/>
      <c r="C764" s="158"/>
      <c r="D764" s="158"/>
      <c r="E764" s="158"/>
      <c r="F764" s="158"/>
      <c r="G764" s="158"/>
      <c r="H764" s="158"/>
      <c r="I764" s="158"/>
      <c r="J764" s="158"/>
      <c r="K764" s="158"/>
      <c r="L764" s="158"/>
      <c r="M764" s="158"/>
      <c r="N764" s="158"/>
      <c r="O764" s="158"/>
      <c r="P764" s="158"/>
      <c r="Q764" s="158"/>
      <c r="R764" s="158"/>
      <c r="S764" s="158"/>
      <c r="T764" s="158"/>
      <c r="U764" s="158"/>
      <c r="V764" s="158"/>
      <c r="W764" s="158"/>
      <c r="X764" s="158"/>
      <c r="Y764" s="158"/>
      <c r="Z764" s="158"/>
    </row>
    <row r="765" spans="1:26" ht="12" customHeight="1">
      <c r="A765" s="147"/>
      <c r="B765" s="158"/>
      <c r="C765" s="158"/>
      <c r="D765" s="158"/>
      <c r="E765" s="158"/>
      <c r="F765" s="158"/>
      <c r="G765" s="158"/>
      <c r="H765" s="158"/>
      <c r="I765" s="158"/>
      <c r="J765" s="158"/>
      <c r="K765" s="158"/>
      <c r="L765" s="158"/>
      <c r="M765" s="158"/>
      <c r="N765" s="158"/>
      <c r="O765" s="158"/>
      <c r="P765" s="158"/>
      <c r="Q765" s="158"/>
      <c r="R765" s="158"/>
      <c r="S765" s="158"/>
      <c r="T765" s="158"/>
      <c r="U765" s="158"/>
      <c r="V765" s="158"/>
      <c r="W765" s="158"/>
      <c r="X765" s="158"/>
      <c r="Y765" s="158"/>
      <c r="Z765" s="158"/>
    </row>
    <row r="766" spans="1:26" ht="12" customHeight="1">
      <c r="A766" s="147"/>
      <c r="B766" s="158"/>
      <c r="C766" s="158"/>
      <c r="D766" s="158"/>
      <c r="E766" s="158"/>
      <c r="F766" s="158"/>
      <c r="G766" s="158"/>
      <c r="H766" s="158"/>
      <c r="I766" s="158"/>
      <c r="J766" s="158"/>
      <c r="K766" s="158"/>
      <c r="L766" s="158"/>
      <c r="M766" s="158"/>
      <c r="N766" s="158"/>
      <c r="O766" s="158"/>
      <c r="P766" s="158"/>
      <c r="Q766" s="158"/>
      <c r="R766" s="158"/>
      <c r="S766" s="158"/>
      <c r="T766" s="158"/>
      <c r="U766" s="158"/>
      <c r="V766" s="158"/>
      <c r="W766" s="158"/>
      <c r="X766" s="158"/>
      <c r="Y766" s="158"/>
      <c r="Z766" s="158"/>
    </row>
    <row r="767" spans="1:26" ht="12" customHeight="1">
      <c r="A767" s="147"/>
      <c r="B767" s="158"/>
      <c r="C767" s="158"/>
      <c r="D767" s="158"/>
      <c r="E767" s="158"/>
      <c r="F767" s="158"/>
      <c r="G767" s="158"/>
      <c r="H767" s="158"/>
      <c r="I767" s="158"/>
      <c r="J767" s="158"/>
      <c r="K767" s="158"/>
      <c r="L767" s="158"/>
      <c r="M767" s="158"/>
      <c r="N767" s="158"/>
      <c r="O767" s="158"/>
      <c r="P767" s="158"/>
      <c r="Q767" s="158"/>
      <c r="R767" s="158"/>
      <c r="S767" s="158"/>
      <c r="T767" s="158"/>
      <c r="U767" s="158"/>
      <c r="V767" s="158"/>
      <c r="W767" s="158"/>
      <c r="X767" s="158"/>
      <c r="Y767" s="158"/>
      <c r="Z767" s="158"/>
    </row>
    <row r="768" spans="1:26" ht="12" customHeight="1">
      <c r="A768" s="147"/>
      <c r="B768" s="158"/>
      <c r="C768" s="158"/>
      <c r="D768" s="158"/>
      <c r="E768" s="158"/>
      <c r="F768" s="158"/>
      <c r="G768" s="158"/>
      <c r="H768" s="158"/>
      <c r="I768" s="158"/>
      <c r="J768" s="158"/>
      <c r="K768" s="158"/>
      <c r="L768" s="158"/>
      <c r="M768" s="158"/>
      <c r="N768" s="158"/>
      <c r="O768" s="158"/>
      <c r="P768" s="158"/>
      <c r="Q768" s="158"/>
      <c r="R768" s="158"/>
      <c r="S768" s="158"/>
      <c r="T768" s="158"/>
      <c r="U768" s="158"/>
      <c r="V768" s="158"/>
      <c r="W768" s="158"/>
      <c r="X768" s="158"/>
      <c r="Y768" s="158"/>
      <c r="Z768" s="158"/>
    </row>
    <row r="769" spans="1:26" ht="12" customHeight="1">
      <c r="A769" s="147"/>
      <c r="B769" s="158"/>
      <c r="C769" s="158"/>
      <c r="D769" s="158"/>
      <c r="E769" s="158"/>
      <c r="F769" s="158"/>
      <c r="G769" s="158"/>
      <c r="H769" s="158"/>
      <c r="I769" s="158"/>
      <c r="J769" s="158"/>
      <c r="K769" s="158"/>
      <c r="L769" s="158"/>
      <c r="M769" s="158"/>
      <c r="N769" s="158"/>
      <c r="O769" s="158"/>
      <c r="P769" s="158"/>
      <c r="Q769" s="158"/>
      <c r="R769" s="158"/>
      <c r="S769" s="158"/>
      <c r="T769" s="158"/>
      <c r="U769" s="158"/>
      <c r="V769" s="158"/>
      <c r="W769" s="158"/>
      <c r="X769" s="158"/>
      <c r="Y769" s="158"/>
      <c r="Z769" s="158"/>
    </row>
    <row r="770" spans="1:26" ht="12" customHeight="1">
      <c r="A770" s="147"/>
      <c r="B770" s="158"/>
      <c r="C770" s="158"/>
      <c r="D770" s="158"/>
      <c r="E770" s="158"/>
      <c r="F770" s="158"/>
      <c r="G770" s="158"/>
      <c r="H770" s="158"/>
      <c r="I770" s="158"/>
      <c r="J770" s="158"/>
      <c r="K770" s="158"/>
      <c r="L770" s="158"/>
      <c r="M770" s="158"/>
      <c r="N770" s="158"/>
      <c r="O770" s="158"/>
      <c r="P770" s="158"/>
      <c r="Q770" s="158"/>
      <c r="R770" s="158"/>
      <c r="S770" s="158"/>
      <c r="T770" s="158"/>
      <c r="U770" s="158"/>
      <c r="V770" s="158"/>
      <c r="W770" s="158"/>
      <c r="X770" s="158"/>
      <c r="Y770" s="158"/>
      <c r="Z770" s="158"/>
    </row>
    <row r="771" spans="1:26" ht="12" customHeight="1">
      <c r="A771" s="147"/>
      <c r="B771" s="158"/>
      <c r="C771" s="158"/>
      <c r="D771" s="158"/>
      <c r="E771" s="158"/>
      <c r="F771" s="158"/>
      <c r="G771" s="158"/>
      <c r="H771" s="158"/>
      <c r="I771" s="158"/>
      <c r="J771" s="158"/>
      <c r="K771" s="158"/>
      <c r="L771" s="158"/>
      <c r="M771" s="158"/>
      <c r="N771" s="158"/>
      <c r="O771" s="158"/>
      <c r="P771" s="158"/>
      <c r="Q771" s="158"/>
      <c r="R771" s="158"/>
      <c r="S771" s="158"/>
      <c r="T771" s="158"/>
      <c r="U771" s="158"/>
      <c r="V771" s="158"/>
      <c r="W771" s="158"/>
      <c r="X771" s="158"/>
      <c r="Y771" s="158"/>
      <c r="Z771" s="158"/>
    </row>
    <row r="772" spans="1:26" ht="12" customHeight="1">
      <c r="A772" s="147"/>
      <c r="B772" s="158"/>
      <c r="C772" s="158"/>
      <c r="D772" s="158"/>
      <c r="E772" s="158"/>
      <c r="F772" s="158"/>
      <c r="G772" s="158"/>
      <c r="H772" s="158"/>
      <c r="I772" s="158"/>
      <c r="J772" s="158"/>
      <c r="K772" s="158"/>
      <c r="L772" s="158"/>
      <c r="M772" s="158"/>
      <c r="N772" s="158"/>
      <c r="O772" s="158"/>
      <c r="P772" s="158"/>
      <c r="Q772" s="158"/>
      <c r="R772" s="158"/>
      <c r="S772" s="158"/>
      <c r="T772" s="158"/>
      <c r="U772" s="158"/>
      <c r="V772" s="158"/>
      <c r="W772" s="158"/>
      <c r="X772" s="158"/>
      <c r="Y772" s="158"/>
      <c r="Z772" s="158"/>
    </row>
    <row r="773" spans="1:26" ht="12" customHeight="1">
      <c r="A773" s="147"/>
      <c r="B773" s="158"/>
      <c r="C773" s="158"/>
      <c r="D773" s="158"/>
      <c r="E773" s="158"/>
      <c r="F773" s="158"/>
      <c r="G773" s="158"/>
      <c r="H773" s="158"/>
      <c r="I773" s="158"/>
      <c r="J773" s="158"/>
      <c r="K773" s="158"/>
      <c r="L773" s="158"/>
      <c r="M773" s="158"/>
      <c r="N773" s="158"/>
      <c r="O773" s="158"/>
      <c r="P773" s="158"/>
      <c r="Q773" s="158"/>
      <c r="R773" s="158"/>
      <c r="S773" s="158"/>
      <c r="T773" s="158"/>
      <c r="U773" s="158"/>
      <c r="V773" s="158"/>
      <c r="W773" s="158"/>
      <c r="X773" s="158"/>
      <c r="Y773" s="158"/>
      <c r="Z773" s="158"/>
    </row>
    <row r="774" spans="1:26" ht="12" customHeight="1">
      <c r="A774" s="147"/>
      <c r="B774" s="158"/>
      <c r="C774" s="158"/>
      <c r="D774" s="158"/>
      <c r="E774" s="158"/>
      <c r="F774" s="158"/>
      <c r="G774" s="158"/>
      <c r="H774" s="158"/>
      <c r="I774" s="158"/>
      <c r="J774" s="158"/>
      <c r="K774" s="158"/>
      <c r="L774" s="158"/>
      <c r="M774" s="158"/>
      <c r="N774" s="158"/>
      <c r="O774" s="158"/>
      <c r="P774" s="158"/>
      <c r="Q774" s="158"/>
      <c r="R774" s="158"/>
      <c r="S774" s="158"/>
      <c r="T774" s="158"/>
      <c r="U774" s="158"/>
      <c r="V774" s="158"/>
      <c r="W774" s="158"/>
      <c r="X774" s="158"/>
      <c r="Y774" s="158"/>
      <c r="Z774" s="158"/>
    </row>
    <row r="775" spans="1:26" ht="12" customHeight="1">
      <c r="A775" s="147"/>
      <c r="B775" s="158"/>
      <c r="C775" s="158"/>
      <c r="D775" s="158"/>
      <c r="E775" s="158"/>
      <c r="F775" s="158"/>
      <c r="G775" s="158"/>
      <c r="H775" s="158"/>
      <c r="I775" s="158"/>
      <c r="J775" s="158"/>
      <c r="K775" s="158"/>
      <c r="L775" s="158"/>
      <c r="M775" s="158"/>
      <c r="N775" s="158"/>
      <c r="O775" s="158"/>
      <c r="P775" s="158"/>
      <c r="Q775" s="158"/>
      <c r="R775" s="158"/>
      <c r="S775" s="158"/>
      <c r="T775" s="158"/>
      <c r="U775" s="158"/>
      <c r="V775" s="158"/>
      <c r="W775" s="158"/>
      <c r="X775" s="158"/>
      <c r="Y775" s="158"/>
      <c r="Z775" s="158"/>
    </row>
    <row r="776" spans="1:26" ht="12" customHeight="1">
      <c r="A776" s="147"/>
      <c r="B776" s="158"/>
      <c r="C776" s="158"/>
      <c r="D776" s="158"/>
      <c r="E776" s="158"/>
      <c r="F776" s="158"/>
      <c r="G776" s="158"/>
      <c r="H776" s="158"/>
      <c r="I776" s="158"/>
      <c r="J776" s="158"/>
      <c r="K776" s="158"/>
      <c r="L776" s="158"/>
      <c r="M776" s="158"/>
      <c r="N776" s="158"/>
      <c r="O776" s="158"/>
      <c r="P776" s="158"/>
      <c r="Q776" s="158"/>
      <c r="R776" s="158"/>
      <c r="S776" s="158"/>
      <c r="T776" s="158"/>
      <c r="U776" s="158"/>
      <c r="V776" s="158"/>
      <c r="W776" s="158"/>
      <c r="X776" s="158"/>
      <c r="Y776" s="158"/>
      <c r="Z776" s="158"/>
    </row>
    <row r="777" spans="1:26" ht="12" customHeight="1">
      <c r="A777" s="147"/>
      <c r="B777" s="158"/>
      <c r="C777" s="158"/>
      <c r="D777" s="158"/>
      <c r="E777" s="158"/>
      <c r="F777" s="158"/>
      <c r="G777" s="158"/>
      <c r="H777" s="158"/>
      <c r="I777" s="158"/>
      <c r="J777" s="158"/>
      <c r="K777" s="158"/>
      <c r="L777" s="158"/>
      <c r="M777" s="158"/>
      <c r="N777" s="158"/>
      <c r="O777" s="158"/>
      <c r="P777" s="158"/>
      <c r="Q777" s="158"/>
      <c r="R777" s="158"/>
      <c r="S777" s="158"/>
      <c r="T777" s="158"/>
      <c r="U777" s="158"/>
      <c r="V777" s="158"/>
      <c r="W777" s="158"/>
      <c r="X777" s="158"/>
      <c r="Y777" s="158"/>
      <c r="Z777" s="158"/>
    </row>
    <row r="778" spans="1:26" ht="12" customHeight="1">
      <c r="A778" s="147"/>
      <c r="B778" s="158"/>
      <c r="C778" s="158"/>
      <c r="D778" s="158"/>
      <c r="E778" s="158"/>
      <c r="F778" s="158"/>
      <c r="G778" s="158"/>
      <c r="H778" s="158"/>
      <c r="I778" s="158"/>
      <c r="J778" s="158"/>
      <c r="K778" s="158"/>
      <c r="L778" s="158"/>
      <c r="M778" s="158"/>
      <c r="N778" s="158"/>
      <c r="O778" s="158"/>
      <c r="P778" s="158"/>
      <c r="Q778" s="158"/>
      <c r="R778" s="158"/>
      <c r="S778" s="158"/>
      <c r="T778" s="158"/>
      <c r="U778" s="158"/>
      <c r="V778" s="158"/>
      <c r="W778" s="158"/>
      <c r="X778" s="158"/>
      <c r="Y778" s="158"/>
      <c r="Z778" s="158"/>
    </row>
    <row r="779" spans="1:26" ht="12" customHeight="1">
      <c r="A779" s="147"/>
      <c r="B779" s="158"/>
      <c r="C779" s="158"/>
      <c r="D779" s="158"/>
      <c r="E779" s="158"/>
      <c r="F779" s="158"/>
      <c r="G779" s="158"/>
      <c r="H779" s="158"/>
      <c r="I779" s="158"/>
      <c r="J779" s="158"/>
      <c r="K779" s="158"/>
      <c r="L779" s="158"/>
      <c r="M779" s="158"/>
      <c r="N779" s="158"/>
      <c r="O779" s="158"/>
      <c r="P779" s="158"/>
      <c r="Q779" s="158"/>
      <c r="R779" s="158"/>
      <c r="S779" s="158"/>
      <c r="T779" s="158"/>
      <c r="U779" s="158"/>
      <c r="V779" s="158"/>
      <c r="W779" s="158"/>
      <c r="X779" s="158"/>
      <c r="Y779" s="158"/>
      <c r="Z779" s="158"/>
    </row>
    <row r="780" spans="1:26" ht="12" customHeight="1">
      <c r="A780" s="147"/>
      <c r="B780" s="158"/>
      <c r="C780" s="158"/>
      <c r="D780" s="158"/>
      <c r="E780" s="158"/>
      <c r="F780" s="158"/>
      <c r="G780" s="158"/>
      <c r="H780" s="158"/>
      <c r="I780" s="158"/>
      <c r="J780" s="158"/>
      <c r="K780" s="158"/>
      <c r="L780" s="158"/>
      <c r="M780" s="158"/>
      <c r="N780" s="158"/>
      <c r="O780" s="158"/>
      <c r="P780" s="158"/>
      <c r="Q780" s="158"/>
      <c r="R780" s="158"/>
      <c r="S780" s="158"/>
      <c r="T780" s="158"/>
      <c r="U780" s="158"/>
      <c r="V780" s="158"/>
      <c r="W780" s="158"/>
      <c r="X780" s="158"/>
      <c r="Y780" s="158"/>
      <c r="Z780" s="158"/>
    </row>
    <row r="781" spans="1:26" ht="12" customHeight="1">
      <c r="A781" s="147"/>
      <c r="B781" s="158"/>
      <c r="C781" s="158"/>
      <c r="D781" s="158"/>
      <c r="E781" s="158"/>
      <c r="F781" s="158"/>
      <c r="G781" s="158"/>
      <c r="H781" s="158"/>
      <c r="I781" s="158"/>
      <c r="J781" s="158"/>
      <c r="K781" s="158"/>
      <c r="L781" s="158"/>
      <c r="M781" s="158"/>
      <c r="N781" s="158"/>
      <c r="O781" s="158"/>
      <c r="P781" s="158"/>
      <c r="Q781" s="158"/>
      <c r="R781" s="158"/>
      <c r="S781" s="158"/>
      <c r="T781" s="158"/>
      <c r="U781" s="158"/>
      <c r="V781" s="158"/>
      <c r="W781" s="158"/>
      <c r="X781" s="158"/>
      <c r="Y781" s="158"/>
      <c r="Z781" s="158"/>
    </row>
    <row r="782" spans="1:26" ht="12" customHeight="1">
      <c r="A782" s="147"/>
      <c r="B782" s="158"/>
      <c r="C782" s="158"/>
      <c r="D782" s="158"/>
      <c r="E782" s="158"/>
      <c r="F782" s="158"/>
      <c r="G782" s="158"/>
      <c r="H782" s="158"/>
      <c r="I782" s="158"/>
      <c r="J782" s="158"/>
      <c r="K782" s="158"/>
      <c r="L782" s="158"/>
      <c r="M782" s="158"/>
      <c r="N782" s="158"/>
      <c r="O782" s="158"/>
      <c r="P782" s="158"/>
      <c r="Q782" s="158"/>
      <c r="R782" s="158"/>
      <c r="S782" s="158"/>
      <c r="T782" s="158"/>
      <c r="U782" s="158"/>
      <c r="V782" s="158"/>
      <c r="W782" s="158"/>
      <c r="X782" s="158"/>
      <c r="Y782" s="158"/>
      <c r="Z782" s="158"/>
    </row>
    <row r="783" spans="1:26" ht="12" customHeight="1">
      <c r="A783" s="147"/>
      <c r="B783" s="158"/>
      <c r="C783" s="158"/>
      <c r="D783" s="158"/>
      <c r="E783" s="158"/>
      <c r="F783" s="158"/>
      <c r="G783" s="158"/>
      <c r="H783" s="158"/>
      <c r="I783" s="158"/>
      <c r="J783" s="158"/>
      <c r="K783" s="158"/>
      <c r="L783" s="158"/>
      <c r="M783" s="158"/>
      <c r="N783" s="158"/>
      <c r="O783" s="158"/>
      <c r="P783" s="158"/>
      <c r="Q783" s="158"/>
      <c r="R783" s="158"/>
      <c r="S783" s="158"/>
      <c r="T783" s="158"/>
      <c r="U783" s="158"/>
      <c r="V783" s="158"/>
      <c r="W783" s="158"/>
      <c r="X783" s="158"/>
      <c r="Y783" s="158"/>
      <c r="Z783" s="158"/>
    </row>
    <row r="784" spans="1:26" ht="12" customHeight="1">
      <c r="A784" s="147"/>
      <c r="B784" s="158"/>
      <c r="C784" s="158"/>
      <c r="D784" s="158"/>
      <c r="E784" s="158"/>
      <c r="F784" s="158"/>
      <c r="G784" s="158"/>
      <c r="H784" s="158"/>
      <c r="I784" s="158"/>
      <c r="J784" s="158"/>
      <c r="K784" s="158"/>
      <c r="L784" s="158"/>
      <c r="M784" s="158"/>
      <c r="N784" s="158"/>
      <c r="O784" s="158"/>
      <c r="P784" s="158"/>
      <c r="Q784" s="158"/>
      <c r="R784" s="158"/>
      <c r="S784" s="158"/>
      <c r="T784" s="158"/>
      <c r="U784" s="158"/>
      <c r="V784" s="158"/>
      <c r="W784" s="158"/>
      <c r="X784" s="158"/>
      <c r="Y784" s="158"/>
      <c r="Z784" s="158"/>
    </row>
    <row r="785" spans="1:26" ht="12" customHeight="1">
      <c r="A785" s="147"/>
      <c r="B785" s="158"/>
      <c r="C785" s="158"/>
      <c r="D785" s="158"/>
      <c r="E785" s="158"/>
      <c r="F785" s="158"/>
      <c r="G785" s="158"/>
      <c r="H785" s="158"/>
      <c r="I785" s="158"/>
      <c r="J785" s="158"/>
      <c r="K785" s="158"/>
      <c r="L785" s="158"/>
      <c r="M785" s="158"/>
      <c r="N785" s="158"/>
      <c r="O785" s="158"/>
      <c r="P785" s="158"/>
      <c r="Q785" s="158"/>
      <c r="R785" s="158"/>
      <c r="S785" s="158"/>
      <c r="T785" s="158"/>
      <c r="U785" s="158"/>
      <c r="V785" s="158"/>
      <c r="W785" s="158"/>
      <c r="X785" s="158"/>
      <c r="Y785" s="158"/>
      <c r="Z785" s="158"/>
    </row>
    <row r="786" spans="1:26" ht="12" customHeight="1">
      <c r="A786" s="147"/>
      <c r="B786" s="158"/>
      <c r="C786" s="158"/>
      <c r="D786" s="158"/>
      <c r="E786" s="158"/>
      <c r="F786" s="158"/>
      <c r="G786" s="158"/>
      <c r="H786" s="158"/>
      <c r="I786" s="158"/>
      <c r="J786" s="158"/>
      <c r="K786" s="158"/>
      <c r="L786" s="158"/>
      <c r="M786" s="158"/>
      <c r="N786" s="158"/>
      <c r="O786" s="158"/>
      <c r="P786" s="158"/>
      <c r="Q786" s="158"/>
      <c r="R786" s="158"/>
      <c r="S786" s="158"/>
      <c r="T786" s="158"/>
      <c r="U786" s="158"/>
      <c r="V786" s="158"/>
      <c r="W786" s="158"/>
      <c r="X786" s="158"/>
      <c r="Y786" s="158"/>
      <c r="Z786" s="158"/>
    </row>
    <row r="787" spans="1:26" ht="12" customHeight="1">
      <c r="A787" s="147"/>
      <c r="B787" s="158"/>
      <c r="C787" s="158"/>
      <c r="D787" s="158"/>
      <c r="E787" s="158"/>
      <c r="F787" s="158"/>
      <c r="G787" s="158"/>
      <c r="H787" s="158"/>
      <c r="I787" s="158"/>
      <c r="J787" s="158"/>
      <c r="K787" s="158"/>
      <c r="L787" s="158"/>
      <c r="M787" s="158"/>
      <c r="N787" s="158"/>
      <c r="O787" s="158"/>
      <c r="P787" s="158"/>
      <c r="Q787" s="158"/>
      <c r="R787" s="158"/>
      <c r="S787" s="158"/>
      <c r="T787" s="158"/>
      <c r="U787" s="158"/>
      <c r="V787" s="158"/>
      <c r="W787" s="158"/>
      <c r="X787" s="158"/>
      <c r="Y787" s="158"/>
      <c r="Z787" s="158"/>
    </row>
    <row r="788" spans="1:26" ht="12" customHeight="1">
      <c r="A788" s="147"/>
      <c r="B788" s="158"/>
      <c r="C788" s="158"/>
      <c r="D788" s="158"/>
      <c r="E788" s="158"/>
      <c r="F788" s="158"/>
      <c r="G788" s="158"/>
      <c r="H788" s="158"/>
      <c r="I788" s="158"/>
      <c r="J788" s="158"/>
      <c r="K788" s="158"/>
      <c r="L788" s="158"/>
      <c r="M788" s="158"/>
      <c r="N788" s="158"/>
      <c r="O788" s="158"/>
      <c r="P788" s="158"/>
      <c r="Q788" s="158"/>
      <c r="R788" s="158"/>
      <c r="S788" s="158"/>
      <c r="T788" s="158"/>
      <c r="U788" s="158"/>
      <c r="V788" s="158"/>
      <c r="W788" s="158"/>
      <c r="X788" s="158"/>
      <c r="Y788" s="158"/>
      <c r="Z788" s="158"/>
    </row>
    <row r="789" spans="1:26" ht="12" customHeight="1">
      <c r="A789" s="147"/>
      <c r="B789" s="158"/>
      <c r="C789" s="158"/>
      <c r="D789" s="158"/>
      <c r="E789" s="158"/>
      <c r="F789" s="158"/>
      <c r="G789" s="158"/>
      <c r="H789" s="158"/>
      <c r="I789" s="158"/>
      <c r="J789" s="158"/>
      <c r="K789" s="158"/>
      <c r="L789" s="158"/>
      <c r="M789" s="158"/>
      <c r="N789" s="158"/>
      <c r="O789" s="158"/>
      <c r="P789" s="158"/>
      <c r="Q789" s="158"/>
      <c r="R789" s="158"/>
      <c r="S789" s="158"/>
      <c r="T789" s="158"/>
      <c r="U789" s="158"/>
      <c r="V789" s="158"/>
      <c r="W789" s="158"/>
      <c r="X789" s="158"/>
      <c r="Y789" s="158"/>
      <c r="Z789" s="158"/>
    </row>
    <row r="790" spans="1:26" ht="12" customHeight="1">
      <c r="A790" s="147"/>
      <c r="B790" s="158"/>
      <c r="C790" s="158"/>
      <c r="D790" s="158"/>
      <c r="E790" s="158"/>
      <c r="F790" s="158"/>
      <c r="G790" s="158"/>
      <c r="H790" s="158"/>
      <c r="I790" s="158"/>
      <c r="J790" s="158"/>
      <c r="K790" s="158"/>
      <c r="L790" s="158"/>
      <c r="M790" s="158"/>
      <c r="N790" s="158"/>
      <c r="O790" s="158"/>
      <c r="P790" s="158"/>
      <c r="Q790" s="158"/>
      <c r="R790" s="158"/>
      <c r="S790" s="158"/>
      <c r="T790" s="158"/>
      <c r="U790" s="158"/>
      <c r="V790" s="158"/>
      <c r="W790" s="158"/>
      <c r="X790" s="158"/>
      <c r="Y790" s="158"/>
      <c r="Z790" s="158"/>
    </row>
    <row r="791" spans="1:26" ht="12" customHeight="1">
      <c r="A791" s="147"/>
      <c r="B791" s="158"/>
      <c r="C791" s="158"/>
      <c r="D791" s="158"/>
      <c r="E791" s="158"/>
      <c r="F791" s="158"/>
      <c r="G791" s="158"/>
      <c r="H791" s="158"/>
      <c r="I791" s="158"/>
      <c r="J791" s="158"/>
      <c r="K791" s="158"/>
      <c r="L791" s="158"/>
      <c r="M791" s="158"/>
      <c r="N791" s="158"/>
      <c r="O791" s="158"/>
      <c r="P791" s="158"/>
      <c r="Q791" s="158"/>
      <c r="R791" s="158"/>
      <c r="S791" s="158"/>
      <c r="T791" s="158"/>
      <c r="U791" s="158"/>
      <c r="V791" s="158"/>
      <c r="W791" s="158"/>
      <c r="X791" s="158"/>
      <c r="Y791" s="158"/>
      <c r="Z791" s="158"/>
    </row>
    <row r="792" spans="1:26" ht="12" customHeight="1">
      <c r="A792" s="147"/>
      <c r="B792" s="158"/>
      <c r="C792" s="158"/>
      <c r="D792" s="158"/>
      <c r="E792" s="158"/>
      <c r="F792" s="158"/>
      <c r="G792" s="158"/>
      <c r="H792" s="158"/>
      <c r="I792" s="158"/>
      <c r="J792" s="158"/>
      <c r="K792" s="158"/>
      <c r="L792" s="158"/>
      <c r="M792" s="158"/>
      <c r="N792" s="158"/>
      <c r="O792" s="158"/>
      <c r="P792" s="158"/>
      <c r="Q792" s="158"/>
      <c r="R792" s="158"/>
      <c r="S792" s="158"/>
      <c r="T792" s="158"/>
      <c r="U792" s="158"/>
      <c r="V792" s="158"/>
      <c r="W792" s="158"/>
      <c r="X792" s="158"/>
      <c r="Y792" s="158"/>
      <c r="Z792" s="158"/>
    </row>
    <row r="793" spans="1:26" ht="12" customHeight="1">
      <c r="A793" s="147"/>
      <c r="B793" s="158"/>
      <c r="C793" s="158"/>
      <c r="D793" s="158"/>
      <c r="E793" s="158"/>
      <c r="F793" s="158"/>
      <c r="G793" s="158"/>
      <c r="H793" s="158"/>
      <c r="I793" s="158"/>
      <c r="J793" s="158"/>
      <c r="K793" s="158"/>
      <c r="L793" s="158"/>
      <c r="M793" s="158"/>
      <c r="N793" s="158"/>
      <c r="O793" s="158"/>
      <c r="P793" s="158"/>
      <c r="Q793" s="158"/>
      <c r="R793" s="158"/>
      <c r="S793" s="158"/>
      <c r="T793" s="158"/>
      <c r="U793" s="158"/>
      <c r="V793" s="158"/>
      <c r="W793" s="158"/>
      <c r="X793" s="158"/>
      <c r="Y793" s="158"/>
      <c r="Z793" s="158"/>
    </row>
    <row r="794" spans="1:26" ht="12" customHeight="1">
      <c r="A794" s="147"/>
      <c r="B794" s="158"/>
      <c r="C794" s="158"/>
      <c r="D794" s="158"/>
      <c r="E794" s="158"/>
      <c r="F794" s="158"/>
      <c r="G794" s="158"/>
      <c r="H794" s="158"/>
      <c r="I794" s="158"/>
      <c r="J794" s="158"/>
      <c r="K794" s="158"/>
      <c r="L794" s="158"/>
      <c r="M794" s="158"/>
      <c r="N794" s="158"/>
      <c r="O794" s="158"/>
      <c r="P794" s="158"/>
      <c r="Q794" s="158"/>
      <c r="R794" s="158"/>
      <c r="S794" s="158"/>
      <c r="T794" s="158"/>
      <c r="U794" s="158"/>
      <c r="V794" s="158"/>
      <c r="W794" s="158"/>
      <c r="X794" s="158"/>
      <c r="Y794" s="158"/>
      <c r="Z794" s="158"/>
    </row>
    <row r="795" spans="1:26" ht="12" customHeight="1">
      <c r="A795" s="147"/>
      <c r="B795" s="158"/>
      <c r="C795" s="158"/>
      <c r="D795" s="158"/>
      <c r="E795" s="158"/>
      <c r="F795" s="158"/>
      <c r="G795" s="158"/>
      <c r="H795" s="158"/>
      <c r="I795" s="158"/>
      <c r="J795" s="158"/>
      <c r="K795" s="158"/>
      <c r="L795" s="158"/>
      <c r="M795" s="158"/>
      <c r="N795" s="158"/>
      <c r="O795" s="158"/>
      <c r="P795" s="158"/>
      <c r="Q795" s="158"/>
      <c r="R795" s="158"/>
      <c r="S795" s="158"/>
      <c r="T795" s="158"/>
      <c r="U795" s="158"/>
      <c r="V795" s="158"/>
      <c r="W795" s="158"/>
      <c r="X795" s="158"/>
      <c r="Y795" s="158"/>
      <c r="Z795" s="158"/>
    </row>
    <row r="796" spans="1:26" ht="12" customHeight="1">
      <c r="A796" s="147"/>
      <c r="B796" s="158"/>
      <c r="C796" s="158"/>
      <c r="D796" s="158"/>
      <c r="E796" s="158"/>
      <c r="F796" s="158"/>
      <c r="G796" s="158"/>
      <c r="H796" s="158"/>
      <c r="I796" s="158"/>
      <c r="J796" s="158"/>
      <c r="K796" s="158"/>
      <c r="L796" s="158"/>
      <c r="M796" s="158"/>
      <c r="N796" s="158"/>
      <c r="O796" s="158"/>
      <c r="P796" s="158"/>
      <c r="Q796" s="158"/>
      <c r="R796" s="158"/>
      <c r="S796" s="158"/>
      <c r="T796" s="158"/>
      <c r="U796" s="158"/>
      <c r="V796" s="158"/>
      <c r="W796" s="158"/>
      <c r="X796" s="158"/>
      <c r="Y796" s="158"/>
      <c r="Z796" s="158"/>
    </row>
    <row r="797" spans="1:26" ht="12" customHeight="1">
      <c r="A797" s="147"/>
      <c r="B797" s="158"/>
      <c r="C797" s="158"/>
      <c r="D797" s="158"/>
      <c r="E797" s="158"/>
      <c r="F797" s="158"/>
      <c r="G797" s="158"/>
      <c r="H797" s="158"/>
      <c r="I797" s="158"/>
      <c r="J797" s="158"/>
      <c r="K797" s="158"/>
      <c r="L797" s="158"/>
      <c r="M797" s="158"/>
      <c r="N797" s="158"/>
      <c r="O797" s="158"/>
      <c r="P797" s="158"/>
      <c r="Q797" s="158"/>
      <c r="R797" s="158"/>
      <c r="S797" s="158"/>
      <c r="T797" s="158"/>
      <c r="U797" s="158"/>
      <c r="V797" s="158"/>
      <c r="W797" s="158"/>
      <c r="X797" s="158"/>
      <c r="Y797" s="158"/>
      <c r="Z797" s="158"/>
    </row>
    <row r="798" spans="1:26" ht="12" customHeight="1">
      <c r="A798" s="147"/>
      <c r="B798" s="158"/>
      <c r="C798" s="158"/>
      <c r="D798" s="158"/>
      <c r="E798" s="158"/>
      <c r="F798" s="158"/>
      <c r="G798" s="158"/>
      <c r="H798" s="158"/>
      <c r="I798" s="158"/>
      <c r="J798" s="158"/>
      <c r="K798" s="158"/>
      <c r="L798" s="158"/>
      <c r="M798" s="158"/>
      <c r="N798" s="158"/>
      <c r="O798" s="158"/>
      <c r="P798" s="158"/>
      <c r="Q798" s="158"/>
      <c r="R798" s="158"/>
      <c r="S798" s="158"/>
      <c r="T798" s="158"/>
      <c r="U798" s="158"/>
      <c r="V798" s="158"/>
      <c r="W798" s="158"/>
      <c r="X798" s="158"/>
      <c r="Y798" s="158"/>
      <c r="Z798" s="158"/>
    </row>
    <row r="799" spans="1:26" ht="12" customHeight="1">
      <c r="A799" s="147"/>
      <c r="B799" s="158"/>
      <c r="C799" s="158"/>
      <c r="D799" s="158"/>
      <c r="E799" s="158"/>
      <c r="F799" s="158"/>
      <c r="G799" s="158"/>
      <c r="H799" s="158"/>
      <c r="I799" s="158"/>
      <c r="J799" s="158"/>
      <c r="K799" s="158"/>
      <c r="L799" s="158"/>
      <c r="M799" s="158"/>
      <c r="N799" s="158"/>
      <c r="O799" s="158"/>
      <c r="P799" s="158"/>
      <c r="Q799" s="158"/>
      <c r="R799" s="158"/>
      <c r="S799" s="158"/>
      <c r="T799" s="158"/>
      <c r="U799" s="158"/>
      <c r="V799" s="158"/>
      <c r="W799" s="158"/>
      <c r="X799" s="158"/>
      <c r="Y799" s="158"/>
      <c r="Z799" s="158"/>
    </row>
    <row r="800" spans="1:26" ht="12" customHeight="1">
      <c r="A800" s="147"/>
      <c r="B800" s="158"/>
      <c r="C800" s="158"/>
      <c r="D800" s="158"/>
      <c r="E800" s="158"/>
      <c r="F800" s="158"/>
      <c r="G800" s="158"/>
      <c r="H800" s="158"/>
      <c r="I800" s="158"/>
      <c r="J800" s="158"/>
      <c r="K800" s="158"/>
      <c r="L800" s="158"/>
      <c r="M800" s="158"/>
      <c r="N800" s="158"/>
      <c r="O800" s="158"/>
      <c r="P800" s="158"/>
      <c r="Q800" s="158"/>
      <c r="R800" s="158"/>
      <c r="S800" s="158"/>
      <c r="T800" s="158"/>
      <c r="U800" s="158"/>
      <c r="V800" s="158"/>
      <c r="W800" s="158"/>
      <c r="X800" s="158"/>
      <c r="Y800" s="158"/>
      <c r="Z800" s="158"/>
    </row>
    <row r="801" spans="1:26" ht="12" customHeight="1">
      <c r="A801" s="147"/>
      <c r="B801" s="158"/>
      <c r="C801" s="158"/>
      <c r="D801" s="158"/>
      <c r="E801" s="158"/>
      <c r="F801" s="158"/>
      <c r="G801" s="158"/>
      <c r="H801" s="158"/>
      <c r="I801" s="158"/>
      <c r="J801" s="158"/>
      <c r="K801" s="158"/>
      <c r="L801" s="158"/>
      <c r="M801" s="158"/>
      <c r="N801" s="158"/>
      <c r="O801" s="158"/>
      <c r="P801" s="158"/>
      <c r="Q801" s="158"/>
      <c r="R801" s="158"/>
      <c r="S801" s="158"/>
      <c r="T801" s="158"/>
      <c r="U801" s="158"/>
      <c r="V801" s="158"/>
      <c r="W801" s="158"/>
      <c r="X801" s="158"/>
      <c r="Y801" s="158"/>
      <c r="Z801" s="158"/>
    </row>
    <row r="802" spans="1:26" ht="12" customHeight="1">
      <c r="A802" s="147"/>
      <c r="B802" s="158"/>
      <c r="C802" s="158"/>
      <c r="D802" s="158"/>
      <c r="E802" s="158"/>
      <c r="F802" s="158"/>
      <c r="G802" s="158"/>
      <c r="H802" s="158"/>
      <c r="I802" s="158"/>
      <c r="J802" s="158"/>
      <c r="K802" s="158"/>
      <c r="L802" s="158"/>
      <c r="M802" s="158"/>
      <c r="N802" s="158"/>
      <c r="O802" s="158"/>
      <c r="P802" s="158"/>
      <c r="Q802" s="158"/>
      <c r="R802" s="158"/>
      <c r="S802" s="158"/>
      <c r="T802" s="158"/>
      <c r="U802" s="158"/>
      <c r="V802" s="158"/>
      <c r="W802" s="158"/>
      <c r="X802" s="158"/>
      <c r="Y802" s="158"/>
      <c r="Z802" s="158"/>
    </row>
    <row r="803" spans="1:26" ht="12" customHeight="1">
      <c r="A803" s="147"/>
      <c r="B803" s="158"/>
      <c r="C803" s="158"/>
      <c r="D803" s="158"/>
      <c r="E803" s="158"/>
      <c r="F803" s="158"/>
      <c r="G803" s="158"/>
      <c r="H803" s="158"/>
      <c r="I803" s="158"/>
      <c r="J803" s="158"/>
      <c r="K803" s="158"/>
      <c r="L803" s="158"/>
      <c r="M803" s="158"/>
      <c r="N803" s="158"/>
      <c r="O803" s="158"/>
      <c r="P803" s="158"/>
      <c r="Q803" s="158"/>
      <c r="R803" s="158"/>
      <c r="S803" s="158"/>
      <c r="T803" s="158"/>
      <c r="U803" s="158"/>
      <c r="V803" s="158"/>
      <c r="W803" s="158"/>
      <c r="X803" s="158"/>
      <c r="Y803" s="158"/>
      <c r="Z803" s="158"/>
    </row>
    <row r="804" spans="1:26" ht="12" customHeight="1">
      <c r="A804" s="147"/>
      <c r="B804" s="158"/>
      <c r="C804" s="158"/>
      <c r="D804" s="158"/>
      <c r="E804" s="158"/>
      <c r="F804" s="158"/>
      <c r="G804" s="158"/>
      <c r="H804" s="158"/>
      <c r="I804" s="158"/>
      <c r="J804" s="158"/>
      <c r="K804" s="158"/>
      <c r="L804" s="158"/>
      <c r="M804" s="158"/>
      <c r="N804" s="158"/>
      <c r="O804" s="158"/>
      <c r="P804" s="158"/>
      <c r="Q804" s="158"/>
      <c r="R804" s="158"/>
      <c r="S804" s="158"/>
      <c r="T804" s="158"/>
      <c r="U804" s="158"/>
      <c r="V804" s="158"/>
      <c r="W804" s="158"/>
      <c r="X804" s="158"/>
      <c r="Y804" s="158"/>
      <c r="Z804" s="158"/>
    </row>
    <row r="805" spans="1:26" ht="12" customHeight="1">
      <c r="A805" s="147"/>
      <c r="B805" s="158"/>
      <c r="C805" s="158"/>
      <c r="D805" s="158"/>
      <c r="E805" s="158"/>
      <c r="F805" s="158"/>
      <c r="G805" s="158"/>
      <c r="H805" s="158"/>
      <c r="I805" s="158"/>
      <c r="J805" s="158"/>
      <c r="K805" s="158"/>
      <c r="L805" s="158"/>
      <c r="M805" s="158"/>
      <c r="N805" s="158"/>
      <c r="O805" s="158"/>
      <c r="P805" s="158"/>
      <c r="Q805" s="158"/>
      <c r="R805" s="158"/>
      <c r="S805" s="158"/>
      <c r="T805" s="158"/>
      <c r="U805" s="158"/>
      <c r="V805" s="158"/>
      <c r="W805" s="158"/>
      <c r="X805" s="158"/>
      <c r="Y805" s="158"/>
      <c r="Z805" s="158"/>
    </row>
    <row r="806" spans="1:26" ht="12" customHeight="1">
      <c r="A806" s="147"/>
      <c r="B806" s="158"/>
      <c r="C806" s="158"/>
      <c r="D806" s="158"/>
      <c r="E806" s="158"/>
      <c r="F806" s="158"/>
      <c r="G806" s="158"/>
      <c r="H806" s="158"/>
      <c r="I806" s="158"/>
      <c r="J806" s="158"/>
      <c r="K806" s="158"/>
      <c r="L806" s="158"/>
      <c r="M806" s="158"/>
      <c r="N806" s="158"/>
      <c r="O806" s="158"/>
      <c r="P806" s="158"/>
      <c r="Q806" s="158"/>
      <c r="R806" s="158"/>
      <c r="S806" s="158"/>
      <c r="T806" s="158"/>
      <c r="U806" s="158"/>
      <c r="V806" s="158"/>
      <c r="W806" s="158"/>
      <c r="X806" s="158"/>
      <c r="Y806" s="158"/>
      <c r="Z806" s="158"/>
    </row>
    <row r="807" spans="1:26" ht="12" customHeight="1">
      <c r="A807" s="147"/>
      <c r="B807" s="158"/>
      <c r="C807" s="158"/>
      <c r="D807" s="158"/>
      <c r="E807" s="158"/>
      <c r="F807" s="158"/>
      <c r="G807" s="158"/>
      <c r="H807" s="158"/>
      <c r="I807" s="158"/>
      <c r="J807" s="158"/>
      <c r="K807" s="158"/>
      <c r="L807" s="158"/>
      <c r="M807" s="158"/>
      <c r="N807" s="158"/>
      <c r="O807" s="158"/>
      <c r="P807" s="158"/>
      <c r="Q807" s="158"/>
      <c r="R807" s="158"/>
      <c r="S807" s="158"/>
      <c r="T807" s="158"/>
      <c r="U807" s="158"/>
      <c r="V807" s="158"/>
      <c r="W807" s="158"/>
      <c r="X807" s="158"/>
      <c r="Y807" s="158"/>
      <c r="Z807" s="158"/>
    </row>
    <row r="808" spans="1:26" ht="12" customHeight="1">
      <c r="A808" s="147"/>
      <c r="B808" s="158"/>
      <c r="C808" s="158"/>
      <c r="D808" s="158"/>
      <c r="E808" s="158"/>
      <c r="F808" s="158"/>
      <c r="G808" s="158"/>
      <c r="H808" s="158"/>
      <c r="I808" s="158"/>
      <c r="J808" s="158"/>
      <c r="K808" s="158"/>
      <c r="L808" s="158"/>
      <c r="M808" s="158"/>
      <c r="N808" s="158"/>
      <c r="O808" s="158"/>
      <c r="P808" s="158"/>
      <c r="Q808" s="158"/>
      <c r="R808" s="158"/>
      <c r="S808" s="158"/>
      <c r="T808" s="158"/>
      <c r="U808" s="158"/>
      <c r="V808" s="158"/>
      <c r="W808" s="158"/>
      <c r="X808" s="158"/>
      <c r="Y808" s="158"/>
      <c r="Z808" s="158"/>
    </row>
    <row r="809" spans="1:26" ht="12" customHeight="1">
      <c r="A809" s="147"/>
      <c r="B809" s="158"/>
      <c r="C809" s="158"/>
      <c r="D809" s="158"/>
      <c r="E809" s="158"/>
      <c r="F809" s="158"/>
      <c r="G809" s="158"/>
      <c r="H809" s="158"/>
      <c r="I809" s="158"/>
      <c r="J809" s="158"/>
      <c r="K809" s="158"/>
      <c r="L809" s="158"/>
      <c r="M809" s="158"/>
      <c r="N809" s="158"/>
      <c r="O809" s="158"/>
      <c r="P809" s="158"/>
      <c r="Q809" s="158"/>
      <c r="R809" s="158"/>
      <c r="S809" s="158"/>
      <c r="T809" s="158"/>
      <c r="U809" s="158"/>
      <c r="V809" s="158"/>
      <c r="W809" s="158"/>
      <c r="X809" s="158"/>
      <c r="Y809" s="158"/>
      <c r="Z809" s="158"/>
    </row>
    <row r="810" spans="1:26" ht="12" customHeight="1">
      <c r="A810" s="147"/>
      <c r="B810" s="158"/>
      <c r="C810" s="158"/>
      <c r="D810" s="158"/>
      <c r="E810" s="158"/>
      <c r="F810" s="158"/>
      <c r="G810" s="158"/>
      <c r="H810" s="158"/>
      <c r="I810" s="158"/>
      <c r="J810" s="158"/>
      <c r="K810" s="158"/>
      <c r="L810" s="158"/>
      <c r="M810" s="158"/>
      <c r="N810" s="158"/>
      <c r="O810" s="158"/>
      <c r="P810" s="158"/>
      <c r="Q810" s="158"/>
      <c r="R810" s="158"/>
      <c r="S810" s="158"/>
      <c r="T810" s="158"/>
      <c r="U810" s="158"/>
      <c r="V810" s="158"/>
      <c r="W810" s="158"/>
      <c r="X810" s="158"/>
      <c r="Y810" s="158"/>
      <c r="Z810" s="158"/>
    </row>
    <row r="811" spans="1:26" ht="12" customHeight="1">
      <c r="A811" s="147"/>
      <c r="B811" s="158"/>
      <c r="C811" s="158"/>
      <c r="D811" s="158"/>
      <c r="E811" s="158"/>
      <c r="F811" s="158"/>
      <c r="G811" s="158"/>
      <c r="H811" s="158"/>
      <c r="I811" s="158"/>
      <c r="J811" s="158"/>
      <c r="K811" s="158"/>
      <c r="L811" s="158"/>
      <c r="M811" s="158"/>
      <c r="N811" s="158"/>
      <c r="O811" s="158"/>
      <c r="P811" s="158"/>
      <c r="Q811" s="158"/>
      <c r="R811" s="158"/>
      <c r="S811" s="158"/>
      <c r="T811" s="158"/>
      <c r="U811" s="158"/>
      <c r="V811" s="158"/>
      <c r="W811" s="158"/>
      <c r="X811" s="158"/>
      <c r="Y811" s="158"/>
      <c r="Z811" s="158"/>
    </row>
    <row r="812" spans="1:26" ht="12" customHeight="1">
      <c r="A812" s="147"/>
      <c r="B812" s="158"/>
      <c r="C812" s="158"/>
      <c r="D812" s="158"/>
      <c r="E812" s="158"/>
      <c r="F812" s="158"/>
      <c r="G812" s="158"/>
      <c r="H812" s="158"/>
      <c r="I812" s="158"/>
      <c r="J812" s="158"/>
      <c r="K812" s="158"/>
      <c r="L812" s="158"/>
      <c r="M812" s="158"/>
      <c r="N812" s="158"/>
      <c r="O812" s="158"/>
      <c r="P812" s="158"/>
      <c r="Q812" s="158"/>
      <c r="R812" s="158"/>
      <c r="S812" s="158"/>
      <c r="T812" s="158"/>
      <c r="U812" s="158"/>
      <c r="V812" s="158"/>
      <c r="W812" s="158"/>
      <c r="X812" s="158"/>
      <c r="Y812" s="158"/>
      <c r="Z812" s="158"/>
    </row>
    <row r="813" spans="1:26" ht="12" customHeight="1">
      <c r="A813" s="147"/>
      <c r="B813" s="158"/>
      <c r="C813" s="158"/>
      <c r="D813" s="158"/>
      <c r="E813" s="158"/>
      <c r="F813" s="158"/>
      <c r="G813" s="158"/>
      <c r="H813" s="158"/>
      <c r="I813" s="158"/>
      <c r="J813" s="158"/>
      <c r="K813" s="158"/>
      <c r="L813" s="158"/>
      <c r="M813" s="158"/>
      <c r="N813" s="158"/>
      <c r="O813" s="158"/>
      <c r="P813" s="158"/>
      <c r="Q813" s="158"/>
      <c r="R813" s="158"/>
      <c r="S813" s="158"/>
      <c r="T813" s="158"/>
      <c r="U813" s="158"/>
      <c r="V813" s="158"/>
      <c r="W813" s="158"/>
      <c r="X813" s="158"/>
      <c r="Y813" s="158"/>
      <c r="Z813" s="158"/>
    </row>
    <row r="814" spans="1:26" ht="12" customHeight="1">
      <c r="A814" s="147"/>
      <c r="B814" s="158"/>
      <c r="C814" s="158"/>
      <c r="D814" s="158"/>
      <c r="E814" s="158"/>
      <c r="F814" s="158"/>
      <c r="G814" s="158"/>
      <c r="H814" s="158"/>
      <c r="I814" s="158"/>
      <c r="J814" s="158"/>
      <c r="K814" s="158"/>
      <c r="L814" s="158"/>
      <c r="M814" s="158"/>
      <c r="N814" s="158"/>
      <c r="O814" s="158"/>
      <c r="P814" s="158"/>
      <c r="Q814" s="158"/>
      <c r="R814" s="158"/>
      <c r="S814" s="158"/>
      <c r="T814" s="158"/>
      <c r="U814" s="158"/>
      <c r="V814" s="158"/>
      <c r="W814" s="158"/>
      <c r="X814" s="158"/>
      <c r="Y814" s="158"/>
      <c r="Z814" s="158"/>
    </row>
    <row r="815" spans="1:26" ht="12" customHeight="1">
      <c r="A815" s="147"/>
      <c r="B815" s="158"/>
      <c r="C815" s="158"/>
      <c r="D815" s="158"/>
      <c r="E815" s="158"/>
      <c r="F815" s="158"/>
      <c r="G815" s="158"/>
      <c r="H815" s="158"/>
      <c r="I815" s="158"/>
      <c r="J815" s="158"/>
      <c r="K815" s="158"/>
      <c r="L815" s="158"/>
      <c r="M815" s="158"/>
      <c r="N815" s="158"/>
      <c r="O815" s="158"/>
      <c r="P815" s="158"/>
      <c r="Q815" s="158"/>
      <c r="R815" s="158"/>
      <c r="S815" s="158"/>
      <c r="T815" s="158"/>
      <c r="U815" s="158"/>
      <c r="V815" s="158"/>
      <c r="W815" s="158"/>
      <c r="X815" s="158"/>
      <c r="Y815" s="158"/>
      <c r="Z815" s="158"/>
    </row>
    <row r="816" spans="1:26" ht="12" customHeight="1">
      <c r="A816" s="147"/>
      <c r="B816" s="158"/>
      <c r="C816" s="158"/>
      <c r="D816" s="158"/>
      <c r="E816" s="158"/>
      <c r="F816" s="158"/>
      <c r="G816" s="158"/>
      <c r="H816" s="158"/>
      <c r="I816" s="158"/>
      <c r="J816" s="158"/>
      <c r="K816" s="158"/>
      <c r="L816" s="158"/>
      <c r="M816" s="158"/>
      <c r="N816" s="158"/>
      <c r="O816" s="158"/>
      <c r="P816" s="158"/>
      <c r="Q816" s="158"/>
      <c r="R816" s="158"/>
      <c r="S816" s="158"/>
      <c r="T816" s="158"/>
      <c r="U816" s="158"/>
      <c r="V816" s="158"/>
      <c r="W816" s="158"/>
      <c r="X816" s="158"/>
      <c r="Y816" s="158"/>
      <c r="Z816" s="158"/>
    </row>
    <row r="817" spans="1:26" ht="12" customHeight="1">
      <c r="A817" s="147"/>
      <c r="B817" s="158"/>
      <c r="C817" s="158"/>
      <c r="D817" s="158"/>
      <c r="E817" s="158"/>
      <c r="F817" s="158"/>
      <c r="G817" s="158"/>
      <c r="H817" s="158"/>
      <c r="I817" s="158"/>
      <c r="J817" s="158"/>
      <c r="K817" s="158"/>
      <c r="L817" s="158"/>
      <c r="M817" s="158"/>
      <c r="N817" s="158"/>
      <c r="O817" s="158"/>
      <c r="P817" s="158"/>
      <c r="Q817" s="158"/>
      <c r="R817" s="158"/>
      <c r="S817" s="158"/>
      <c r="T817" s="158"/>
      <c r="U817" s="158"/>
      <c r="V817" s="158"/>
      <c r="W817" s="158"/>
      <c r="X817" s="158"/>
      <c r="Y817" s="158"/>
      <c r="Z817" s="158"/>
    </row>
    <row r="818" spans="1:26" ht="12" customHeight="1">
      <c r="A818" s="147"/>
      <c r="B818" s="158"/>
      <c r="C818" s="158"/>
      <c r="D818" s="158"/>
      <c r="E818" s="158"/>
      <c r="F818" s="158"/>
      <c r="G818" s="158"/>
      <c r="H818" s="158"/>
      <c r="I818" s="158"/>
      <c r="J818" s="158"/>
      <c r="K818" s="158"/>
      <c r="L818" s="158"/>
      <c r="M818" s="158"/>
      <c r="N818" s="158"/>
      <c r="O818" s="158"/>
      <c r="P818" s="158"/>
      <c r="Q818" s="158"/>
      <c r="R818" s="158"/>
      <c r="S818" s="158"/>
      <c r="T818" s="158"/>
      <c r="U818" s="158"/>
      <c r="V818" s="158"/>
      <c r="W818" s="158"/>
      <c r="X818" s="158"/>
      <c r="Y818" s="158"/>
      <c r="Z818" s="158"/>
    </row>
    <row r="819" spans="1:26" ht="12" customHeight="1">
      <c r="A819" s="147"/>
      <c r="B819" s="158"/>
      <c r="C819" s="158"/>
      <c r="D819" s="158"/>
      <c r="E819" s="158"/>
      <c r="F819" s="158"/>
      <c r="G819" s="158"/>
      <c r="H819" s="158"/>
      <c r="I819" s="158"/>
      <c r="J819" s="158"/>
      <c r="K819" s="158"/>
      <c r="L819" s="158"/>
      <c r="M819" s="158"/>
      <c r="N819" s="158"/>
      <c r="O819" s="158"/>
      <c r="P819" s="158"/>
      <c r="Q819" s="158"/>
      <c r="R819" s="158"/>
      <c r="S819" s="158"/>
      <c r="T819" s="158"/>
      <c r="U819" s="158"/>
      <c r="V819" s="158"/>
      <c r="W819" s="158"/>
      <c r="X819" s="158"/>
      <c r="Y819" s="158"/>
      <c r="Z819" s="158"/>
    </row>
    <row r="820" spans="1:26" ht="12" customHeight="1">
      <c r="A820" s="147"/>
      <c r="B820" s="158"/>
      <c r="C820" s="158"/>
      <c r="D820" s="158"/>
      <c r="E820" s="158"/>
      <c r="F820" s="158"/>
      <c r="G820" s="158"/>
      <c r="H820" s="158"/>
      <c r="I820" s="158"/>
      <c r="J820" s="158"/>
      <c r="K820" s="158"/>
      <c r="L820" s="158"/>
      <c r="M820" s="158"/>
      <c r="N820" s="158"/>
      <c r="O820" s="158"/>
      <c r="P820" s="158"/>
      <c r="Q820" s="158"/>
      <c r="R820" s="158"/>
      <c r="S820" s="158"/>
      <c r="T820" s="158"/>
      <c r="U820" s="158"/>
      <c r="V820" s="158"/>
      <c r="W820" s="158"/>
      <c r="X820" s="158"/>
      <c r="Y820" s="158"/>
      <c r="Z820" s="158"/>
    </row>
    <row r="821" spans="1:26" ht="12" customHeight="1">
      <c r="A821" s="147"/>
      <c r="B821" s="158"/>
      <c r="C821" s="158"/>
      <c r="D821" s="158"/>
      <c r="E821" s="158"/>
      <c r="F821" s="158"/>
      <c r="G821" s="158"/>
      <c r="H821" s="158"/>
      <c r="I821" s="158"/>
      <c r="J821" s="158"/>
      <c r="K821" s="158"/>
      <c r="L821" s="158"/>
      <c r="M821" s="158"/>
      <c r="N821" s="158"/>
      <c r="O821" s="158"/>
      <c r="P821" s="158"/>
      <c r="Q821" s="158"/>
      <c r="R821" s="158"/>
      <c r="S821" s="158"/>
      <c r="T821" s="158"/>
      <c r="U821" s="158"/>
      <c r="V821" s="158"/>
      <c r="W821" s="158"/>
      <c r="X821" s="158"/>
      <c r="Y821" s="158"/>
      <c r="Z821" s="158"/>
    </row>
    <row r="822" spans="1:26" ht="12" customHeight="1">
      <c r="A822" s="147"/>
      <c r="B822" s="158"/>
      <c r="C822" s="158"/>
      <c r="D822" s="158"/>
      <c r="E822" s="158"/>
      <c r="F822" s="158"/>
      <c r="G822" s="158"/>
      <c r="H822" s="158"/>
      <c r="I822" s="158"/>
      <c r="J822" s="158"/>
      <c r="K822" s="158"/>
      <c r="L822" s="158"/>
      <c r="M822" s="158"/>
      <c r="N822" s="158"/>
      <c r="O822" s="158"/>
      <c r="P822" s="158"/>
      <c r="Q822" s="158"/>
      <c r="R822" s="158"/>
      <c r="S822" s="158"/>
      <c r="T822" s="158"/>
      <c r="U822" s="158"/>
      <c r="V822" s="158"/>
      <c r="W822" s="158"/>
      <c r="X822" s="158"/>
      <c r="Y822" s="158"/>
      <c r="Z822" s="158"/>
    </row>
    <row r="823" spans="1:26" ht="12" customHeight="1">
      <c r="A823" s="147"/>
      <c r="B823" s="158"/>
      <c r="C823" s="158"/>
      <c r="D823" s="158"/>
      <c r="E823" s="158"/>
      <c r="F823" s="158"/>
      <c r="G823" s="158"/>
      <c r="H823" s="158"/>
      <c r="I823" s="158"/>
      <c r="J823" s="158"/>
      <c r="K823" s="158"/>
      <c r="L823" s="158"/>
      <c r="M823" s="158"/>
      <c r="N823" s="158"/>
      <c r="O823" s="158"/>
      <c r="P823" s="158"/>
      <c r="Q823" s="158"/>
      <c r="R823" s="158"/>
      <c r="S823" s="158"/>
      <c r="T823" s="158"/>
      <c r="U823" s="158"/>
      <c r="V823" s="158"/>
      <c r="W823" s="158"/>
      <c r="X823" s="158"/>
      <c r="Y823" s="158"/>
      <c r="Z823" s="158"/>
    </row>
    <row r="824" spans="1:26" ht="12" customHeight="1">
      <c r="A824" s="147"/>
      <c r="B824" s="158"/>
      <c r="C824" s="158"/>
      <c r="D824" s="158"/>
      <c r="E824" s="158"/>
      <c r="F824" s="158"/>
      <c r="G824" s="158"/>
      <c r="H824" s="158"/>
      <c r="I824" s="158"/>
      <c r="J824" s="158"/>
      <c r="K824" s="158"/>
      <c r="L824" s="158"/>
      <c r="M824" s="158"/>
      <c r="N824" s="158"/>
      <c r="O824" s="158"/>
      <c r="P824" s="158"/>
      <c r="Q824" s="158"/>
      <c r="R824" s="158"/>
      <c r="S824" s="158"/>
      <c r="T824" s="158"/>
      <c r="U824" s="158"/>
      <c r="V824" s="158"/>
      <c r="W824" s="158"/>
      <c r="X824" s="158"/>
      <c r="Y824" s="158"/>
      <c r="Z824" s="158"/>
    </row>
    <row r="825" spans="1:26" ht="12" customHeight="1">
      <c r="A825" s="147"/>
      <c r="B825" s="158"/>
      <c r="C825" s="158"/>
      <c r="D825" s="158"/>
      <c r="E825" s="158"/>
      <c r="F825" s="158"/>
      <c r="G825" s="158"/>
      <c r="H825" s="158"/>
      <c r="I825" s="158"/>
      <c r="J825" s="158"/>
      <c r="K825" s="158"/>
      <c r="L825" s="158"/>
      <c r="M825" s="158"/>
      <c r="N825" s="158"/>
      <c r="O825" s="158"/>
      <c r="P825" s="158"/>
      <c r="Q825" s="158"/>
      <c r="R825" s="158"/>
      <c r="S825" s="158"/>
      <c r="T825" s="158"/>
      <c r="U825" s="158"/>
      <c r="V825" s="158"/>
      <c r="W825" s="158"/>
      <c r="X825" s="158"/>
      <c r="Y825" s="158"/>
      <c r="Z825" s="158"/>
    </row>
    <row r="826" spans="1:26" ht="12" customHeight="1">
      <c r="A826" s="147"/>
      <c r="B826" s="158"/>
      <c r="C826" s="158"/>
      <c r="D826" s="158"/>
      <c r="E826" s="158"/>
      <c r="F826" s="158"/>
      <c r="G826" s="158"/>
      <c r="H826" s="158"/>
      <c r="I826" s="158"/>
      <c r="J826" s="158"/>
      <c r="K826" s="158"/>
      <c r="L826" s="158"/>
      <c r="M826" s="158"/>
      <c r="N826" s="158"/>
      <c r="O826" s="158"/>
      <c r="P826" s="158"/>
      <c r="Q826" s="158"/>
      <c r="R826" s="158"/>
      <c r="S826" s="158"/>
      <c r="T826" s="158"/>
      <c r="U826" s="158"/>
      <c r="V826" s="158"/>
      <c r="W826" s="158"/>
      <c r="X826" s="158"/>
      <c r="Y826" s="158"/>
      <c r="Z826" s="158"/>
    </row>
    <row r="827" spans="1:26" ht="12" customHeight="1">
      <c r="A827" s="147"/>
      <c r="B827" s="158"/>
      <c r="C827" s="158"/>
      <c r="D827" s="158"/>
      <c r="E827" s="158"/>
      <c r="F827" s="158"/>
      <c r="G827" s="158"/>
      <c r="H827" s="158"/>
      <c r="I827" s="158"/>
      <c r="J827" s="158"/>
      <c r="K827" s="158"/>
      <c r="L827" s="158"/>
      <c r="M827" s="158"/>
      <c r="N827" s="158"/>
      <c r="O827" s="158"/>
      <c r="P827" s="158"/>
      <c r="Q827" s="158"/>
      <c r="R827" s="158"/>
      <c r="S827" s="158"/>
      <c r="T827" s="158"/>
      <c r="U827" s="158"/>
      <c r="V827" s="158"/>
      <c r="W827" s="158"/>
      <c r="X827" s="158"/>
      <c r="Y827" s="158"/>
      <c r="Z827" s="158"/>
    </row>
    <row r="828" spans="1:26" ht="12" customHeight="1">
      <c r="A828" s="147"/>
      <c r="B828" s="158"/>
      <c r="C828" s="158"/>
      <c r="D828" s="158"/>
      <c r="E828" s="158"/>
      <c r="F828" s="158"/>
      <c r="G828" s="158"/>
      <c r="H828" s="158"/>
      <c r="I828" s="158"/>
      <c r="J828" s="158"/>
      <c r="K828" s="158"/>
      <c r="L828" s="158"/>
      <c r="M828" s="158"/>
      <c r="N828" s="158"/>
      <c r="O828" s="158"/>
      <c r="P828" s="158"/>
      <c r="Q828" s="158"/>
      <c r="R828" s="158"/>
      <c r="S828" s="158"/>
      <c r="T828" s="158"/>
      <c r="U828" s="158"/>
      <c r="V828" s="158"/>
      <c r="W828" s="158"/>
      <c r="X828" s="158"/>
      <c r="Y828" s="158"/>
      <c r="Z828" s="158"/>
    </row>
    <row r="829" spans="1:26" ht="12" customHeight="1">
      <c r="A829" s="147"/>
      <c r="B829" s="158"/>
      <c r="C829" s="158"/>
      <c r="D829" s="158"/>
      <c r="E829" s="158"/>
      <c r="F829" s="158"/>
      <c r="G829" s="158"/>
      <c r="H829" s="158"/>
      <c r="I829" s="158"/>
      <c r="J829" s="158"/>
      <c r="K829" s="158"/>
      <c r="L829" s="158"/>
      <c r="M829" s="158"/>
      <c r="N829" s="158"/>
      <c r="O829" s="158"/>
      <c r="P829" s="158"/>
      <c r="Q829" s="158"/>
      <c r="R829" s="158"/>
      <c r="S829" s="158"/>
      <c r="T829" s="158"/>
      <c r="U829" s="158"/>
      <c r="V829" s="158"/>
      <c r="W829" s="158"/>
      <c r="X829" s="158"/>
      <c r="Y829" s="158"/>
      <c r="Z829" s="158"/>
    </row>
    <row r="830" spans="1:26" ht="12" customHeight="1">
      <c r="A830" s="147"/>
      <c r="B830" s="158"/>
      <c r="C830" s="158"/>
      <c r="D830" s="158"/>
      <c r="E830" s="158"/>
      <c r="F830" s="158"/>
      <c r="G830" s="158"/>
      <c r="H830" s="158"/>
      <c r="I830" s="158"/>
      <c r="J830" s="158"/>
      <c r="K830" s="158"/>
      <c r="L830" s="158"/>
      <c r="M830" s="158"/>
      <c r="N830" s="158"/>
      <c r="O830" s="158"/>
      <c r="P830" s="158"/>
      <c r="Q830" s="158"/>
      <c r="R830" s="158"/>
      <c r="S830" s="158"/>
      <c r="T830" s="158"/>
      <c r="U830" s="158"/>
      <c r="V830" s="158"/>
      <c r="W830" s="158"/>
      <c r="X830" s="158"/>
      <c r="Y830" s="158"/>
      <c r="Z830" s="158"/>
    </row>
    <row r="831" spans="1:26" ht="12" customHeight="1">
      <c r="A831" s="147"/>
      <c r="B831" s="158"/>
      <c r="C831" s="158"/>
      <c r="D831" s="158"/>
      <c r="E831" s="158"/>
      <c r="F831" s="158"/>
      <c r="G831" s="158"/>
      <c r="H831" s="158"/>
      <c r="I831" s="158"/>
      <c r="J831" s="158"/>
      <c r="K831" s="158"/>
      <c r="L831" s="158"/>
      <c r="M831" s="158"/>
      <c r="N831" s="158"/>
      <c r="O831" s="158"/>
      <c r="P831" s="158"/>
      <c r="Q831" s="158"/>
      <c r="R831" s="158"/>
      <c r="S831" s="158"/>
      <c r="T831" s="158"/>
      <c r="U831" s="158"/>
      <c r="V831" s="158"/>
      <c r="W831" s="158"/>
      <c r="X831" s="158"/>
      <c r="Y831" s="158"/>
      <c r="Z831" s="158"/>
    </row>
    <row r="832" spans="1:26" ht="12" customHeight="1">
      <c r="A832" s="147"/>
      <c r="B832" s="158"/>
      <c r="C832" s="158"/>
      <c r="D832" s="158"/>
      <c r="E832" s="158"/>
      <c r="F832" s="158"/>
      <c r="G832" s="158"/>
      <c r="H832" s="158"/>
      <c r="I832" s="158"/>
      <c r="J832" s="158"/>
      <c r="K832" s="158"/>
      <c r="L832" s="158"/>
      <c r="M832" s="158"/>
      <c r="N832" s="158"/>
      <c r="O832" s="158"/>
      <c r="P832" s="158"/>
      <c r="Q832" s="158"/>
      <c r="R832" s="158"/>
      <c r="S832" s="158"/>
      <c r="T832" s="158"/>
      <c r="U832" s="158"/>
      <c r="V832" s="158"/>
      <c r="W832" s="158"/>
      <c r="X832" s="158"/>
      <c r="Y832" s="158"/>
      <c r="Z832" s="158"/>
    </row>
    <row r="833" spans="1:26" ht="12" customHeight="1">
      <c r="A833" s="147"/>
      <c r="B833" s="158"/>
      <c r="C833" s="158"/>
      <c r="D833" s="158"/>
      <c r="E833" s="158"/>
      <c r="F833" s="158"/>
      <c r="G833" s="158"/>
      <c r="H833" s="158"/>
      <c r="I833" s="158"/>
      <c r="J833" s="158"/>
      <c r="K833" s="158"/>
      <c r="L833" s="158"/>
      <c r="M833" s="158"/>
      <c r="N833" s="158"/>
      <c r="O833" s="158"/>
      <c r="P833" s="158"/>
      <c r="Q833" s="158"/>
      <c r="R833" s="158"/>
      <c r="S833" s="158"/>
      <c r="T833" s="158"/>
      <c r="U833" s="158"/>
      <c r="V833" s="158"/>
      <c r="W833" s="158"/>
      <c r="X833" s="158"/>
      <c r="Y833" s="158"/>
      <c r="Z833" s="158"/>
    </row>
    <row r="834" spans="1:26" ht="12" customHeight="1">
      <c r="A834" s="147"/>
      <c r="B834" s="158"/>
      <c r="C834" s="158"/>
      <c r="D834" s="158"/>
      <c r="E834" s="158"/>
      <c r="F834" s="158"/>
      <c r="G834" s="158"/>
      <c r="H834" s="158"/>
      <c r="I834" s="158"/>
      <c r="J834" s="158"/>
      <c r="K834" s="158"/>
      <c r="L834" s="158"/>
      <c r="M834" s="158"/>
      <c r="N834" s="158"/>
      <c r="O834" s="158"/>
      <c r="P834" s="158"/>
      <c r="Q834" s="158"/>
      <c r="R834" s="158"/>
      <c r="S834" s="158"/>
      <c r="T834" s="158"/>
      <c r="U834" s="158"/>
      <c r="V834" s="158"/>
      <c r="W834" s="158"/>
      <c r="X834" s="158"/>
      <c r="Y834" s="158"/>
      <c r="Z834" s="158"/>
    </row>
    <row r="835" spans="1:26" ht="12" customHeight="1">
      <c r="A835" s="147"/>
      <c r="B835" s="158"/>
      <c r="C835" s="158"/>
      <c r="D835" s="158"/>
      <c r="E835" s="158"/>
      <c r="F835" s="158"/>
      <c r="G835" s="158"/>
      <c r="H835" s="158"/>
      <c r="I835" s="158"/>
      <c r="J835" s="158"/>
      <c r="K835" s="158"/>
      <c r="L835" s="158"/>
      <c r="M835" s="158"/>
      <c r="N835" s="158"/>
      <c r="O835" s="158"/>
      <c r="P835" s="158"/>
      <c r="Q835" s="158"/>
      <c r="R835" s="158"/>
      <c r="S835" s="158"/>
      <c r="T835" s="158"/>
      <c r="U835" s="158"/>
      <c r="V835" s="158"/>
      <c r="W835" s="158"/>
      <c r="X835" s="158"/>
      <c r="Y835" s="158"/>
      <c r="Z835" s="158"/>
    </row>
    <row r="836" spans="1:26" ht="12" customHeight="1">
      <c r="A836" s="147"/>
      <c r="B836" s="158"/>
      <c r="C836" s="158"/>
      <c r="D836" s="158"/>
      <c r="E836" s="158"/>
      <c r="F836" s="158"/>
      <c r="G836" s="158"/>
      <c r="H836" s="158"/>
      <c r="I836" s="158"/>
      <c r="J836" s="158"/>
      <c r="K836" s="158"/>
      <c r="L836" s="158"/>
      <c r="M836" s="158"/>
      <c r="N836" s="158"/>
      <c r="O836" s="158"/>
      <c r="P836" s="158"/>
      <c r="Q836" s="158"/>
      <c r="R836" s="158"/>
      <c r="S836" s="158"/>
      <c r="T836" s="158"/>
      <c r="U836" s="158"/>
      <c r="V836" s="158"/>
      <c r="W836" s="158"/>
      <c r="X836" s="158"/>
      <c r="Y836" s="158"/>
      <c r="Z836" s="158"/>
    </row>
    <row r="837" spans="1:26" ht="12" customHeight="1">
      <c r="A837" s="147"/>
      <c r="B837" s="158"/>
      <c r="C837" s="158"/>
      <c r="D837" s="158"/>
      <c r="E837" s="158"/>
      <c r="F837" s="158"/>
      <c r="G837" s="158"/>
      <c r="H837" s="158"/>
      <c r="I837" s="158"/>
      <c r="J837" s="158"/>
      <c r="K837" s="158"/>
      <c r="L837" s="158"/>
      <c r="M837" s="158"/>
      <c r="N837" s="158"/>
      <c r="O837" s="158"/>
      <c r="P837" s="158"/>
      <c r="Q837" s="158"/>
      <c r="R837" s="158"/>
      <c r="S837" s="158"/>
      <c r="T837" s="158"/>
      <c r="U837" s="158"/>
      <c r="V837" s="158"/>
      <c r="W837" s="158"/>
      <c r="X837" s="158"/>
      <c r="Y837" s="158"/>
      <c r="Z837" s="158"/>
    </row>
    <row r="838" spans="1:26" ht="12" customHeight="1">
      <c r="A838" s="147"/>
      <c r="B838" s="158"/>
      <c r="C838" s="158"/>
      <c r="D838" s="158"/>
      <c r="E838" s="158"/>
      <c r="F838" s="158"/>
      <c r="G838" s="158"/>
      <c r="H838" s="158"/>
      <c r="I838" s="158"/>
      <c r="J838" s="158"/>
      <c r="K838" s="158"/>
      <c r="L838" s="158"/>
      <c r="M838" s="158"/>
      <c r="N838" s="158"/>
      <c r="O838" s="158"/>
      <c r="P838" s="158"/>
      <c r="Q838" s="158"/>
      <c r="R838" s="158"/>
      <c r="S838" s="158"/>
      <c r="T838" s="158"/>
      <c r="U838" s="158"/>
      <c r="V838" s="158"/>
      <c r="W838" s="158"/>
      <c r="X838" s="158"/>
      <c r="Y838" s="158"/>
      <c r="Z838" s="158"/>
    </row>
    <row r="839" spans="1:26" ht="12" customHeight="1">
      <c r="A839" s="147"/>
      <c r="B839" s="158"/>
      <c r="C839" s="158"/>
      <c r="D839" s="158"/>
      <c r="E839" s="158"/>
      <c r="F839" s="158"/>
      <c r="G839" s="158"/>
      <c r="H839" s="158"/>
      <c r="I839" s="158"/>
      <c r="J839" s="158"/>
      <c r="K839" s="158"/>
      <c r="L839" s="158"/>
      <c r="M839" s="158"/>
      <c r="N839" s="158"/>
      <c r="O839" s="158"/>
      <c r="P839" s="158"/>
      <c r="Q839" s="158"/>
      <c r="R839" s="158"/>
      <c r="S839" s="158"/>
      <c r="T839" s="158"/>
      <c r="U839" s="158"/>
      <c r="V839" s="158"/>
      <c r="W839" s="158"/>
      <c r="X839" s="158"/>
      <c r="Y839" s="158"/>
      <c r="Z839" s="158"/>
    </row>
    <row r="840" spans="1:26" ht="12" customHeight="1">
      <c r="A840" s="147"/>
      <c r="B840" s="158"/>
      <c r="C840" s="158"/>
      <c r="D840" s="158"/>
      <c r="E840" s="158"/>
      <c r="F840" s="158"/>
      <c r="G840" s="158"/>
      <c r="H840" s="158"/>
      <c r="I840" s="158"/>
      <c r="J840" s="158"/>
      <c r="K840" s="158"/>
      <c r="L840" s="158"/>
      <c r="M840" s="158"/>
      <c r="N840" s="158"/>
      <c r="O840" s="158"/>
      <c r="P840" s="158"/>
      <c r="Q840" s="158"/>
      <c r="R840" s="158"/>
      <c r="S840" s="158"/>
      <c r="T840" s="158"/>
      <c r="U840" s="158"/>
      <c r="V840" s="158"/>
      <c r="W840" s="158"/>
      <c r="X840" s="158"/>
      <c r="Y840" s="158"/>
      <c r="Z840" s="158"/>
    </row>
    <row r="841" spans="1:26" ht="12" customHeight="1">
      <c r="A841" s="147"/>
      <c r="B841" s="158"/>
      <c r="C841" s="158"/>
      <c r="D841" s="158"/>
      <c r="E841" s="158"/>
      <c r="F841" s="158"/>
      <c r="G841" s="158"/>
      <c r="H841" s="158"/>
      <c r="I841" s="158"/>
      <c r="J841" s="158"/>
      <c r="K841" s="158"/>
      <c r="L841" s="158"/>
      <c r="M841" s="158"/>
      <c r="N841" s="158"/>
      <c r="O841" s="158"/>
      <c r="P841" s="158"/>
      <c r="Q841" s="158"/>
      <c r="R841" s="158"/>
      <c r="S841" s="158"/>
      <c r="T841" s="158"/>
      <c r="U841" s="158"/>
      <c r="V841" s="158"/>
      <c r="W841" s="158"/>
      <c r="X841" s="158"/>
      <c r="Y841" s="158"/>
      <c r="Z841" s="158"/>
    </row>
    <row r="842" spans="1:26" ht="12" customHeight="1">
      <c r="A842" s="147"/>
      <c r="B842" s="158"/>
      <c r="C842" s="158"/>
      <c r="D842" s="158"/>
      <c r="E842" s="158"/>
      <c r="F842" s="158"/>
      <c r="G842" s="158"/>
      <c r="H842" s="158"/>
      <c r="I842" s="158"/>
      <c r="J842" s="158"/>
      <c r="K842" s="158"/>
      <c r="L842" s="158"/>
      <c r="M842" s="158"/>
      <c r="N842" s="158"/>
      <c r="O842" s="158"/>
      <c r="P842" s="158"/>
      <c r="Q842" s="158"/>
      <c r="R842" s="158"/>
      <c r="S842" s="158"/>
      <c r="T842" s="158"/>
      <c r="U842" s="158"/>
      <c r="V842" s="158"/>
      <c r="W842" s="158"/>
      <c r="X842" s="158"/>
      <c r="Y842" s="158"/>
      <c r="Z842" s="158"/>
    </row>
    <row r="843" spans="1:26" ht="12" customHeight="1">
      <c r="A843" s="147"/>
      <c r="B843" s="158"/>
      <c r="C843" s="158"/>
      <c r="D843" s="158"/>
      <c r="E843" s="158"/>
      <c r="F843" s="158"/>
      <c r="G843" s="158"/>
      <c r="H843" s="158"/>
      <c r="I843" s="158"/>
      <c r="J843" s="158"/>
      <c r="K843" s="158"/>
      <c r="L843" s="158"/>
      <c r="M843" s="158"/>
      <c r="N843" s="158"/>
      <c r="O843" s="158"/>
      <c r="P843" s="158"/>
      <c r="Q843" s="158"/>
      <c r="R843" s="158"/>
      <c r="S843" s="158"/>
      <c r="T843" s="158"/>
      <c r="U843" s="158"/>
      <c r="V843" s="158"/>
      <c r="W843" s="158"/>
      <c r="X843" s="158"/>
      <c r="Y843" s="158"/>
      <c r="Z843" s="158"/>
    </row>
    <row r="844" spans="1:26" ht="12" customHeight="1">
      <c r="A844" s="147"/>
      <c r="B844" s="158"/>
      <c r="C844" s="158"/>
      <c r="D844" s="158"/>
      <c r="E844" s="158"/>
      <c r="F844" s="158"/>
      <c r="G844" s="158"/>
      <c r="H844" s="158"/>
      <c r="I844" s="158"/>
      <c r="J844" s="158"/>
      <c r="K844" s="158"/>
      <c r="L844" s="158"/>
      <c r="M844" s="158"/>
      <c r="N844" s="158"/>
      <c r="O844" s="158"/>
      <c r="P844" s="158"/>
      <c r="Q844" s="158"/>
      <c r="R844" s="158"/>
      <c r="S844" s="158"/>
      <c r="T844" s="158"/>
      <c r="U844" s="158"/>
      <c r="V844" s="158"/>
      <c r="W844" s="158"/>
      <c r="X844" s="158"/>
      <c r="Y844" s="158"/>
      <c r="Z844" s="158"/>
    </row>
    <row r="845" spans="1:26" ht="12" customHeight="1">
      <c r="A845" s="147"/>
      <c r="B845" s="158"/>
      <c r="C845" s="158"/>
      <c r="D845" s="158"/>
      <c r="E845" s="158"/>
      <c r="F845" s="158"/>
      <c r="G845" s="158"/>
      <c r="H845" s="158"/>
      <c r="I845" s="158"/>
      <c r="J845" s="158"/>
      <c r="K845" s="158"/>
      <c r="L845" s="158"/>
      <c r="M845" s="158"/>
      <c r="N845" s="158"/>
      <c r="O845" s="158"/>
      <c r="P845" s="158"/>
      <c r="Q845" s="158"/>
      <c r="R845" s="158"/>
      <c r="S845" s="158"/>
      <c r="T845" s="158"/>
      <c r="U845" s="158"/>
      <c r="V845" s="158"/>
      <c r="W845" s="158"/>
      <c r="X845" s="158"/>
      <c r="Y845" s="158"/>
      <c r="Z845" s="158"/>
    </row>
    <row r="846" spans="1:26" ht="12" customHeight="1">
      <c r="A846" s="147"/>
      <c r="B846" s="158"/>
      <c r="C846" s="158"/>
      <c r="D846" s="158"/>
      <c r="E846" s="158"/>
      <c r="F846" s="158"/>
      <c r="G846" s="158"/>
      <c r="H846" s="158"/>
      <c r="I846" s="158"/>
      <c r="J846" s="158"/>
      <c r="K846" s="158"/>
      <c r="L846" s="158"/>
      <c r="M846" s="158"/>
      <c r="N846" s="158"/>
      <c r="O846" s="158"/>
      <c r="P846" s="158"/>
      <c r="Q846" s="158"/>
      <c r="R846" s="158"/>
      <c r="S846" s="158"/>
      <c r="T846" s="158"/>
      <c r="U846" s="158"/>
      <c r="V846" s="158"/>
      <c r="W846" s="158"/>
      <c r="X846" s="158"/>
      <c r="Y846" s="158"/>
      <c r="Z846" s="158"/>
    </row>
    <row r="847" spans="1:26" ht="12" customHeight="1">
      <c r="A847" s="147"/>
      <c r="B847" s="158"/>
      <c r="C847" s="158"/>
      <c r="D847" s="158"/>
      <c r="E847" s="158"/>
      <c r="F847" s="158"/>
      <c r="G847" s="158"/>
      <c r="H847" s="158"/>
      <c r="I847" s="158"/>
      <c r="J847" s="158"/>
      <c r="K847" s="158"/>
      <c r="L847" s="158"/>
      <c r="M847" s="158"/>
      <c r="N847" s="158"/>
      <c r="O847" s="158"/>
      <c r="P847" s="158"/>
      <c r="Q847" s="158"/>
      <c r="R847" s="158"/>
      <c r="S847" s="158"/>
      <c r="T847" s="158"/>
      <c r="U847" s="158"/>
      <c r="V847" s="158"/>
      <c r="W847" s="158"/>
      <c r="X847" s="158"/>
      <c r="Y847" s="158"/>
      <c r="Z847" s="158"/>
    </row>
    <row r="848" spans="1:26" ht="12" customHeight="1">
      <c r="A848" s="147"/>
      <c r="B848" s="158"/>
      <c r="C848" s="158"/>
      <c r="D848" s="158"/>
      <c r="E848" s="158"/>
      <c r="F848" s="158"/>
      <c r="G848" s="158"/>
      <c r="H848" s="158"/>
      <c r="I848" s="158"/>
      <c r="J848" s="158"/>
      <c r="K848" s="158"/>
      <c r="L848" s="158"/>
      <c r="M848" s="158"/>
      <c r="N848" s="158"/>
      <c r="O848" s="158"/>
      <c r="P848" s="158"/>
      <c r="Q848" s="158"/>
      <c r="R848" s="158"/>
      <c r="S848" s="158"/>
      <c r="T848" s="158"/>
      <c r="U848" s="158"/>
      <c r="V848" s="158"/>
      <c r="W848" s="158"/>
      <c r="X848" s="158"/>
      <c r="Y848" s="158"/>
      <c r="Z848" s="158"/>
    </row>
    <row r="849" spans="1:26" ht="12" customHeight="1">
      <c r="A849" s="147"/>
      <c r="B849" s="158"/>
      <c r="C849" s="158"/>
      <c r="D849" s="158"/>
      <c r="E849" s="158"/>
      <c r="F849" s="158"/>
      <c r="G849" s="158"/>
      <c r="H849" s="158"/>
      <c r="I849" s="158"/>
      <c r="J849" s="158"/>
      <c r="K849" s="158"/>
      <c r="L849" s="158"/>
      <c r="M849" s="158"/>
      <c r="N849" s="158"/>
      <c r="O849" s="158"/>
      <c r="P849" s="158"/>
      <c r="Q849" s="158"/>
      <c r="R849" s="158"/>
      <c r="S849" s="158"/>
      <c r="T849" s="158"/>
      <c r="U849" s="158"/>
      <c r="V849" s="158"/>
      <c r="W849" s="158"/>
      <c r="X849" s="158"/>
      <c r="Y849" s="158"/>
      <c r="Z849" s="158"/>
    </row>
    <row r="850" spans="1:26" ht="12" customHeight="1">
      <c r="A850" s="147"/>
      <c r="B850" s="158"/>
      <c r="C850" s="158"/>
      <c r="D850" s="158"/>
      <c r="E850" s="158"/>
      <c r="F850" s="158"/>
      <c r="G850" s="158"/>
      <c r="H850" s="158"/>
      <c r="I850" s="158"/>
      <c r="J850" s="158"/>
      <c r="K850" s="158"/>
      <c r="L850" s="158"/>
      <c r="M850" s="158"/>
      <c r="N850" s="158"/>
      <c r="O850" s="158"/>
      <c r="P850" s="158"/>
      <c r="Q850" s="158"/>
      <c r="R850" s="158"/>
      <c r="S850" s="158"/>
      <c r="T850" s="158"/>
      <c r="U850" s="158"/>
      <c r="V850" s="158"/>
      <c r="W850" s="158"/>
      <c r="X850" s="158"/>
      <c r="Y850" s="158"/>
      <c r="Z850" s="158"/>
    </row>
    <row r="851" spans="1:26" ht="12" customHeight="1">
      <c r="A851" s="147"/>
      <c r="B851" s="158"/>
      <c r="C851" s="158"/>
      <c r="D851" s="158"/>
      <c r="E851" s="158"/>
      <c r="F851" s="158"/>
      <c r="G851" s="158"/>
      <c r="H851" s="158"/>
      <c r="I851" s="158"/>
      <c r="J851" s="158"/>
      <c r="K851" s="158"/>
      <c r="L851" s="158"/>
      <c r="M851" s="158"/>
      <c r="N851" s="158"/>
      <c r="O851" s="158"/>
      <c r="P851" s="158"/>
      <c r="Q851" s="158"/>
      <c r="R851" s="158"/>
      <c r="S851" s="158"/>
      <c r="T851" s="158"/>
      <c r="U851" s="158"/>
      <c r="V851" s="158"/>
      <c r="W851" s="158"/>
      <c r="X851" s="158"/>
      <c r="Y851" s="158"/>
      <c r="Z851" s="158"/>
    </row>
    <row r="852" spans="1:26" ht="12" customHeight="1">
      <c r="A852" s="147"/>
      <c r="B852" s="158"/>
      <c r="C852" s="158"/>
      <c r="D852" s="158"/>
      <c r="E852" s="158"/>
      <c r="F852" s="158"/>
      <c r="G852" s="158"/>
      <c r="H852" s="158"/>
      <c r="I852" s="158"/>
      <c r="J852" s="158"/>
      <c r="K852" s="158"/>
      <c r="L852" s="158"/>
      <c r="M852" s="158"/>
      <c r="N852" s="158"/>
      <c r="O852" s="158"/>
      <c r="P852" s="158"/>
      <c r="Q852" s="158"/>
      <c r="R852" s="158"/>
      <c r="S852" s="158"/>
      <c r="T852" s="158"/>
      <c r="U852" s="158"/>
      <c r="V852" s="158"/>
      <c r="W852" s="158"/>
      <c r="X852" s="158"/>
      <c r="Y852" s="158"/>
      <c r="Z852" s="158"/>
    </row>
    <row r="853" spans="1:26" ht="12" customHeight="1">
      <c r="A853" s="147"/>
      <c r="B853" s="158"/>
      <c r="C853" s="158"/>
      <c r="D853" s="158"/>
      <c r="E853" s="158"/>
      <c r="F853" s="158"/>
      <c r="G853" s="158"/>
      <c r="H853" s="158"/>
      <c r="I853" s="158"/>
      <c r="J853" s="158"/>
      <c r="K853" s="158"/>
      <c r="L853" s="158"/>
      <c r="M853" s="158"/>
      <c r="N853" s="158"/>
      <c r="O853" s="158"/>
      <c r="P853" s="158"/>
      <c r="Q853" s="158"/>
      <c r="R853" s="158"/>
      <c r="S853" s="158"/>
      <c r="T853" s="158"/>
      <c r="U853" s="158"/>
      <c r="V853" s="158"/>
      <c r="W853" s="158"/>
      <c r="X853" s="158"/>
      <c r="Y853" s="158"/>
      <c r="Z853" s="158"/>
    </row>
    <row r="854" spans="1:26" ht="12" customHeight="1">
      <c r="A854" s="147"/>
      <c r="B854" s="158"/>
      <c r="C854" s="158"/>
      <c r="D854" s="158"/>
      <c r="E854" s="158"/>
      <c r="F854" s="158"/>
      <c r="G854" s="158"/>
      <c r="H854" s="158"/>
      <c r="I854" s="158"/>
      <c r="J854" s="158"/>
      <c r="K854" s="158"/>
      <c r="L854" s="158"/>
      <c r="M854" s="158"/>
      <c r="N854" s="158"/>
      <c r="O854" s="158"/>
      <c r="P854" s="158"/>
      <c r="Q854" s="158"/>
      <c r="R854" s="158"/>
      <c r="S854" s="158"/>
      <c r="T854" s="158"/>
      <c r="U854" s="158"/>
      <c r="V854" s="158"/>
      <c r="W854" s="158"/>
      <c r="X854" s="158"/>
      <c r="Y854" s="158"/>
      <c r="Z854" s="158"/>
    </row>
    <row r="855" spans="1:26" ht="12" customHeight="1">
      <c r="A855" s="147"/>
      <c r="B855" s="158"/>
      <c r="C855" s="158"/>
      <c r="D855" s="158"/>
      <c r="E855" s="158"/>
      <c r="F855" s="158"/>
      <c r="G855" s="158"/>
      <c r="H855" s="158"/>
      <c r="I855" s="158"/>
      <c r="J855" s="158"/>
      <c r="K855" s="158"/>
      <c r="L855" s="158"/>
      <c r="M855" s="158"/>
      <c r="N855" s="158"/>
      <c r="O855" s="158"/>
      <c r="P855" s="158"/>
      <c r="Q855" s="158"/>
      <c r="R855" s="158"/>
      <c r="S855" s="158"/>
      <c r="T855" s="158"/>
      <c r="U855" s="158"/>
      <c r="V855" s="158"/>
      <c r="W855" s="158"/>
      <c r="X855" s="158"/>
      <c r="Y855" s="158"/>
      <c r="Z855" s="158"/>
    </row>
    <row r="856" spans="1:26" ht="12" customHeight="1">
      <c r="A856" s="147"/>
      <c r="B856" s="158"/>
      <c r="C856" s="158"/>
      <c r="D856" s="158"/>
      <c r="E856" s="158"/>
      <c r="F856" s="158"/>
      <c r="G856" s="158"/>
      <c r="H856" s="158"/>
      <c r="I856" s="158"/>
      <c r="J856" s="158"/>
      <c r="K856" s="158"/>
      <c r="L856" s="158"/>
      <c r="M856" s="158"/>
      <c r="N856" s="158"/>
      <c r="O856" s="158"/>
      <c r="P856" s="158"/>
      <c r="Q856" s="158"/>
      <c r="R856" s="158"/>
      <c r="S856" s="158"/>
      <c r="T856" s="158"/>
      <c r="U856" s="158"/>
      <c r="V856" s="158"/>
      <c r="W856" s="158"/>
      <c r="X856" s="158"/>
      <c r="Y856" s="158"/>
      <c r="Z856" s="158"/>
    </row>
    <row r="857" spans="1:26" ht="12" customHeight="1">
      <c r="A857" s="147"/>
      <c r="B857" s="158"/>
      <c r="C857" s="158"/>
      <c r="D857" s="158"/>
      <c r="E857" s="158"/>
      <c r="F857" s="158"/>
      <c r="G857" s="158"/>
      <c r="H857" s="158"/>
      <c r="I857" s="158"/>
      <c r="J857" s="158"/>
      <c r="K857" s="158"/>
      <c r="L857" s="158"/>
      <c r="M857" s="158"/>
      <c r="N857" s="158"/>
      <c r="O857" s="158"/>
      <c r="P857" s="158"/>
      <c r="Q857" s="158"/>
      <c r="R857" s="158"/>
      <c r="S857" s="158"/>
      <c r="T857" s="158"/>
      <c r="U857" s="158"/>
      <c r="V857" s="158"/>
      <c r="W857" s="158"/>
      <c r="X857" s="158"/>
      <c r="Y857" s="158"/>
      <c r="Z857" s="158"/>
    </row>
    <row r="858" spans="1:26" ht="12" customHeight="1">
      <c r="A858" s="147"/>
      <c r="B858" s="158"/>
      <c r="C858" s="158"/>
      <c r="D858" s="158"/>
      <c r="E858" s="158"/>
      <c r="F858" s="158"/>
      <c r="G858" s="158"/>
      <c r="H858" s="158"/>
      <c r="I858" s="158"/>
      <c r="J858" s="158"/>
      <c r="K858" s="158"/>
      <c r="L858" s="158"/>
      <c r="M858" s="158"/>
      <c r="N858" s="158"/>
      <c r="O858" s="158"/>
      <c r="P858" s="158"/>
      <c r="Q858" s="158"/>
      <c r="R858" s="158"/>
      <c r="S858" s="158"/>
      <c r="T858" s="158"/>
      <c r="U858" s="158"/>
      <c r="V858" s="158"/>
      <c r="W858" s="158"/>
      <c r="X858" s="158"/>
      <c r="Y858" s="158"/>
      <c r="Z858" s="158"/>
    </row>
    <row r="859" spans="1:26" ht="12" customHeight="1">
      <c r="A859" s="147"/>
      <c r="B859" s="158"/>
      <c r="C859" s="158"/>
      <c r="D859" s="158"/>
      <c r="E859" s="158"/>
      <c r="F859" s="158"/>
      <c r="G859" s="158"/>
      <c r="H859" s="158"/>
      <c r="I859" s="158"/>
      <c r="J859" s="158"/>
      <c r="K859" s="158"/>
      <c r="L859" s="158"/>
      <c r="M859" s="158"/>
      <c r="N859" s="158"/>
      <c r="O859" s="158"/>
      <c r="P859" s="158"/>
      <c r="Q859" s="158"/>
      <c r="R859" s="158"/>
      <c r="S859" s="158"/>
      <c r="T859" s="158"/>
      <c r="U859" s="158"/>
      <c r="V859" s="158"/>
      <c r="W859" s="158"/>
      <c r="X859" s="158"/>
      <c r="Y859" s="158"/>
      <c r="Z859" s="158"/>
    </row>
    <row r="860" spans="1:26" ht="12" customHeight="1">
      <c r="A860" s="147"/>
      <c r="B860" s="158"/>
      <c r="C860" s="158"/>
      <c r="D860" s="158"/>
      <c r="E860" s="158"/>
      <c r="F860" s="158"/>
      <c r="G860" s="158"/>
      <c r="H860" s="158"/>
      <c r="I860" s="158"/>
      <c r="J860" s="158"/>
      <c r="K860" s="158"/>
      <c r="L860" s="158"/>
      <c r="M860" s="158"/>
      <c r="N860" s="158"/>
      <c r="O860" s="158"/>
      <c r="P860" s="158"/>
      <c r="Q860" s="158"/>
      <c r="R860" s="158"/>
      <c r="S860" s="158"/>
      <c r="T860" s="158"/>
      <c r="U860" s="158"/>
      <c r="V860" s="158"/>
      <c r="W860" s="158"/>
      <c r="X860" s="158"/>
      <c r="Y860" s="158"/>
      <c r="Z860" s="158"/>
    </row>
    <row r="861" spans="1:26" ht="12" customHeight="1">
      <c r="A861" s="147"/>
      <c r="B861" s="158"/>
      <c r="C861" s="158"/>
      <c r="D861" s="158"/>
      <c r="E861" s="158"/>
      <c r="F861" s="158"/>
      <c r="G861" s="158"/>
      <c r="H861" s="158"/>
      <c r="I861" s="158"/>
      <c r="J861" s="158"/>
      <c r="K861" s="158"/>
      <c r="L861" s="158"/>
      <c r="M861" s="158"/>
      <c r="N861" s="158"/>
      <c r="O861" s="158"/>
      <c r="P861" s="158"/>
      <c r="Q861" s="158"/>
      <c r="R861" s="158"/>
      <c r="S861" s="158"/>
      <c r="T861" s="158"/>
      <c r="U861" s="158"/>
      <c r="V861" s="158"/>
      <c r="W861" s="158"/>
      <c r="X861" s="158"/>
      <c r="Y861" s="158"/>
      <c r="Z861" s="158"/>
    </row>
    <row r="862" spans="1:26" ht="12" customHeight="1">
      <c r="A862" s="147"/>
      <c r="B862" s="158"/>
      <c r="C862" s="158"/>
      <c r="D862" s="158"/>
      <c r="E862" s="158"/>
      <c r="F862" s="158"/>
      <c r="G862" s="158"/>
      <c r="H862" s="158"/>
      <c r="I862" s="158"/>
      <c r="J862" s="158"/>
      <c r="K862" s="158"/>
      <c r="L862" s="158"/>
      <c r="M862" s="158"/>
      <c r="N862" s="158"/>
      <c r="O862" s="158"/>
      <c r="P862" s="158"/>
      <c r="Q862" s="158"/>
      <c r="R862" s="158"/>
      <c r="S862" s="158"/>
      <c r="T862" s="158"/>
      <c r="U862" s="158"/>
      <c r="V862" s="158"/>
      <c r="W862" s="158"/>
      <c r="X862" s="158"/>
      <c r="Y862" s="158"/>
      <c r="Z862" s="158"/>
    </row>
    <row r="863" spans="1:26" ht="12" customHeight="1">
      <c r="A863" s="147"/>
      <c r="B863" s="158"/>
      <c r="C863" s="158"/>
      <c r="D863" s="158"/>
      <c r="E863" s="158"/>
      <c r="F863" s="158"/>
      <c r="G863" s="158"/>
      <c r="H863" s="158"/>
      <c r="I863" s="158"/>
      <c r="J863" s="158"/>
      <c r="K863" s="158"/>
      <c r="L863" s="158"/>
      <c r="M863" s="158"/>
      <c r="N863" s="158"/>
      <c r="O863" s="158"/>
      <c r="P863" s="158"/>
      <c r="Q863" s="158"/>
      <c r="R863" s="158"/>
      <c r="S863" s="158"/>
      <c r="T863" s="158"/>
      <c r="U863" s="158"/>
      <c r="V863" s="158"/>
      <c r="W863" s="158"/>
      <c r="X863" s="158"/>
      <c r="Y863" s="158"/>
      <c r="Z863" s="158"/>
    </row>
    <row r="864" spans="1:26" ht="12" customHeight="1">
      <c r="A864" s="147"/>
      <c r="B864" s="158"/>
      <c r="C864" s="158"/>
      <c r="D864" s="158"/>
      <c r="E864" s="158"/>
      <c r="F864" s="158"/>
      <c r="G864" s="158"/>
      <c r="H864" s="158"/>
      <c r="I864" s="158"/>
      <c r="J864" s="158"/>
      <c r="K864" s="158"/>
      <c r="L864" s="158"/>
      <c r="M864" s="158"/>
      <c r="N864" s="158"/>
      <c r="O864" s="158"/>
      <c r="P864" s="158"/>
      <c r="Q864" s="158"/>
      <c r="R864" s="158"/>
      <c r="S864" s="158"/>
      <c r="T864" s="158"/>
      <c r="U864" s="158"/>
      <c r="V864" s="158"/>
      <c r="W864" s="158"/>
      <c r="X864" s="158"/>
      <c r="Y864" s="158"/>
      <c r="Z864" s="158"/>
    </row>
    <row r="865" spans="1:26" ht="12" customHeight="1">
      <c r="A865" s="147"/>
      <c r="B865" s="158"/>
      <c r="C865" s="158"/>
      <c r="D865" s="158"/>
      <c r="E865" s="158"/>
      <c r="F865" s="158"/>
      <c r="G865" s="158"/>
      <c r="H865" s="158"/>
      <c r="I865" s="158"/>
      <c r="J865" s="158"/>
      <c r="K865" s="158"/>
      <c r="L865" s="158"/>
      <c r="M865" s="158"/>
      <c r="N865" s="158"/>
      <c r="O865" s="158"/>
      <c r="P865" s="158"/>
      <c r="Q865" s="158"/>
      <c r="R865" s="158"/>
      <c r="S865" s="158"/>
      <c r="T865" s="158"/>
      <c r="U865" s="158"/>
      <c r="V865" s="158"/>
      <c r="W865" s="158"/>
      <c r="X865" s="158"/>
      <c r="Y865" s="158"/>
      <c r="Z865" s="158"/>
    </row>
    <row r="866" spans="1:26" ht="12" customHeight="1">
      <c r="A866" s="147"/>
      <c r="B866" s="158"/>
      <c r="C866" s="158"/>
      <c r="D866" s="158"/>
      <c r="E866" s="158"/>
      <c r="F866" s="158"/>
      <c r="G866" s="158"/>
      <c r="H866" s="158"/>
      <c r="I866" s="158"/>
      <c r="J866" s="158"/>
      <c r="K866" s="158"/>
      <c r="L866" s="158"/>
      <c r="M866" s="158"/>
      <c r="N866" s="158"/>
      <c r="O866" s="158"/>
      <c r="P866" s="158"/>
      <c r="Q866" s="158"/>
      <c r="R866" s="158"/>
      <c r="S866" s="158"/>
      <c r="T866" s="158"/>
      <c r="U866" s="158"/>
      <c r="V866" s="158"/>
      <c r="W866" s="158"/>
      <c r="X866" s="158"/>
      <c r="Y866" s="158"/>
      <c r="Z866" s="158"/>
    </row>
    <row r="867" spans="1:26" ht="12" customHeight="1">
      <c r="A867" s="147"/>
      <c r="B867" s="158"/>
      <c r="C867" s="158"/>
      <c r="D867" s="158"/>
      <c r="E867" s="158"/>
      <c r="F867" s="158"/>
      <c r="G867" s="158"/>
      <c r="H867" s="158"/>
      <c r="I867" s="158"/>
      <c r="J867" s="158"/>
      <c r="K867" s="158"/>
      <c r="L867" s="158"/>
      <c r="M867" s="158"/>
      <c r="N867" s="158"/>
      <c r="O867" s="158"/>
      <c r="P867" s="158"/>
      <c r="Q867" s="158"/>
      <c r="R867" s="158"/>
      <c r="S867" s="158"/>
      <c r="T867" s="158"/>
      <c r="U867" s="158"/>
      <c r="V867" s="158"/>
      <c r="W867" s="158"/>
      <c r="X867" s="158"/>
      <c r="Y867" s="158"/>
      <c r="Z867" s="158"/>
    </row>
    <row r="868" spans="1:26" ht="12" customHeight="1">
      <c r="A868" s="147"/>
      <c r="B868" s="158"/>
      <c r="C868" s="158"/>
      <c r="D868" s="158"/>
      <c r="E868" s="158"/>
      <c r="F868" s="158"/>
      <c r="G868" s="158"/>
      <c r="H868" s="158"/>
      <c r="I868" s="158"/>
      <c r="J868" s="158"/>
      <c r="K868" s="158"/>
      <c r="L868" s="158"/>
      <c r="M868" s="158"/>
      <c r="N868" s="158"/>
      <c r="O868" s="158"/>
      <c r="P868" s="158"/>
      <c r="Q868" s="158"/>
      <c r="R868" s="158"/>
      <c r="S868" s="158"/>
      <c r="T868" s="158"/>
      <c r="U868" s="158"/>
      <c r="V868" s="158"/>
      <c r="W868" s="158"/>
      <c r="X868" s="158"/>
      <c r="Y868" s="158"/>
      <c r="Z868" s="158"/>
    </row>
    <row r="869" spans="1:26" ht="12" customHeight="1">
      <c r="A869" s="147"/>
      <c r="B869" s="158"/>
      <c r="C869" s="158"/>
      <c r="D869" s="158"/>
      <c r="E869" s="158"/>
      <c r="F869" s="158"/>
      <c r="G869" s="158"/>
      <c r="H869" s="158"/>
      <c r="I869" s="158"/>
      <c r="J869" s="158"/>
      <c r="K869" s="158"/>
      <c r="L869" s="158"/>
      <c r="M869" s="158"/>
      <c r="N869" s="158"/>
      <c r="O869" s="158"/>
      <c r="P869" s="158"/>
      <c r="Q869" s="158"/>
      <c r="R869" s="158"/>
      <c r="S869" s="158"/>
      <c r="T869" s="158"/>
      <c r="U869" s="158"/>
      <c r="V869" s="158"/>
      <c r="W869" s="158"/>
      <c r="X869" s="158"/>
      <c r="Y869" s="158"/>
      <c r="Z869" s="158"/>
    </row>
    <row r="870" spans="1:26" ht="12" customHeight="1">
      <c r="A870" s="147"/>
      <c r="B870" s="158"/>
      <c r="C870" s="158"/>
      <c r="D870" s="158"/>
      <c r="E870" s="158"/>
      <c r="F870" s="158"/>
      <c r="G870" s="158"/>
      <c r="H870" s="158"/>
      <c r="I870" s="158"/>
      <c r="J870" s="158"/>
      <c r="K870" s="158"/>
      <c r="L870" s="158"/>
      <c r="M870" s="158"/>
      <c r="N870" s="158"/>
      <c r="O870" s="158"/>
      <c r="P870" s="158"/>
      <c r="Q870" s="158"/>
      <c r="R870" s="158"/>
      <c r="S870" s="158"/>
      <c r="T870" s="158"/>
      <c r="U870" s="158"/>
      <c r="V870" s="158"/>
      <c r="W870" s="158"/>
      <c r="X870" s="158"/>
      <c r="Y870" s="158"/>
      <c r="Z870" s="158"/>
    </row>
    <row r="871" spans="1:26" ht="12" customHeight="1">
      <c r="A871" s="147"/>
      <c r="B871" s="158"/>
      <c r="C871" s="158"/>
      <c r="D871" s="158"/>
      <c r="E871" s="158"/>
      <c r="F871" s="158"/>
      <c r="G871" s="158"/>
      <c r="H871" s="158"/>
      <c r="I871" s="158"/>
      <c r="J871" s="158"/>
      <c r="K871" s="158"/>
      <c r="L871" s="158"/>
      <c r="M871" s="158"/>
      <c r="N871" s="158"/>
      <c r="O871" s="158"/>
      <c r="P871" s="158"/>
      <c r="Q871" s="158"/>
      <c r="R871" s="158"/>
      <c r="S871" s="158"/>
      <c r="T871" s="158"/>
      <c r="U871" s="158"/>
      <c r="V871" s="158"/>
      <c r="W871" s="158"/>
      <c r="X871" s="158"/>
      <c r="Y871" s="158"/>
      <c r="Z871" s="158"/>
    </row>
    <row r="872" spans="1:26" ht="12" customHeight="1">
      <c r="A872" s="147"/>
      <c r="B872" s="158"/>
      <c r="C872" s="158"/>
      <c r="D872" s="158"/>
      <c r="E872" s="158"/>
      <c r="F872" s="158"/>
      <c r="G872" s="158"/>
      <c r="H872" s="158"/>
      <c r="I872" s="158"/>
      <c r="J872" s="158"/>
      <c r="K872" s="158"/>
      <c r="L872" s="158"/>
      <c r="M872" s="158"/>
      <c r="N872" s="158"/>
      <c r="O872" s="158"/>
      <c r="P872" s="158"/>
      <c r="Q872" s="158"/>
      <c r="R872" s="158"/>
      <c r="S872" s="158"/>
      <c r="T872" s="158"/>
      <c r="U872" s="158"/>
      <c r="V872" s="158"/>
      <c r="W872" s="158"/>
      <c r="X872" s="158"/>
      <c r="Y872" s="158"/>
      <c r="Z872" s="158"/>
    </row>
    <row r="873" spans="1:26" ht="12" customHeight="1">
      <c r="A873" s="147"/>
      <c r="B873" s="158"/>
      <c r="C873" s="158"/>
      <c r="D873" s="158"/>
      <c r="E873" s="158"/>
      <c r="F873" s="158"/>
      <c r="G873" s="158"/>
      <c r="H873" s="158"/>
      <c r="I873" s="158"/>
      <c r="J873" s="158"/>
      <c r="K873" s="158"/>
      <c r="L873" s="158"/>
      <c r="M873" s="158"/>
      <c r="N873" s="158"/>
      <c r="O873" s="158"/>
      <c r="P873" s="158"/>
      <c r="Q873" s="158"/>
      <c r="R873" s="158"/>
      <c r="S873" s="158"/>
      <c r="T873" s="158"/>
      <c r="U873" s="158"/>
      <c r="V873" s="158"/>
      <c r="W873" s="158"/>
      <c r="X873" s="158"/>
      <c r="Y873" s="158"/>
      <c r="Z873" s="158"/>
    </row>
    <row r="874" spans="1:26" ht="12" customHeight="1">
      <c r="A874" s="147"/>
      <c r="B874" s="158"/>
      <c r="C874" s="158"/>
      <c r="D874" s="158"/>
      <c r="E874" s="158"/>
      <c r="F874" s="158"/>
      <c r="G874" s="158"/>
      <c r="H874" s="158"/>
      <c r="I874" s="158"/>
      <c r="J874" s="158"/>
      <c r="K874" s="158"/>
      <c r="L874" s="158"/>
      <c r="M874" s="158"/>
      <c r="N874" s="158"/>
      <c r="O874" s="158"/>
      <c r="P874" s="158"/>
      <c r="Q874" s="158"/>
      <c r="R874" s="158"/>
      <c r="S874" s="158"/>
      <c r="T874" s="158"/>
      <c r="U874" s="158"/>
      <c r="V874" s="158"/>
      <c r="W874" s="158"/>
      <c r="X874" s="158"/>
      <c r="Y874" s="158"/>
      <c r="Z874" s="158"/>
    </row>
    <row r="875" spans="1:26" ht="12" customHeight="1">
      <c r="A875" s="147"/>
      <c r="B875" s="158"/>
      <c r="C875" s="158"/>
      <c r="D875" s="158"/>
      <c r="E875" s="158"/>
      <c r="F875" s="158"/>
      <c r="G875" s="158"/>
      <c r="H875" s="158"/>
      <c r="I875" s="158"/>
      <c r="J875" s="158"/>
      <c r="K875" s="158"/>
      <c r="L875" s="158"/>
      <c r="M875" s="158"/>
      <c r="N875" s="158"/>
      <c r="O875" s="158"/>
      <c r="P875" s="158"/>
      <c r="Q875" s="158"/>
      <c r="R875" s="158"/>
      <c r="S875" s="158"/>
      <c r="T875" s="158"/>
      <c r="U875" s="158"/>
      <c r="V875" s="158"/>
      <c r="W875" s="158"/>
      <c r="X875" s="158"/>
      <c r="Y875" s="158"/>
      <c r="Z875" s="158"/>
    </row>
    <row r="876" spans="1:26" ht="12" customHeight="1">
      <c r="A876" s="147"/>
      <c r="B876" s="158"/>
      <c r="C876" s="158"/>
      <c r="D876" s="158"/>
      <c r="E876" s="158"/>
      <c r="F876" s="158"/>
      <c r="G876" s="158"/>
      <c r="H876" s="158"/>
      <c r="I876" s="158"/>
      <c r="J876" s="158"/>
      <c r="K876" s="158"/>
      <c r="L876" s="158"/>
      <c r="M876" s="158"/>
      <c r="N876" s="158"/>
      <c r="O876" s="158"/>
      <c r="P876" s="158"/>
      <c r="Q876" s="158"/>
      <c r="R876" s="158"/>
      <c r="S876" s="158"/>
      <c r="T876" s="158"/>
      <c r="U876" s="158"/>
      <c r="V876" s="158"/>
      <c r="W876" s="158"/>
      <c r="X876" s="158"/>
      <c r="Y876" s="158"/>
      <c r="Z876" s="158"/>
    </row>
    <row r="877" spans="1:26" ht="12" customHeight="1">
      <c r="A877" s="147"/>
      <c r="B877" s="158"/>
      <c r="C877" s="158"/>
      <c r="D877" s="158"/>
      <c r="E877" s="158"/>
      <c r="F877" s="158"/>
      <c r="G877" s="158"/>
      <c r="H877" s="158"/>
      <c r="I877" s="158"/>
      <c r="J877" s="158"/>
      <c r="K877" s="158"/>
      <c r="L877" s="158"/>
      <c r="M877" s="158"/>
      <c r="N877" s="158"/>
      <c r="O877" s="158"/>
      <c r="P877" s="158"/>
      <c r="Q877" s="158"/>
      <c r="R877" s="158"/>
      <c r="S877" s="158"/>
      <c r="T877" s="158"/>
      <c r="U877" s="158"/>
      <c r="V877" s="158"/>
      <c r="W877" s="158"/>
      <c r="X877" s="158"/>
      <c r="Y877" s="158"/>
      <c r="Z877" s="158"/>
    </row>
    <row r="878" spans="1:26" ht="12" customHeight="1">
      <c r="A878" s="147"/>
      <c r="B878" s="158"/>
      <c r="C878" s="158"/>
      <c r="D878" s="158"/>
      <c r="E878" s="158"/>
      <c r="F878" s="158"/>
      <c r="G878" s="158"/>
      <c r="H878" s="158"/>
      <c r="I878" s="158"/>
      <c r="J878" s="158"/>
      <c r="K878" s="158"/>
      <c r="L878" s="158"/>
      <c r="M878" s="158"/>
      <c r="N878" s="158"/>
      <c r="O878" s="158"/>
      <c r="P878" s="158"/>
      <c r="Q878" s="158"/>
      <c r="R878" s="158"/>
      <c r="S878" s="158"/>
      <c r="T878" s="158"/>
      <c r="U878" s="158"/>
      <c r="V878" s="158"/>
      <c r="W878" s="158"/>
      <c r="X878" s="158"/>
      <c r="Y878" s="158"/>
      <c r="Z878" s="158"/>
    </row>
    <row r="879" spans="1:26" ht="12" customHeight="1">
      <c r="A879" s="147"/>
      <c r="B879" s="158"/>
      <c r="C879" s="158"/>
      <c r="D879" s="158"/>
      <c r="E879" s="158"/>
      <c r="F879" s="158"/>
      <c r="G879" s="158"/>
      <c r="H879" s="158"/>
      <c r="I879" s="158"/>
      <c r="J879" s="158"/>
      <c r="K879" s="158"/>
      <c r="L879" s="158"/>
      <c r="M879" s="158"/>
      <c r="N879" s="158"/>
      <c r="O879" s="158"/>
      <c r="P879" s="158"/>
      <c r="Q879" s="158"/>
      <c r="R879" s="158"/>
      <c r="S879" s="158"/>
      <c r="T879" s="158"/>
      <c r="U879" s="158"/>
      <c r="V879" s="158"/>
      <c r="W879" s="158"/>
      <c r="X879" s="158"/>
      <c r="Y879" s="158"/>
      <c r="Z879" s="158"/>
    </row>
    <row r="880" spans="1:26" ht="12" customHeight="1">
      <c r="A880" s="147"/>
      <c r="B880" s="158"/>
      <c r="C880" s="158"/>
      <c r="D880" s="158"/>
      <c r="E880" s="158"/>
      <c r="F880" s="158"/>
      <c r="G880" s="158"/>
      <c r="H880" s="158"/>
      <c r="I880" s="158"/>
      <c r="J880" s="158"/>
      <c r="K880" s="158"/>
      <c r="L880" s="158"/>
      <c r="M880" s="158"/>
      <c r="N880" s="158"/>
      <c r="O880" s="158"/>
      <c r="P880" s="158"/>
      <c r="Q880" s="158"/>
      <c r="R880" s="158"/>
      <c r="S880" s="158"/>
      <c r="T880" s="158"/>
      <c r="U880" s="158"/>
      <c r="V880" s="158"/>
      <c r="W880" s="158"/>
      <c r="X880" s="158"/>
      <c r="Y880" s="158"/>
      <c r="Z880" s="158"/>
    </row>
    <row r="881" spans="1:26" ht="12" customHeight="1">
      <c r="A881" s="147"/>
      <c r="B881" s="158"/>
      <c r="C881" s="158"/>
      <c r="D881" s="158"/>
      <c r="E881" s="158"/>
      <c r="F881" s="158"/>
      <c r="G881" s="158"/>
      <c r="H881" s="158"/>
      <c r="I881" s="158"/>
      <c r="J881" s="158"/>
      <c r="K881" s="158"/>
      <c r="L881" s="158"/>
      <c r="M881" s="158"/>
      <c r="N881" s="158"/>
      <c r="O881" s="158"/>
      <c r="P881" s="158"/>
      <c r="Q881" s="158"/>
      <c r="R881" s="158"/>
      <c r="S881" s="158"/>
      <c r="T881" s="158"/>
      <c r="U881" s="158"/>
      <c r="V881" s="158"/>
      <c r="W881" s="158"/>
      <c r="X881" s="158"/>
      <c r="Y881" s="158"/>
      <c r="Z881" s="158"/>
    </row>
    <row r="882" spans="1:26" ht="12" customHeight="1">
      <c r="A882" s="147"/>
      <c r="B882" s="158"/>
      <c r="C882" s="158"/>
      <c r="D882" s="158"/>
      <c r="E882" s="158"/>
      <c r="F882" s="158"/>
      <c r="G882" s="158"/>
      <c r="H882" s="158"/>
      <c r="I882" s="158"/>
      <c r="J882" s="158"/>
      <c r="K882" s="158"/>
      <c r="L882" s="158"/>
      <c r="M882" s="158"/>
      <c r="N882" s="158"/>
      <c r="O882" s="158"/>
      <c r="P882" s="158"/>
      <c r="Q882" s="158"/>
      <c r="R882" s="158"/>
      <c r="S882" s="158"/>
      <c r="T882" s="158"/>
      <c r="U882" s="158"/>
      <c r="V882" s="158"/>
      <c r="W882" s="158"/>
      <c r="X882" s="158"/>
      <c r="Y882" s="158"/>
      <c r="Z882" s="158"/>
    </row>
    <row r="883" spans="1:26" ht="12" customHeight="1">
      <c r="A883" s="147"/>
      <c r="B883" s="158"/>
      <c r="C883" s="158"/>
      <c r="D883" s="158"/>
      <c r="E883" s="158"/>
      <c r="F883" s="158"/>
      <c r="G883" s="158"/>
      <c r="H883" s="158"/>
      <c r="I883" s="158"/>
      <c r="J883" s="158"/>
      <c r="K883" s="158"/>
      <c r="L883" s="158"/>
      <c r="M883" s="158"/>
      <c r="N883" s="158"/>
      <c r="O883" s="158"/>
      <c r="P883" s="158"/>
      <c r="Q883" s="158"/>
      <c r="R883" s="158"/>
      <c r="S883" s="158"/>
      <c r="T883" s="158"/>
      <c r="U883" s="158"/>
      <c r="V883" s="158"/>
      <c r="W883" s="158"/>
      <c r="X883" s="158"/>
      <c r="Y883" s="158"/>
      <c r="Z883" s="158"/>
    </row>
    <row r="884" spans="1:26" ht="12" customHeight="1">
      <c r="A884" s="147"/>
      <c r="B884" s="158"/>
      <c r="C884" s="158"/>
      <c r="D884" s="158"/>
      <c r="E884" s="158"/>
      <c r="F884" s="158"/>
      <c r="G884" s="158"/>
      <c r="H884" s="158"/>
      <c r="I884" s="158"/>
      <c r="J884" s="158"/>
      <c r="K884" s="158"/>
      <c r="L884" s="158"/>
      <c r="M884" s="158"/>
      <c r="N884" s="158"/>
      <c r="O884" s="158"/>
      <c r="P884" s="158"/>
      <c r="Q884" s="158"/>
      <c r="R884" s="158"/>
      <c r="S884" s="158"/>
      <c r="T884" s="158"/>
      <c r="U884" s="158"/>
      <c r="V884" s="158"/>
      <c r="W884" s="158"/>
      <c r="X884" s="158"/>
      <c r="Y884" s="158"/>
      <c r="Z884" s="158"/>
    </row>
    <row r="885" spans="1:26" ht="12" customHeight="1">
      <c r="A885" s="147"/>
      <c r="B885" s="158"/>
      <c r="C885" s="158"/>
      <c r="D885" s="158"/>
      <c r="E885" s="158"/>
      <c r="F885" s="158"/>
      <c r="G885" s="158"/>
      <c r="H885" s="158"/>
      <c r="I885" s="158"/>
      <c r="J885" s="158"/>
      <c r="K885" s="158"/>
      <c r="L885" s="158"/>
      <c r="M885" s="158"/>
      <c r="N885" s="158"/>
      <c r="O885" s="158"/>
      <c r="P885" s="158"/>
      <c r="Q885" s="158"/>
      <c r="R885" s="158"/>
      <c r="S885" s="158"/>
      <c r="T885" s="158"/>
      <c r="U885" s="158"/>
      <c r="V885" s="158"/>
      <c r="W885" s="158"/>
      <c r="X885" s="158"/>
      <c r="Y885" s="158"/>
      <c r="Z885" s="158"/>
    </row>
    <row r="886" spans="1:26" ht="12" customHeight="1">
      <c r="A886" s="147"/>
      <c r="B886" s="158"/>
      <c r="C886" s="158"/>
      <c r="D886" s="158"/>
      <c r="E886" s="158"/>
      <c r="F886" s="158"/>
      <c r="G886" s="158"/>
      <c r="H886" s="158"/>
      <c r="I886" s="158"/>
      <c r="J886" s="158"/>
      <c r="K886" s="158"/>
      <c r="L886" s="158"/>
      <c r="M886" s="158"/>
      <c r="N886" s="158"/>
      <c r="O886" s="158"/>
      <c r="P886" s="158"/>
      <c r="Q886" s="158"/>
      <c r="R886" s="158"/>
      <c r="S886" s="158"/>
      <c r="T886" s="158"/>
      <c r="U886" s="158"/>
      <c r="V886" s="158"/>
      <c r="W886" s="158"/>
      <c r="X886" s="158"/>
      <c r="Y886" s="158"/>
      <c r="Z886" s="158"/>
    </row>
    <row r="887" spans="1:26" ht="12" customHeight="1">
      <c r="A887" s="147"/>
      <c r="B887" s="158"/>
      <c r="C887" s="158"/>
      <c r="D887" s="158"/>
      <c r="E887" s="158"/>
      <c r="F887" s="158"/>
      <c r="G887" s="158"/>
      <c r="H887" s="158"/>
      <c r="I887" s="158"/>
      <c r="J887" s="158"/>
      <c r="K887" s="158"/>
      <c r="L887" s="158"/>
      <c r="M887" s="158"/>
      <c r="N887" s="158"/>
      <c r="O887" s="158"/>
      <c r="P887" s="158"/>
      <c r="Q887" s="158"/>
      <c r="R887" s="158"/>
      <c r="S887" s="158"/>
      <c r="T887" s="158"/>
      <c r="U887" s="158"/>
      <c r="V887" s="158"/>
      <c r="W887" s="158"/>
      <c r="X887" s="158"/>
      <c r="Y887" s="158"/>
      <c r="Z887" s="158"/>
    </row>
    <row r="888" spans="1:26" ht="12" customHeight="1">
      <c r="A888" s="147"/>
      <c r="B888" s="158"/>
      <c r="C888" s="158"/>
      <c r="D888" s="158"/>
      <c r="E888" s="158"/>
      <c r="F888" s="158"/>
      <c r="G888" s="158"/>
      <c r="H888" s="158"/>
      <c r="I888" s="158"/>
      <c r="J888" s="158"/>
      <c r="K888" s="158"/>
      <c r="L888" s="158"/>
      <c r="M888" s="158"/>
      <c r="N888" s="158"/>
      <c r="O888" s="158"/>
      <c r="P888" s="158"/>
      <c r="Q888" s="158"/>
      <c r="R888" s="158"/>
      <c r="S888" s="158"/>
      <c r="T888" s="158"/>
      <c r="U888" s="158"/>
      <c r="V888" s="158"/>
      <c r="W888" s="158"/>
      <c r="X888" s="158"/>
      <c r="Y888" s="158"/>
      <c r="Z888" s="158"/>
    </row>
    <row r="889" spans="1:26" ht="12" customHeight="1">
      <c r="A889" s="147"/>
      <c r="B889" s="158"/>
      <c r="C889" s="158"/>
      <c r="D889" s="158"/>
      <c r="E889" s="158"/>
      <c r="F889" s="158"/>
      <c r="G889" s="158"/>
      <c r="H889" s="158"/>
      <c r="I889" s="158"/>
      <c r="J889" s="158"/>
      <c r="K889" s="158"/>
      <c r="L889" s="158"/>
      <c r="M889" s="158"/>
      <c r="N889" s="158"/>
      <c r="O889" s="158"/>
      <c r="P889" s="158"/>
      <c r="Q889" s="158"/>
      <c r="R889" s="158"/>
      <c r="S889" s="158"/>
      <c r="T889" s="158"/>
      <c r="U889" s="158"/>
      <c r="V889" s="158"/>
      <c r="W889" s="158"/>
      <c r="X889" s="158"/>
      <c r="Y889" s="158"/>
      <c r="Z889" s="158"/>
    </row>
    <row r="890" spans="1:26" ht="12" customHeight="1">
      <c r="A890" s="147"/>
      <c r="B890" s="158"/>
      <c r="C890" s="158"/>
      <c r="D890" s="158"/>
      <c r="E890" s="158"/>
      <c r="F890" s="158"/>
      <c r="G890" s="158"/>
      <c r="H890" s="158"/>
      <c r="I890" s="158"/>
      <c r="J890" s="158"/>
      <c r="K890" s="158"/>
      <c r="L890" s="158"/>
      <c r="M890" s="158"/>
      <c r="N890" s="158"/>
      <c r="O890" s="158"/>
      <c r="P890" s="158"/>
      <c r="Q890" s="158"/>
      <c r="R890" s="158"/>
      <c r="S890" s="158"/>
      <c r="T890" s="158"/>
      <c r="U890" s="158"/>
      <c r="V890" s="158"/>
      <c r="W890" s="158"/>
      <c r="X890" s="158"/>
      <c r="Y890" s="158"/>
      <c r="Z890" s="158"/>
    </row>
    <row r="891" spans="1:26" ht="12" customHeight="1">
      <c r="A891" s="147"/>
      <c r="B891" s="158"/>
      <c r="C891" s="158"/>
      <c r="D891" s="158"/>
      <c r="E891" s="158"/>
      <c r="F891" s="158"/>
      <c r="G891" s="158"/>
      <c r="H891" s="158"/>
      <c r="I891" s="158"/>
      <c r="J891" s="158"/>
      <c r="K891" s="158"/>
      <c r="L891" s="158"/>
      <c r="M891" s="158"/>
      <c r="N891" s="158"/>
      <c r="O891" s="158"/>
      <c r="P891" s="158"/>
      <c r="Q891" s="158"/>
      <c r="R891" s="158"/>
      <c r="S891" s="158"/>
      <c r="T891" s="158"/>
      <c r="U891" s="158"/>
      <c r="V891" s="158"/>
      <c r="W891" s="158"/>
      <c r="X891" s="158"/>
      <c r="Y891" s="158"/>
      <c r="Z891" s="158"/>
    </row>
    <row r="892" spans="1:26" ht="12" customHeight="1">
      <c r="A892" s="147"/>
      <c r="B892" s="158"/>
      <c r="C892" s="158"/>
      <c r="D892" s="158"/>
      <c r="E892" s="158"/>
      <c r="F892" s="158"/>
      <c r="G892" s="158"/>
      <c r="H892" s="158"/>
      <c r="I892" s="158"/>
      <c r="J892" s="158"/>
      <c r="K892" s="158"/>
      <c r="L892" s="158"/>
      <c r="M892" s="158"/>
      <c r="N892" s="158"/>
      <c r="O892" s="158"/>
      <c r="P892" s="158"/>
      <c r="Q892" s="158"/>
      <c r="R892" s="158"/>
      <c r="S892" s="158"/>
      <c r="T892" s="158"/>
      <c r="U892" s="158"/>
      <c r="V892" s="158"/>
      <c r="W892" s="158"/>
      <c r="X892" s="158"/>
      <c r="Y892" s="158"/>
      <c r="Z892" s="158"/>
    </row>
    <row r="893" spans="1:26" ht="12" customHeight="1">
      <c r="A893" s="147"/>
      <c r="B893" s="158"/>
      <c r="C893" s="158"/>
      <c r="D893" s="158"/>
      <c r="E893" s="158"/>
      <c r="F893" s="158"/>
      <c r="G893" s="158"/>
      <c r="H893" s="158"/>
      <c r="I893" s="158"/>
      <c r="J893" s="158"/>
      <c r="K893" s="158"/>
      <c r="L893" s="158"/>
      <c r="M893" s="158"/>
      <c r="N893" s="158"/>
      <c r="O893" s="158"/>
      <c r="P893" s="158"/>
      <c r="Q893" s="158"/>
      <c r="R893" s="158"/>
      <c r="S893" s="158"/>
      <c r="T893" s="158"/>
      <c r="U893" s="158"/>
      <c r="V893" s="158"/>
      <c r="W893" s="158"/>
      <c r="X893" s="158"/>
      <c r="Y893" s="158"/>
      <c r="Z893" s="158"/>
    </row>
    <row r="894" spans="1:26" ht="12" customHeight="1">
      <c r="A894" s="147"/>
      <c r="B894" s="158"/>
      <c r="C894" s="158"/>
      <c r="D894" s="158"/>
      <c r="E894" s="158"/>
      <c r="F894" s="158"/>
      <c r="G894" s="158"/>
      <c r="H894" s="158"/>
      <c r="I894" s="158"/>
      <c r="J894" s="158"/>
      <c r="K894" s="158"/>
      <c r="L894" s="158"/>
      <c r="M894" s="158"/>
      <c r="N894" s="158"/>
      <c r="O894" s="158"/>
      <c r="P894" s="158"/>
      <c r="Q894" s="158"/>
      <c r="R894" s="158"/>
      <c r="S894" s="158"/>
      <c r="T894" s="158"/>
      <c r="U894" s="158"/>
      <c r="V894" s="158"/>
      <c r="W894" s="158"/>
      <c r="X894" s="158"/>
      <c r="Y894" s="158"/>
      <c r="Z894" s="158"/>
    </row>
    <row r="895" spans="1:26" ht="12" customHeight="1">
      <c r="A895" s="147"/>
      <c r="B895" s="158"/>
      <c r="C895" s="158"/>
      <c r="D895" s="158"/>
      <c r="E895" s="158"/>
      <c r="F895" s="158"/>
      <c r="G895" s="158"/>
      <c r="H895" s="158"/>
      <c r="I895" s="158"/>
      <c r="J895" s="158"/>
      <c r="K895" s="158"/>
      <c r="L895" s="158"/>
      <c r="M895" s="158"/>
      <c r="N895" s="158"/>
      <c r="O895" s="158"/>
      <c r="P895" s="158"/>
      <c r="Q895" s="158"/>
      <c r="R895" s="158"/>
      <c r="S895" s="158"/>
      <c r="T895" s="158"/>
      <c r="U895" s="158"/>
      <c r="V895" s="158"/>
      <c r="W895" s="158"/>
      <c r="X895" s="158"/>
      <c r="Y895" s="158"/>
      <c r="Z895" s="158"/>
    </row>
    <row r="896" spans="1:26" ht="12" customHeight="1">
      <c r="A896" s="147"/>
      <c r="B896" s="158"/>
      <c r="C896" s="158"/>
      <c r="D896" s="158"/>
      <c r="E896" s="158"/>
      <c r="F896" s="158"/>
      <c r="G896" s="158"/>
      <c r="H896" s="158"/>
      <c r="I896" s="158"/>
      <c r="J896" s="158"/>
      <c r="K896" s="158"/>
      <c r="L896" s="158"/>
      <c r="M896" s="158"/>
      <c r="N896" s="158"/>
      <c r="O896" s="158"/>
      <c r="P896" s="158"/>
      <c r="Q896" s="158"/>
      <c r="R896" s="158"/>
      <c r="S896" s="158"/>
      <c r="T896" s="158"/>
      <c r="U896" s="158"/>
      <c r="V896" s="158"/>
      <c r="W896" s="158"/>
      <c r="X896" s="158"/>
      <c r="Y896" s="158"/>
      <c r="Z896" s="158"/>
    </row>
    <row r="897" spans="1:26" ht="12" customHeight="1">
      <c r="A897" s="147"/>
      <c r="B897" s="158"/>
      <c r="C897" s="158"/>
      <c r="D897" s="158"/>
      <c r="E897" s="158"/>
      <c r="F897" s="158"/>
      <c r="G897" s="158"/>
      <c r="H897" s="158"/>
      <c r="I897" s="158"/>
      <c r="J897" s="158"/>
      <c r="K897" s="158"/>
      <c r="L897" s="158"/>
      <c r="M897" s="158"/>
      <c r="N897" s="158"/>
      <c r="O897" s="158"/>
      <c r="P897" s="158"/>
      <c r="Q897" s="158"/>
      <c r="R897" s="158"/>
      <c r="S897" s="158"/>
      <c r="T897" s="158"/>
      <c r="U897" s="158"/>
      <c r="V897" s="158"/>
      <c r="W897" s="158"/>
      <c r="X897" s="158"/>
      <c r="Y897" s="158"/>
      <c r="Z897" s="158"/>
    </row>
    <row r="898" spans="1:26" ht="12" customHeight="1">
      <c r="A898" s="147"/>
      <c r="B898" s="158"/>
      <c r="C898" s="158"/>
      <c r="D898" s="158"/>
      <c r="E898" s="158"/>
      <c r="F898" s="158"/>
      <c r="G898" s="158"/>
      <c r="H898" s="158"/>
      <c r="I898" s="158"/>
      <c r="J898" s="158"/>
      <c r="K898" s="158"/>
      <c r="L898" s="158"/>
      <c r="M898" s="158"/>
      <c r="N898" s="158"/>
      <c r="O898" s="158"/>
      <c r="P898" s="158"/>
      <c r="Q898" s="158"/>
      <c r="R898" s="158"/>
      <c r="S898" s="158"/>
      <c r="T898" s="158"/>
      <c r="U898" s="158"/>
      <c r="V898" s="158"/>
      <c r="W898" s="158"/>
      <c r="X898" s="158"/>
      <c r="Y898" s="158"/>
      <c r="Z898" s="158"/>
    </row>
    <row r="899" spans="1:26" ht="12" customHeight="1">
      <c r="A899" s="147"/>
      <c r="B899" s="158"/>
      <c r="C899" s="158"/>
      <c r="D899" s="158"/>
      <c r="E899" s="158"/>
      <c r="F899" s="158"/>
      <c r="G899" s="158"/>
      <c r="H899" s="158"/>
      <c r="I899" s="158"/>
      <c r="J899" s="158"/>
      <c r="K899" s="158"/>
      <c r="L899" s="158"/>
      <c r="M899" s="158"/>
      <c r="N899" s="158"/>
      <c r="O899" s="158"/>
      <c r="P899" s="158"/>
      <c r="Q899" s="158"/>
      <c r="R899" s="158"/>
      <c r="S899" s="158"/>
      <c r="T899" s="158"/>
      <c r="U899" s="158"/>
      <c r="V899" s="158"/>
      <c r="W899" s="158"/>
      <c r="X899" s="158"/>
      <c r="Y899" s="158"/>
      <c r="Z899" s="158"/>
    </row>
    <row r="900" spans="1:26" ht="12" customHeight="1">
      <c r="A900" s="147"/>
      <c r="B900" s="158"/>
      <c r="C900" s="158"/>
      <c r="D900" s="158"/>
      <c r="E900" s="158"/>
      <c r="F900" s="158"/>
      <c r="G900" s="158"/>
      <c r="H900" s="158"/>
      <c r="I900" s="158"/>
      <c r="J900" s="158"/>
      <c r="K900" s="158"/>
      <c r="L900" s="158"/>
      <c r="M900" s="158"/>
      <c r="N900" s="158"/>
      <c r="O900" s="158"/>
      <c r="P900" s="158"/>
      <c r="Q900" s="158"/>
      <c r="R900" s="158"/>
      <c r="S900" s="158"/>
      <c r="T900" s="158"/>
      <c r="U900" s="158"/>
      <c r="V900" s="158"/>
      <c r="W900" s="158"/>
      <c r="X900" s="158"/>
      <c r="Y900" s="158"/>
      <c r="Z900" s="158"/>
    </row>
    <row r="901" spans="1:26" ht="12" customHeight="1">
      <c r="A901" s="147"/>
      <c r="B901" s="158"/>
      <c r="C901" s="158"/>
      <c r="D901" s="158"/>
      <c r="E901" s="158"/>
      <c r="F901" s="158"/>
      <c r="G901" s="158"/>
      <c r="H901" s="158"/>
      <c r="I901" s="158"/>
      <c r="J901" s="158"/>
      <c r="K901" s="158"/>
      <c r="L901" s="158"/>
      <c r="M901" s="158"/>
      <c r="N901" s="158"/>
      <c r="O901" s="158"/>
      <c r="P901" s="158"/>
      <c r="Q901" s="158"/>
      <c r="R901" s="158"/>
      <c r="S901" s="158"/>
      <c r="T901" s="158"/>
      <c r="U901" s="158"/>
      <c r="V901" s="158"/>
      <c r="W901" s="158"/>
      <c r="X901" s="158"/>
      <c r="Y901" s="158"/>
      <c r="Z901" s="158"/>
    </row>
    <row r="902" spans="1:26" ht="12" customHeight="1">
      <c r="A902" s="147"/>
      <c r="B902" s="158"/>
      <c r="C902" s="158"/>
      <c r="D902" s="158"/>
      <c r="E902" s="158"/>
      <c r="F902" s="158"/>
      <c r="G902" s="158"/>
      <c r="H902" s="158"/>
      <c r="I902" s="158"/>
      <c r="J902" s="158"/>
      <c r="K902" s="158"/>
      <c r="L902" s="158"/>
      <c r="M902" s="158"/>
      <c r="N902" s="158"/>
      <c r="O902" s="158"/>
      <c r="P902" s="158"/>
      <c r="Q902" s="158"/>
      <c r="R902" s="158"/>
      <c r="S902" s="158"/>
      <c r="T902" s="158"/>
      <c r="U902" s="158"/>
      <c r="V902" s="158"/>
      <c r="W902" s="158"/>
      <c r="X902" s="158"/>
      <c r="Y902" s="158"/>
      <c r="Z902" s="158"/>
    </row>
    <row r="903" spans="1:26" ht="12" customHeight="1">
      <c r="A903" s="147"/>
      <c r="B903" s="158"/>
      <c r="C903" s="158"/>
      <c r="D903" s="158"/>
      <c r="E903" s="158"/>
      <c r="F903" s="158"/>
      <c r="G903" s="158"/>
      <c r="H903" s="158"/>
      <c r="I903" s="158"/>
      <c r="J903" s="158"/>
      <c r="K903" s="158"/>
      <c r="L903" s="158"/>
      <c r="M903" s="158"/>
      <c r="N903" s="158"/>
      <c r="O903" s="158"/>
      <c r="P903" s="158"/>
      <c r="Q903" s="158"/>
      <c r="R903" s="158"/>
      <c r="S903" s="158"/>
      <c r="T903" s="158"/>
      <c r="U903" s="158"/>
      <c r="V903" s="158"/>
      <c r="W903" s="158"/>
      <c r="X903" s="158"/>
      <c r="Y903" s="158"/>
      <c r="Z903" s="158"/>
    </row>
    <row r="904" spans="1:26" ht="12" customHeight="1">
      <c r="A904" s="147"/>
      <c r="B904" s="158"/>
      <c r="C904" s="158"/>
      <c r="D904" s="158"/>
      <c r="E904" s="158"/>
      <c r="F904" s="158"/>
      <c r="G904" s="158"/>
      <c r="H904" s="158"/>
      <c r="I904" s="158"/>
      <c r="J904" s="158"/>
      <c r="K904" s="158"/>
      <c r="L904" s="158"/>
      <c r="M904" s="158"/>
      <c r="N904" s="158"/>
      <c r="O904" s="158"/>
      <c r="P904" s="158"/>
      <c r="Q904" s="158"/>
      <c r="R904" s="158"/>
      <c r="S904" s="158"/>
      <c r="T904" s="158"/>
      <c r="U904" s="158"/>
      <c r="V904" s="158"/>
      <c r="W904" s="158"/>
      <c r="X904" s="158"/>
      <c r="Y904" s="158"/>
      <c r="Z904" s="158"/>
    </row>
    <row r="905" spans="1:26" ht="12" customHeight="1">
      <c r="A905" s="147"/>
      <c r="B905" s="158"/>
      <c r="C905" s="158"/>
      <c r="D905" s="158"/>
      <c r="E905" s="158"/>
      <c r="F905" s="158"/>
      <c r="G905" s="158"/>
      <c r="H905" s="158"/>
      <c r="I905" s="158"/>
      <c r="J905" s="158"/>
      <c r="K905" s="158"/>
      <c r="L905" s="158"/>
      <c r="M905" s="158"/>
      <c r="N905" s="158"/>
      <c r="O905" s="158"/>
      <c r="P905" s="158"/>
      <c r="Q905" s="158"/>
      <c r="R905" s="158"/>
      <c r="S905" s="158"/>
      <c r="T905" s="158"/>
      <c r="U905" s="158"/>
      <c r="V905" s="158"/>
      <c r="W905" s="158"/>
      <c r="X905" s="158"/>
      <c r="Y905" s="158"/>
      <c r="Z905" s="158"/>
    </row>
    <row r="906" spans="1:26" ht="12" customHeight="1">
      <c r="A906" s="147"/>
      <c r="B906" s="158"/>
      <c r="C906" s="158"/>
      <c r="D906" s="158"/>
      <c r="E906" s="158"/>
      <c r="F906" s="158"/>
      <c r="G906" s="158"/>
      <c r="H906" s="158"/>
      <c r="I906" s="158"/>
      <c r="J906" s="158"/>
      <c r="K906" s="158"/>
      <c r="L906" s="158"/>
      <c r="M906" s="158"/>
      <c r="N906" s="158"/>
      <c r="O906" s="158"/>
      <c r="P906" s="158"/>
      <c r="Q906" s="158"/>
      <c r="R906" s="158"/>
      <c r="S906" s="158"/>
      <c r="T906" s="158"/>
      <c r="U906" s="158"/>
      <c r="V906" s="158"/>
      <c r="W906" s="158"/>
      <c r="X906" s="158"/>
      <c r="Y906" s="158"/>
      <c r="Z906" s="158"/>
    </row>
    <row r="907" spans="1:26" ht="12" customHeight="1">
      <c r="A907" s="147"/>
      <c r="B907" s="158"/>
      <c r="C907" s="158"/>
      <c r="D907" s="158"/>
      <c r="E907" s="158"/>
      <c r="F907" s="158"/>
      <c r="G907" s="158"/>
      <c r="H907" s="158"/>
      <c r="I907" s="158"/>
      <c r="J907" s="158"/>
      <c r="K907" s="158"/>
      <c r="L907" s="158"/>
      <c r="M907" s="158"/>
      <c r="N907" s="158"/>
      <c r="O907" s="158"/>
      <c r="P907" s="158"/>
      <c r="Q907" s="158"/>
      <c r="R907" s="158"/>
      <c r="S907" s="158"/>
      <c r="T907" s="158"/>
      <c r="U907" s="158"/>
      <c r="V907" s="158"/>
      <c r="W907" s="158"/>
      <c r="X907" s="158"/>
      <c r="Y907" s="158"/>
      <c r="Z907" s="158"/>
    </row>
    <row r="908" spans="1:26" ht="12" customHeight="1">
      <c r="A908" s="147"/>
      <c r="B908" s="158"/>
      <c r="C908" s="158"/>
      <c r="D908" s="158"/>
      <c r="E908" s="158"/>
      <c r="F908" s="158"/>
      <c r="G908" s="158"/>
      <c r="H908" s="158"/>
      <c r="I908" s="158"/>
      <c r="J908" s="158"/>
      <c r="K908" s="158"/>
      <c r="L908" s="158"/>
      <c r="M908" s="158"/>
      <c r="N908" s="158"/>
      <c r="O908" s="158"/>
      <c r="P908" s="158"/>
      <c r="Q908" s="158"/>
      <c r="R908" s="158"/>
      <c r="S908" s="158"/>
      <c r="T908" s="158"/>
      <c r="U908" s="158"/>
      <c r="V908" s="158"/>
      <c r="W908" s="158"/>
      <c r="X908" s="158"/>
      <c r="Y908" s="158"/>
      <c r="Z908" s="158"/>
    </row>
    <row r="909" spans="1:26" ht="12" customHeight="1">
      <c r="A909" s="147"/>
      <c r="B909" s="158"/>
      <c r="C909" s="158"/>
      <c r="D909" s="158"/>
      <c r="E909" s="158"/>
      <c r="F909" s="158"/>
      <c r="G909" s="158"/>
      <c r="H909" s="158"/>
      <c r="I909" s="158"/>
      <c r="J909" s="158"/>
      <c r="K909" s="158"/>
      <c r="L909" s="158"/>
      <c r="M909" s="158"/>
      <c r="N909" s="158"/>
      <c r="O909" s="158"/>
      <c r="P909" s="158"/>
      <c r="Q909" s="158"/>
      <c r="R909" s="158"/>
      <c r="S909" s="158"/>
      <c r="T909" s="158"/>
      <c r="U909" s="158"/>
      <c r="V909" s="158"/>
      <c r="W909" s="158"/>
      <c r="X909" s="158"/>
      <c r="Y909" s="158"/>
      <c r="Z909" s="158"/>
    </row>
    <row r="910" spans="1:26" ht="12" customHeight="1">
      <c r="A910" s="147"/>
      <c r="B910" s="158"/>
      <c r="C910" s="158"/>
      <c r="D910" s="158"/>
      <c r="E910" s="158"/>
      <c r="F910" s="158"/>
      <c r="G910" s="158"/>
      <c r="H910" s="158"/>
      <c r="I910" s="158"/>
      <c r="J910" s="158"/>
      <c r="K910" s="158"/>
      <c r="L910" s="158"/>
      <c r="M910" s="158"/>
      <c r="N910" s="158"/>
      <c r="O910" s="158"/>
      <c r="P910" s="158"/>
      <c r="Q910" s="158"/>
      <c r="R910" s="158"/>
      <c r="S910" s="158"/>
      <c r="T910" s="158"/>
      <c r="U910" s="158"/>
      <c r="V910" s="158"/>
      <c r="W910" s="158"/>
      <c r="X910" s="158"/>
      <c r="Y910" s="158"/>
      <c r="Z910" s="158"/>
    </row>
    <row r="911" spans="1:26" ht="12" customHeight="1">
      <c r="A911" s="147"/>
      <c r="B911" s="158"/>
      <c r="C911" s="158"/>
      <c r="D911" s="158"/>
      <c r="E911" s="158"/>
      <c r="F911" s="158"/>
      <c r="G911" s="158"/>
      <c r="H911" s="158"/>
      <c r="I911" s="158"/>
      <c r="J911" s="158"/>
      <c r="K911" s="158"/>
      <c r="L911" s="158"/>
      <c r="M911" s="158"/>
      <c r="N911" s="158"/>
      <c r="O911" s="158"/>
      <c r="P911" s="158"/>
      <c r="Q911" s="158"/>
      <c r="R911" s="158"/>
      <c r="S911" s="158"/>
      <c r="T911" s="158"/>
      <c r="U911" s="158"/>
      <c r="V911" s="158"/>
      <c r="W911" s="158"/>
      <c r="X911" s="158"/>
      <c r="Y911" s="158"/>
      <c r="Z911" s="158"/>
    </row>
    <row r="912" spans="1:26" ht="12" customHeight="1">
      <c r="A912" s="147"/>
      <c r="B912" s="158"/>
      <c r="C912" s="158"/>
      <c r="D912" s="158"/>
      <c r="E912" s="158"/>
      <c r="F912" s="158"/>
      <c r="G912" s="158"/>
      <c r="H912" s="158"/>
      <c r="I912" s="158"/>
      <c r="J912" s="158"/>
      <c r="K912" s="158"/>
      <c r="L912" s="158"/>
      <c r="M912" s="158"/>
      <c r="N912" s="158"/>
      <c r="O912" s="158"/>
      <c r="P912" s="158"/>
      <c r="Q912" s="158"/>
      <c r="R912" s="158"/>
      <c r="S912" s="158"/>
      <c r="T912" s="158"/>
      <c r="U912" s="158"/>
      <c r="V912" s="158"/>
      <c r="W912" s="158"/>
      <c r="X912" s="158"/>
      <c r="Y912" s="158"/>
      <c r="Z912" s="158"/>
    </row>
    <row r="913" spans="1:26" ht="12" customHeight="1">
      <c r="A913" s="147"/>
      <c r="B913" s="158"/>
      <c r="C913" s="158"/>
      <c r="D913" s="158"/>
      <c r="E913" s="158"/>
      <c r="F913" s="158"/>
      <c r="G913" s="158"/>
      <c r="H913" s="158"/>
      <c r="I913" s="158"/>
      <c r="J913" s="158"/>
      <c r="K913" s="158"/>
      <c r="L913" s="158"/>
      <c r="M913" s="158"/>
      <c r="N913" s="158"/>
      <c r="O913" s="158"/>
      <c r="P913" s="158"/>
      <c r="Q913" s="158"/>
      <c r="R913" s="158"/>
      <c r="S913" s="158"/>
      <c r="T913" s="158"/>
      <c r="U913" s="158"/>
      <c r="V913" s="158"/>
      <c r="W913" s="158"/>
      <c r="X913" s="158"/>
      <c r="Y913" s="158"/>
      <c r="Z913" s="158"/>
    </row>
    <row r="914" spans="1:26" ht="12" customHeight="1">
      <c r="A914" s="147"/>
      <c r="B914" s="158"/>
      <c r="C914" s="158"/>
      <c r="D914" s="158"/>
      <c r="E914" s="158"/>
      <c r="F914" s="158"/>
      <c r="G914" s="158"/>
      <c r="H914" s="158"/>
      <c r="I914" s="158"/>
      <c r="J914" s="158"/>
      <c r="K914" s="158"/>
      <c r="L914" s="158"/>
      <c r="M914" s="158"/>
      <c r="N914" s="158"/>
      <c r="O914" s="158"/>
      <c r="P914" s="158"/>
      <c r="Q914" s="158"/>
      <c r="R914" s="158"/>
      <c r="S914" s="158"/>
      <c r="T914" s="158"/>
      <c r="U914" s="158"/>
      <c r="V914" s="158"/>
      <c r="W914" s="158"/>
      <c r="X914" s="158"/>
      <c r="Y914" s="158"/>
      <c r="Z914" s="158"/>
    </row>
    <row r="915" spans="1:26" ht="12" customHeight="1">
      <c r="A915" s="147"/>
      <c r="B915" s="158"/>
      <c r="C915" s="158"/>
      <c r="D915" s="158"/>
      <c r="E915" s="158"/>
      <c r="F915" s="158"/>
      <c r="G915" s="158"/>
      <c r="H915" s="158"/>
      <c r="I915" s="158"/>
      <c r="J915" s="158"/>
      <c r="K915" s="158"/>
      <c r="L915" s="158"/>
      <c r="M915" s="158"/>
      <c r="N915" s="158"/>
      <c r="O915" s="158"/>
      <c r="P915" s="158"/>
      <c r="Q915" s="158"/>
      <c r="R915" s="158"/>
      <c r="S915" s="158"/>
      <c r="T915" s="158"/>
      <c r="U915" s="158"/>
      <c r="V915" s="158"/>
      <c r="W915" s="158"/>
      <c r="X915" s="158"/>
      <c r="Y915" s="158"/>
      <c r="Z915" s="158"/>
    </row>
    <row r="916" spans="1:26" ht="12" customHeight="1">
      <c r="A916" s="147"/>
      <c r="B916" s="158"/>
      <c r="C916" s="158"/>
      <c r="D916" s="158"/>
      <c r="E916" s="158"/>
      <c r="F916" s="158"/>
      <c r="G916" s="158"/>
      <c r="H916" s="158"/>
      <c r="I916" s="158"/>
      <c r="J916" s="158"/>
      <c r="K916" s="158"/>
      <c r="L916" s="158"/>
      <c r="M916" s="158"/>
      <c r="N916" s="158"/>
      <c r="O916" s="158"/>
      <c r="P916" s="158"/>
      <c r="Q916" s="158"/>
      <c r="R916" s="158"/>
      <c r="S916" s="158"/>
      <c r="T916" s="158"/>
      <c r="U916" s="158"/>
      <c r="V916" s="158"/>
      <c r="W916" s="158"/>
      <c r="X916" s="158"/>
      <c r="Y916" s="158"/>
      <c r="Z916" s="158"/>
    </row>
    <row r="917" spans="1:26" ht="12" customHeight="1">
      <c r="A917" s="147"/>
      <c r="B917" s="158"/>
      <c r="C917" s="158"/>
      <c r="D917" s="158"/>
      <c r="E917" s="158"/>
      <c r="F917" s="158"/>
      <c r="G917" s="158"/>
      <c r="H917" s="158"/>
      <c r="I917" s="158"/>
      <c r="J917" s="158"/>
      <c r="K917" s="158"/>
      <c r="L917" s="158"/>
      <c r="M917" s="158"/>
      <c r="N917" s="158"/>
      <c r="O917" s="158"/>
      <c r="P917" s="158"/>
      <c r="Q917" s="158"/>
      <c r="R917" s="158"/>
      <c r="S917" s="158"/>
      <c r="T917" s="158"/>
      <c r="U917" s="158"/>
      <c r="V917" s="158"/>
      <c r="W917" s="158"/>
      <c r="X917" s="158"/>
      <c r="Y917" s="158"/>
      <c r="Z917" s="158"/>
    </row>
    <row r="918" spans="1:26" ht="12" customHeight="1">
      <c r="A918" s="147"/>
      <c r="B918" s="158"/>
      <c r="C918" s="158"/>
      <c r="D918" s="158"/>
      <c r="E918" s="158"/>
      <c r="F918" s="158"/>
      <c r="G918" s="158"/>
      <c r="H918" s="158"/>
      <c r="I918" s="158"/>
      <c r="J918" s="158"/>
      <c r="K918" s="158"/>
      <c r="L918" s="158"/>
      <c r="M918" s="158"/>
      <c r="N918" s="158"/>
      <c r="O918" s="158"/>
      <c r="P918" s="158"/>
      <c r="Q918" s="158"/>
      <c r="R918" s="158"/>
      <c r="S918" s="158"/>
      <c r="T918" s="158"/>
      <c r="U918" s="158"/>
      <c r="V918" s="158"/>
      <c r="W918" s="158"/>
      <c r="X918" s="158"/>
      <c r="Y918" s="158"/>
      <c r="Z918" s="158"/>
    </row>
    <row r="919" spans="1:26" ht="12" customHeight="1">
      <c r="A919" s="147"/>
      <c r="B919" s="158"/>
      <c r="C919" s="158"/>
      <c r="D919" s="158"/>
      <c r="E919" s="158"/>
      <c r="F919" s="158"/>
      <c r="G919" s="158"/>
      <c r="H919" s="158"/>
      <c r="I919" s="158"/>
      <c r="J919" s="158"/>
      <c r="K919" s="158"/>
      <c r="L919" s="158"/>
      <c r="M919" s="158"/>
      <c r="N919" s="158"/>
      <c r="O919" s="158"/>
      <c r="P919" s="158"/>
      <c r="Q919" s="158"/>
      <c r="R919" s="158"/>
      <c r="S919" s="158"/>
      <c r="T919" s="158"/>
      <c r="U919" s="158"/>
      <c r="V919" s="158"/>
      <c r="W919" s="158"/>
      <c r="X919" s="158"/>
      <c r="Y919" s="158"/>
      <c r="Z919" s="158"/>
    </row>
    <row r="920" spans="1:26" ht="12" customHeight="1">
      <c r="A920" s="147"/>
      <c r="B920" s="158"/>
      <c r="C920" s="158"/>
      <c r="D920" s="158"/>
      <c r="E920" s="158"/>
      <c r="F920" s="158"/>
      <c r="G920" s="158"/>
      <c r="H920" s="158"/>
      <c r="I920" s="158"/>
      <c r="J920" s="158"/>
      <c r="K920" s="158"/>
      <c r="L920" s="158"/>
      <c r="M920" s="158"/>
      <c r="N920" s="158"/>
      <c r="O920" s="158"/>
      <c r="P920" s="158"/>
      <c r="Q920" s="158"/>
      <c r="R920" s="158"/>
      <c r="S920" s="158"/>
      <c r="T920" s="158"/>
      <c r="U920" s="158"/>
      <c r="V920" s="158"/>
      <c r="W920" s="158"/>
      <c r="X920" s="158"/>
      <c r="Y920" s="158"/>
      <c r="Z920" s="158"/>
    </row>
    <row r="921" spans="1:26" ht="12" customHeight="1">
      <c r="A921" s="147"/>
      <c r="B921" s="158"/>
      <c r="C921" s="158"/>
      <c r="D921" s="158"/>
      <c r="E921" s="158"/>
      <c r="F921" s="158"/>
      <c r="G921" s="158"/>
      <c r="H921" s="158"/>
      <c r="I921" s="158"/>
      <c r="J921" s="158"/>
      <c r="K921" s="158"/>
      <c r="L921" s="158"/>
      <c r="M921" s="158"/>
      <c r="N921" s="158"/>
      <c r="O921" s="158"/>
      <c r="P921" s="158"/>
      <c r="Q921" s="158"/>
      <c r="R921" s="158"/>
      <c r="S921" s="158"/>
      <c r="T921" s="158"/>
      <c r="U921" s="158"/>
      <c r="V921" s="158"/>
      <c r="W921" s="158"/>
      <c r="X921" s="158"/>
      <c r="Y921" s="158"/>
      <c r="Z921" s="158"/>
    </row>
    <row r="922" spans="1:26" ht="12" customHeight="1">
      <c r="A922" s="147"/>
      <c r="B922" s="158"/>
      <c r="C922" s="158"/>
      <c r="D922" s="158"/>
      <c r="E922" s="158"/>
      <c r="F922" s="158"/>
      <c r="G922" s="158"/>
      <c r="H922" s="158"/>
      <c r="I922" s="158"/>
      <c r="J922" s="158"/>
      <c r="K922" s="158"/>
      <c r="L922" s="158"/>
      <c r="M922" s="158"/>
      <c r="N922" s="158"/>
      <c r="O922" s="158"/>
      <c r="P922" s="158"/>
      <c r="Q922" s="158"/>
      <c r="R922" s="158"/>
      <c r="S922" s="158"/>
      <c r="T922" s="158"/>
      <c r="U922" s="158"/>
      <c r="V922" s="158"/>
      <c r="W922" s="158"/>
      <c r="X922" s="158"/>
      <c r="Y922" s="158"/>
      <c r="Z922" s="158"/>
    </row>
    <row r="923" spans="1:26" ht="12" customHeight="1">
      <c r="A923" s="147"/>
      <c r="B923" s="158"/>
      <c r="C923" s="158"/>
      <c r="D923" s="158"/>
      <c r="E923" s="158"/>
      <c r="F923" s="158"/>
      <c r="G923" s="158"/>
      <c r="H923" s="158"/>
      <c r="I923" s="158"/>
      <c r="J923" s="158"/>
      <c r="K923" s="158"/>
      <c r="L923" s="158"/>
      <c r="M923" s="158"/>
      <c r="N923" s="158"/>
      <c r="O923" s="158"/>
      <c r="P923" s="158"/>
      <c r="Q923" s="158"/>
      <c r="R923" s="158"/>
      <c r="S923" s="158"/>
      <c r="T923" s="158"/>
      <c r="U923" s="158"/>
      <c r="V923" s="158"/>
      <c r="W923" s="158"/>
      <c r="X923" s="158"/>
      <c r="Y923" s="158"/>
      <c r="Z923" s="158"/>
    </row>
    <row r="924" spans="1:26" ht="12" customHeight="1">
      <c r="A924" s="147"/>
      <c r="B924" s="158"/>
      <c r="C924" s="158"/>
      <c r="D924" s="158"/>
      <c r="E924" s="158"/>
      <c r="F924" s="158"/>
      <c r="G924" s="158"/>
      <c r="H924" s="158"/>
      <c r="I924" s="158"/>
      <c r="J924" s="158"/>
      <c r="K924" s="158"/>
      <c r="L924" s="158"/>
      <c r="M924" s="158"/>
      <c r="N924" s="158"/>
      <c r="O924" s="158"/>
      <c r="P924" s="158"/>
      <c r="Q924" s="158"/>
      <c r="R924" s="158"/>
      <c r="S924" s="158"/>
      <c r="T924" s="158"/>
      <c r="U924" s="158"/>
      <c r="V924" s="158"/>
      <c r="W924" s="158"/>
      <c r="X924" s="158"/>
      <c r="Y924" s="158"/>
      <c r="Z924" s="158"/>
    </row>
    <row r="925" spans="1:26" ht="12" customHeight="1">
      <c r="A925" s="147"/>
      <c r="B925" s="158"/>
      <c r="C925" s="158"/>
      <c r="D925" s="158"/>
      <c r="E925" s="158"/>
      <c r="F925" s="158"/>
      <c r="G925" s="158"/>
      <c r="H925" s="158"/>
      <c r="I925" s="158"/>
      <c r="J925" s="158"/>
      <c r="K925" s="158"/>
      <c r="L925" s="158"/>
      <c r="M925" s="158"/>
      <c r="N925" s="158"/>
      <c r="O925" s="158"/>
      <c r="P925" s="158"/>
      <c r="Q925" s="158"/>
      <c r="R925" s="158"/>
      <c r="S925" s="158"/>
      <c r="T925" s="158"/>
      <c r="U925" s="158"/>
      <c r="V925" s="158"/>
      <c r="W925" s="158"/>
      <c r="X925" s="158"/>
      <c r="Y925" s="158"/>
      <c r="Z925" s="158"/>
    </row>
    <row r="926" spans="1:26" ht="12" customHeight="1">
      <c r="A926" s="147"/>
      <c r="B926" s="158"/>
      <c r="C926" s="158"/>
      <c r="D926" s="158"/>
      <c r="E926" s="158"/>
      <c r="F926" s="158"/>
      <c r="G926" s="158"/>
      <c r="H926" s="158"/>
      <c r="I926" s="158"/>
      <c r="J926" s="158"/>
      <c r="K926" s="158"/>
      <c r="L926" s="158"/>
      <c r="M926" s="158"/>
      <c r="N926" s="158"/>
      <c r="O926" s="158"/>
      <c r="P926" s="158"/>
      <c r="Q926" s="158"/>
      <c r="R926" s="158"/>
      <c r="S926" s="158"/>
      <c r="T926" s="158"/>
      <c r="U926" s="158"/>
      <c r="V926" s="158"/>
      <c r="W926" s="158"/>
      <c r="X926" s="158"/>
      <c r="Y926" s="158"/>
      <c r="Z926" s="158"/>
    </row>
    <row r="927" spans="1:26" ht="12" customHeight="1">
      <c r="A927" s="147"/>
      <c r="B927" s="158"/>
      <c r="C927" s="158"/>
      <c r="D927" s="158"/>
      <c r="E927" s="158"/>
      <c r="F927" s="158"/>
      <c r="G927" s="158"/>
      <c r="H927" s="158"/>
      <c r="I927" s="158"/>
      <c r="J927" s="158"/>
      <c r="K927" s="158"/>
      <c r="L927" s="158"/>
      <c r="M927" s="158"/>
      <c r="N927" s="158"/>
      <c r="O927" s="158"/>
      <c r="P927" s="158"/>
      <c r="Q927" s="158"/>
      <c r="R927" s="158"/>
      <c r="S927" s="158"/>
      <c r="T927" s="158"/>
      <c r="U927" s="158"/>
      <c r="V927" s="158"/>
      <c r="W927" s="158"/>
      <c r="X927" s="158"/>
      <c r="Y927" s="158"/>
      <c r="Z927" s="158"/>
    </row>
    <row r="928" spans="1:26" ht="12" customHeight="1">
      <c r="A928" s="147"/>
      <c r="B928" s="158"/>
      <c r="C928" s="158"/>
      <c r="D928" s="158"/>
      <c r="E928" s="158"/>
      <c r="F928" s="158"/>
      <c r="G928" s="158"/>
      <c r="H928" s="158"/>
      <c r="I928" s="158"/>
      <c r="J928" s="158"/>
      <c r="K928" s="158"/>
      <c r="L928" s="158"/>
      <c r="M928" s="158"/>
      <c r="N928" s="158"/>
      <c r="O928" s="158"/>
      <c r="P928" s="158"/>
      <c r="Q928" s="158"/>
      <c r="R928" s="158"/>
      <c r="S928" s="158"/>
      <c r="T928" s="158"/>
      <c r="U928" s="158"/>
      <c r="V928" s="158"/>
      <c r="W928" s="158"/>
      <c r="X928" s="158"/>
      <c r="Y928" s="158"/>
      <c r="Z928" s="158"/>
    </row>
    <row r="929" spans="1:26" ht="12" customHeight="1">
      <c r="A929" s="147"/>
      <c r="B929" s="158"/>
      <c r="C929" s="158"/>
      <c r="D929" s="158"/>
      <c r="E929" s="158"/>
      <c r="F929" s="158"/>
      <c r="G929" s="158"/>
      <c r="H929" s="158"/>
      <c r="I929" s="158"/>
      <c r="J929" s="158"/>
      <c r="K929" s="158"/>
      <c r="L929" s="158"/>
      <c r="M929" s="158"/>
      <c r="N929" s="158"/>
      <c r="O929" s="158"/>
      <c r="P929" s="158"/>
      <c r="Q929" s="158"/>
      <c r="R929" s="158"/>
      <c r="S929" s="158"/>
      <c r="T929" s="158"/>
      <c r="U929" s="158"/>
      <c r="V929" s="158"/>
      <c r="W929" s="158"/>
      <c r="X929" s="158"/>
      <c r="Y929" s="158"/>
      <c r="Z929" s="158"/>
    </row>
    <row r="930" spans="1:26" ht="12" customHeight="1">
      <c r="A930" s="147"/>
      <c r="B930" s="158"/>
      <c r="C930" s="158"/>
      <c r="D930" s="158"/>
      <c r="E930" s="158"/>
      <c r="F930" s="158"/>
      <c r="G930" s="158"/>
      <c r="H930" s="158"/>
      <c r="I930" s="158"/>
      <c r="J930" s="158"/>
      <c r="K930" s="158"/>
      <c r="L930" s="158"/>
      <c r="M930" s="158"/>
      <c r="N930" s="158"/>
      <c r="O930" s="158"/>
      <c r="P930" s="158"/>
      <c r="Q930" s="158"/>
      <c r="R930" s="158"/>
      <c r="S930" s="158"/>
      <c r="T930" s="158"/>
      <c r="U930" s="158"/>
      <c r="V930" s="158"/>
      <c r="W930" s="158"/>
      <c r="X930" s="158"/>
      <c r="Y930" s="158"/>
      <c r="Z930" s="158"/>
    </row>
    <row r="931" spans="1:26" ht="12" customHeight="1">
      <c r="A931" s="147"/>
      <c r="B931" s="158"/>
      <c r="C931" s="158"/>
      <c r="D931" s="158"/>
      <c r="E931" s="158"/>
      <c r="F931" s="158"/>
      <c r="G931" s="158"/>
      <c r="H931" s="158"/>
      <c r="I931" s="158"/>
      <c r="J931" s="158"/>
      <c r="K931" s="158"/>
      <c r="L931" s="158"/>
      <c r="M931" s="158"/>
      <c r="N931" s="158"/>
      <c r="O931" s="158"/>
      <c r="P931" s="158"/>
      <c r="Q931" s="158"/>
      <c r="R931" s="158"/>
      <c r="S931" s="158"/>
      <c r="T931" s="158"/>
      <c r="U931" s="158"/>
      <c r="V931" s="158"/>
      <c r="W931" s="158"/>
      <c r="X931" s="158"/>
      <c r="Y931" s="158"/>
      <c r="Z931" s="158"/>
    </row>
    <row r="932" spans="1:26" ht="12" customHeight="1">
      <c r="A932" s="147"/>
      <c r="B932" s="158"/>
      <c r="C932" s="158"/>
      <c r="D932" s="158"/>
      <c r="E932" s="158"/>
      <c r="F932" s="158"/>
      <c r="G932" s="158"/>
      <c r="H932" s="158"/>
      <c r="I932" s="158"/>
      <c r="J932" s="158"/>
      <c r="K932" s="158"/>
      <c r="L932" s="158"/>
      <c r="M932" s="158"/>
      <c r="N932" s="158"/>
      <c r="O932" s="158"/>
      <c r="P932" s="158"/>
      <c r="Q932" s="158"/>
      <c r="R932" s="158"/>
      <c r="S932" s="158"/>
      <c r="T932" s="158"/>
      <c r="U932" s="158"/>
      <c r="V932" s="158"/>
      <c r="W932" s="158"/>
      <c r="X932" s="158"/>
      <c r="Y932" s="158"/>
      <c r="Z932" s="158"/>
    </row>
    <row r="933" spans="1:26" ht="12" customHeight="1">
      <c r="A933" s="147"/>
      <c r="B933" s="158"/>
      <c r="C933" s="158"/>
      <c r="D933" s="158"/>
      <c r="E933" s="158"/>
      <c r="F933" s="158"/>
      <c r="G933" s="158"/>
      <c r="H933" s="158"/>
      <c r="I933" s="158"/>
      <c r="J933" s="158"/>
      <c r="K933" s="158"/>
      <c r="L933" s="158"/>
      <c r="M933" s="158"/>
      <c r="N933" s="158"/>
      <c r="O933" s="158"/>
      <c r="P933" s="158"/>
      <c r="Q933" s="158"/>
      <c r="R933" s="158"/>
      <c r="S933" s="158"/>
      <c r="T933" s="158"/>
      <c r="U933" s="158"/>
      <c r="V933" s="158"/>
      <c r="W933" s="158"/>
      <c r="X933" s="158"/>
      <c r="Y933" s="158"/>
      <c r="Z933" s="158"/>
    </row>
    <row r="934" spans="1:26" ht="12" customHeight="1">
      <c r="A934" s="147"/>
      <c r="B934" s="158"/>
      <c r="C934" s="158"/>
      <c r="D934" s="158"/>
      <c r="E934" s="158"/>
      <c r="F934" s="158"/>
      <c r="G934" s="158"/>
      <c r="H934" s="158"/>
      <c r="I934" s="158"/>
      <c r="J934" s="158"/>
      <c r="K934" s="158"/>
      <c r="L934" s="158"/>
      <c r="M934" s="158"/>
      <c r="N934" s="158"/>
      <c r="O934" s="158"/>
      <c r="P934" s="158"/>
      <c r="Q934" s="158"/>
      <c r="R934" s="158"/>
      <c r="S934" s="158"/>
      <c r="T934" s="158"/>
      <c r="U934" s="158"/>
      <c r="V934" s="158"/>
      <c r="W934" s="158"/>
      <c r="X934" s="158"/>
      <c r="Y934" s="158"/>
      <c r="Z934" s="158"/>
    </row>
    <row r="935" spans="1:26" ht="12" customHeight="1">
      <c r="A935" s="147"/>
      <c r="B935" s="158"/>
      <c r="C935" s="158"/>
      <c r="D935" s="158"/>
      <c r="E935" s="158"/>
      <c r="F935" s="158"/>
      <c r="G935" s="158"/>
      <c r="H935" s="158"/>
      <c r="I935" s="158"/>
      <c r="J935" s="158"/>
      <c r="K935" s="158"/>
      <c r="L935" s="158"/>
      <c r="M935" s="158"/>
      <c r="N935" s="158"/>
      <c r="O935" s="158"/>
      <c r="P935" s="158"/>
      <c r="Q935" s="158"/>
      <c r="R935" s="158"/>
      <c r="S935" s="158"/>
      <c r="T935" s="158"/>
      <c r="U935" s="158"/>
      <c r="V935" s="158"/>
      <c r="W935" s="158"/>
      <c r="X935" s="158"/>
      <c r="Y935" s="158"/>
      <c r="Z935" s="158"/>
    </row>
    <row r="936" spans="1:26" ht="12" customHeight="1">
      <c r="A936" s="147"/>
      <c r="B936" s="158"/>
      <c r="C936" s="158"/>
      <c r="D936" s="158"/>
      <c r="E936" s="158"/>
      <c r="F936" s="158"/>
      <c r="G936" s="158"/>
      <c r="H936" s="158"/>
      <c r="I936" s="158"/>
      <c r="J936" s="158"/>
      <c r="K936" s="158"/>
      <c r="L936" s="158"/>
      <c r="M936" s="158"/>
      <c r="N936" s="158"/>
      <c r="O936" s="158"/>
      <c r="P936" s="158"/>
      <c r="Q936" s="158"/>
      <c r="R936" s="158"/>
      <c r="S936" s="158"/>
      <c r="T936" s="158"/>
      <c r="U936" s="158"/>
      <c r="V936" s="158"/>
      <c r="W936" s="158"/>
      <c r="X936" s="158"/>
      <c r="Y936" s="158"/>
      <c r="Z936" s="158"/>
    </row>
    <row r="937" spans="1:26" ht="12" customHeight="1">
      <c r="A937" s="147"/>
      <c r="B937" s="158"/>
      <c r="C937" s="158"/>
      <c r="D937" s="158"/>
      <c r="E937" s="158"/>
      <c r="F937" s="158"/>
      <c r="G937" s="158"/>
      <c r="H937" s="158"/>
      <c r="I937" s="158"/>
      <c r="J937" s="158"/>
      <c r="K937" s="158"/>
      <c r="L937" s="158"/>
      <c r="M937" s="158"/>
      <c r="N937" s="158"/>
      <c r="O937" s="158"/>
      <c r="P937" s="158"/>
      <c r="Q937" s="158"/>
      <c r="R937" s="158"/>
      <c r="S937" s="158"/>
      <c r="T937" s="158"/>
      <c r="U937" s="158"/>
      <c r="V937" s="158"/>
      <c r="W937" s="158"/>
      <c r="X937" s="158"/>
      <c r="Y937" s="158"/>
      <c r="Z937" s="158"/>
    </row>
    <row r="938" spans="1:26" ht="12" customHeight="1">
      <c r="A938" s="147"/>
      <c r="B938" s="158"/>
      <c r="C938" s="158"/>
      <c r="D938" s="158"/>
      <c r="E938" s="158"/>
      <c r="F938" s="158"/>
      <c r="G938" s="158"/>
      <c r="H938" s="158"/>
      <c r="I938" s="158"/>
      <c r="J938" s="158"/>
      <c r="K938" s="158"/>
      <c r="L938" s="158"/>
      <c r="M938" s="158"/>
      <c r="N938" s="158"/>
      <c r="O938" s="158"/>
      <c r="P938" s="158"/>
      <c r="Q938" s="158"/>
      <c r="R938" s="158"/>
      <c r="S938" s="158"/>
      <c r="T938" s="158"/>
      <c r="U938" s="158"/>
      <c r="V938" s="158"/>
      <c r="W938" s="158"/>
      <c r="X938" s="158"/>
      <c r="Y938" s="158"/>
      <c r="Z938" s="158"/>
    </row>
    <row r="939" spans="1:26" ht="12" customHeight="1">
      <c r="A939" s="147"/>
      <c r="B939" s="158"/>
      <c r="C939" s="158"/>
      <c r="D939" s="158"/>
      <c r="E939" s="158"/>
      <c r="F939" s="158"/>
      <c r="G939" s="158"/>
      <c r="H939" s="158"/>
      <c r="I939" s="158"/>
      <c r="J939" s="158"/>
      <c r="K939" s="158"/>
      <c r="L939" s="158"/>
      <c r="M939" s="158"/>
      <c r="N939" s="158"/>
      <c r="O939" s="158"/>
      <c r="P939" s="158"/>
      <c r="Q939" s="158"/>
      <c r="R939" s="158"/>
      <c r="S939" s="158"/>
      <c r="T939" s="158"/>
      <c r="U939" s="158"/>
      <c r="V939" s="158"/>
      <c r="W939" s="158"/>
      <c r="X939" s="158"/>
      <c r="Y939" s="158"/>
      <c r="Z939" s="158"/>
    </row>
    <row r="940" spans="1:26" ht="12" customHeight="1">
      <c r="A940" s="147"/>
      <c r="B940" s="158"/>
      <c r="C940" s="158"/>
      <c r="D940" s="158"/>
      <c r="E940" s="158"/>
      <c r="F940" s="158"/>
      <c r="G940" s="158"/>
      <c r="H940" s="158"/>
      <c r="I940" s="158"/>
      <c r="J940" s="158"/>
      <c r="K940" s="158"/>
      <c r="L940" s="158"/>
      <c r="M940" s="158"/>
      <c r="N940" s="158"/>
      <c r="O940" s="158"/>
      <c r="P940" s="158"/>
      <c r="Q940" s="158"/>
      <c r="R940" s="158"/>
      <c r="S940" s="158"/>
      <c r="T940" s="158"/>
      <c r="U940" s="158"/>
      <c r="V940" s="158"/>
      <c r="W940" s="158"/>
      <c r="X940" s="158"/>
      <c r="Y940" s="158"/>
      <c r="Z940" s="158"/>
    </row>
    <row r="941" spans="1:26" ht="12" customHeight="1">
      <c r="A941" s="147"/>
      <c r="B941" s="158"/>
      <c r="C941" s="158"/>
      <c r="D941" s="158"/>
      <c r="E941" s="158"/>
      <c r="F941" s="158"/>
      <c r="G941" s="158"/>
      <c r="H941" s="158"/>
      <c r="I941" s="158"/>
      <c r="J941" s="158"/>
      <c r="K941" s="158"/>
      <c r="L941" s="158"/>
      <c r="M941" s="158"/>
      <c r="N941" s="158"/>
      <c r="O941" s="158"/>
      <c r="P941" s="158"/>
      <c r="Q941" s="158"/>
      <c r="R941" s="158"/>
      <c r="S941" s="158"/>
      <c r="T941" s="158"/>
      <c r="U941" s="158"/>
      <c r="V941" s="158"/>
      <c r="W941" s="158"/>
      <c r="X941" s="158"/>
      <c r="Y941" s="158"/>
      <c r="Z941" s="158"/>
    </row>
    <row r="942" spans="1:26" ht="12" customHeight="1">
      <c r="A942" s="147"/>
      <c r="B942" s="158"/>
      <c r="C942" s="158"/>
      <c r="D942" s="158"/>
      <c r="E942" s="158"/>
      <c r="F942" s="158"/>
      <c r="G942" s="158"/>
      <c r="H942" s="158"/>
      <c r="I942" s="158"/>
      <c r="J942" s="158"/>
      <c r="K942" s="158"/>
      <c r="L942" s="158"/>
      <c r="M942" s="158"/>
      <c r="N942" s="158"/>
      <c r="O942" s="158"/>
      <c r="P942" s="158"/>
      <c r="Q942" s="158"/>
      <c r="R942" s="158"/>
      <c r="S942" s="158"/>
      <c r="T942" s="158"/>
      <c r="U942" s="158"/>
      <c r="V942" s="158"/>
      <c r="W942" s="158"/>
      <c r="X942" s="158"/>
      <c r="Y942" s="158"/>
      <c r="Z942" s="158"/>
    </row>
    <row r="943" spans="1:26" ht="12" customHeight="1">
      <c r="A943" s="147"/>
      <c r="B943" s="158"/>
      <c r="C943" s="158"/>
      <c r="D943" s="158"/>
      <c r="E943" s="158"/>
      <c r="F943" s="158"/>
      <c r="G943" s="158"/>
      <c r="H943" s="158"/>
      <c r="I943" s="158"/>
      <c r="J943" s="158"/>
      <c r="K943" s="158"/>
      <c r="L943" s="158"/>
      <c r="M943" s="158"/>
      <c r="N943" s="158"/>
      <c r="O943" s="158"/>
      <c r="P943" s="158"/>
      <c r="Q943" s="158"/>
      <c r="R943" s="158"/>
      <c r="S943" s="158"/>
      <c r="T943" s="158"/>
      <c r="U943" s="158"/>
      <c r="V943" s="158"/>
      <c r="W943" s="158"/>
      <c r="X943" s="158"/>
      <c r="Y943" s="158"/>
      <c r="Z943" s="158"/>
    </row>
    <row r="944" spans="1:26" ht="12" customHeight="1">
      <c r="A944" s="147"/>
      <c r="B944" s="158"/>
      <c r="C944" s="158"/>
      <c r="D944" s="158"/>
      <c r="E944" s="158"/>
      <c r="F944" s="158"/>
      <c r="G944" s="158"/>
      <c r="H944" s="158"/>
      <c r="I944" s="158"/>
      <c r="J944" s="158"/>
      <c r="K944" s="158"/>
      <c r="L944" s="158"/>
      <c r="M944" s="158"/>
      <c r="N944" s="158"/>
      <c r="O944" s="158"/>
      <c r="P944" s="158"/>
      <c r="Q944" s="158"/>
      <c r="R944" s="158"/>
      <c r="S944" s="158"/>
      <c r="T944" s="158"/>
      <c r="U944" s="158"/>
      <c r="V944" s="158"/>
      <c r="W944" s="158"/>
      <c r="X944" s="158"/>
      <c r="Y944" s="158"/>
      <c r="Z944" s="158"/>
    </row>
    <row r="945" spans="1:26" ht="12" customHeight="1">
      <c r="A945" s="147"/>
      <c r="B945" s="158"/>
      <c r="C945" s="158"/>
      <c r="D945" s="158"/>
      <c r="E945" s="158"/>
      <c r="F945" s="158"/>
      <c r="G945" s="158"/>
      <c r="H945" s="158"/>
      <c r="I945" s="158"/>
      <c r="J945" s="158"/>
      <c r="K945" s="158"/>
      <c r="L945" s="158"/>
      <c r="M945" s="158"/>
      <c r="N945" s="158"/>
      <c r="O945" s="158"/>
      <c r="P945" s="158"/>
      <c r="Q945" s="158"/>
      <c r="R945" s="158"/>
      <c r="S945" s="158"/>
      <c r="T945" s="158"/>
      <c r="U945" s="158"/>
      <c r="V945" s="158"/>
      <c r="W945" s="158"/>
      <c r="X945" s="158"/>
      <c r="Y945" s="158"/>
      <c r="Z945" s="158"/>
    </row>
    <row r="946" spans="1:26" ht="12" customHeight="1">
      <c r="A946" s="147"/>
      <c r="B946" s="158"/>
      <c r="C946" s="158"/>
      <c r="D946" s="158"/>
      <c r="E946" s="158"/>
      <c r="F946" s="158"/>
      <c r="G946" s="158"/>
      <c r="H946" s="158"/>
      <c r="I946" s="158"/>
      <c r="J946" s="158"/>
      <c r="K946" s="158"/>
      <c r="L946" s="158"/>
      <c r="M946" s="158"/>
      <c r="N946" s="158"/>
      <c r="O946" s="158"/>
      <c r="P946" s="158"/>
      <c r="Q946" s="158"/>
      <c r="R946" s="158"/>
      <c r="S946" s="158"/>
      <c r="T946" s="158"/>
      <c r="U946" s="158"/>
      <c r="V946" s="158"/>
      <c r="W946" s="158"/>
      <c r="X946" s="158"/>
      <c r="Y946" s="158"/>
      <c r="Z946" s="158"/>
    </row>
    <row r="947" spans="1:26" ht="12" customHeight="1">
      <c r="A947" s="147"/>
      <c r="B947" s="158"/>
      <c r="C947" s="158"/>
      <c r="D947" s="158"/>
      <c r="E947" s="158"/>
      <c r="F947" s="158"/>
      <c r="G947" s="158"/>
      <c r="H947" s="158"/>
      <c r="I947" s="158"/>
      <c r="J947" s="158"/>
      <c r="K947" s="158"/>
      <c r="L947" s="158"/>
      <c r="M947" s="158"/>
      <c r="N947" s="158"/>
      <c r="O947" s="158"/>
      <c r="P947" s="158"/>
      <c r="Q947" s="158"/>
      <c r="R947" s="158"/>
      <c r="S947" s="158"/>
      <c r="T947" s="158"/>
      <c r="U947" s="158"/>
      <c r="V947" s="158"/>
      <c r="W947" s="158"/>
      <c r="X947" s="158"/>
      <c r="Y947" s="158"/>
      <c r="Z947" s="158"/>
    </row>
    <row r="948" spans="1:26" ht="12" customHeight="1">
      <c r="A948" s="147"/>
      <c r="B948" s="158"/>
      <c r="C948" s="158"/>
      <c r="D948" s="158"/>
      <c r="E948" s="158"/>
      <c r="F948" s="158"/>
      <c r="G948" s="158"/>
      <c r="H948" s="158"/>
      <c r="I948" s="158"/>
      <c r="J948" s="158"/>
      <c r="K948" s="158"/>
      <c r="L948" s="158"/>
      <c r="M948" s="158"/>
      <c r="N948" s="158"/>
      <c r="O948" s="158"/>
      <c r="P948" s="158"/>
      <c r="Q948" s="158"/>
      <c r="R948" s="158"/>
      <c r="S948" s="158"/>
      <c r="T948" s="158"/>
      <c r="U948" s="158"/>
      <c r="V948" s="158"/>
      <c r="W948" s="158"/>
      <c r="X948" s="158"/>
      <c r="Y948" s="158"/>
      <c r="Z948" s="158"/>
    </row>
    <row r="949" spans="1:26" ht="12" customHeight="1">
      <c r="A949" s="147"/>
      <c r="B949" s="158"/>
      <c r="C949" s="158"/>
      <c r="D949" s="158"/>
      <c r="E949" s="158"/>
      <c r="F949" s="158"/>
      <c r="G949" s="158"/>
      <c r="H949" s="158"/>
      <c r="I949" s="158"/>
      <c r="J949" s="158"/>
      <c r="K949" s="158"/>
      <c r="L949" s="158"/>
      <c r="M949" s="158"/>
      <c r="N949" s="158"/>
      <c r="O949" s="158"/>
      <c r="P949" s="158"/>
      <c r="Q949" s="158"/>
      <c r="R949" s="158"/>
      <c r="S949" s="158"/>
      <c r="T949" s="158"/>
      <c r="U949" s="158"/>
      <c r="V949" s="158"/>
      <c r="W949" s="158"/>
      <c r="X949" s="158"/>
      <c r="Y949" s="158"/>
      <c r="Z949" s="158"/>
    </row>
    <row r="950" spans="1:26" ht="12" customHeight="1">
      <c r="A950" s="147"/>
      <c r="B950" s="158"/>
      <c r="C950" s="158"/>
      <c r="D950" s="158"/>
      <c r="E950" s="158"/>
      <c r="F950" s="158"/>
      <c r="G950" s="158"/>
      <c r="H950" s="158"/>
      <c r="I950" s="158"/>
      <c r="J950" s="158"/>
      <c r="K950" s="158"/>
      <c r="L950" s="158"/>
      <c r="M950" s="158"/>
      <c r="N950" s="158"/>
      <c r="O950" s="158"/>
      <c r="P950" s="158"/>
      <c r="Q950" s="158"/>
      <c r="R950" s="158"/>
      <c r="S950" s="158"/>
      <c r="T950" s="158"/>
      <c r="U950" s="158"/>
      <c r="V950" s="158"/>
      <c r="W950" s="158"/>
      <c r="X950" s="158"/>
      <c r="Y950" s="158"/>
      <c r="Z950" s="158"/>
    </row>
    <row r="951" spans="1:26" ht="12" customHeight="1">
      <c r="A951" s="147"/>
      <c r="B951" s="158"/>
      <c r="C951" s="158"/>
      <c r="D951" s="158"/>
      <c r="E951" s="158"/>
      <c r="F951" s="158"/>
      <c r="G951" s="158"/>
      <c r="H951" s="158"/>
      <c r="I951" s="158"/>
      <c r="J951" s="158"/>
      <c r="K951" s="158"/>
      <c r="L951" s="158"/>
      <c r="M951" s="158"/>
      <c r="N951" s="158"/>
      <c r="O951" s="158"/>
      <c r="P951" s="158"/>
      <c r="Q951" s="158"/>
      <c r="R951" s="158"/>
      <c r="S951" s="158"/>
      <c r="T951" s="158"/>
      <c r="U951" s="158"/>
      <c r="V951" s="158"/>
      <c r="W951" s="158"/>
      <c r="X951" s="158"/>
      <c r="Y951" s="158"/>
      <c r="Z951" s="158"/>
    </row>
    <row r="952" spans="1:26" ht="12" customHeight="1">
      <c r="A952" s="147"/>
      <c r="B952" s="158"/>
      <c r="C952" s="158"/>
      <c r="D952" s="158"/>
      <c r="E952" s="158"/>
      <c r="F952" s="158"/>
      <c r="G952" s="158"/>
      <c r="H952" s="158"/>
      <c r="I952" s="158"/>
      <c r="J952" s="158"/>
      <c r="K952" s="158"/>
      <c r="L952" s="158"/>
      <c r="M952" s="158"/>
      <c r="N952" s="158"/>
      <c r="O952" s="158"/>
      <c r="P952" s="158"/>
      <c r="Q952" s="158"/>
      <c r="R952" s="158"/>
      <c r="S952" s="158"/>
      <c r="T952" s="158"/>
      <c r="U952" s="158"/>
      <c r="V952" s="158"/>
      <c r="W952" s="158"/>
      <c r="X952" s="158"/>
      <c r="Y952" s="158"/>
      <c r="Z952" s="158"/>
    </row>
    <row r="953" spans="1:26" ht="12" customHeight="1">
      <c r="A953" s="147"/>
      <c r="B953" s="158"/>
      <c r="C953" s="158"/>
      <c r="D953" s="158"/>
      <c r="E953" s="158"/>
      <c r="F953" s="158"/>
      <c r="G953" s="158"/>
      <c r="H953" s="158"/>
      <c r="I953" s="158"/>
      <c r="J953" s="158"/>
      <c r="K953" s="158"/>
      <c r="L953" s="158"/>
      <c r="M953" s="158"/>
      <c r="N953" s="158"/>
      <c r="O953" s="158"/>
      <c r="P953" s="158"/>
      <c r="Q953" s="158"/>
      <c r="R953" s="158"/>
      <c r="S953" s="158"/>
      <c r="T953" s="158"/>
      <c r="U953" s="158"/>
      <c r="V953" s="158"/>
      <c r="W953" s="158"/>
      <c r="X953" s="158"/>
      <c r="Y953" s="158"/>
      <c r="Z953" s="158"/>
    </row>
    <row r="954" spans="1:26" ht="12" customHeight="1">
      <c r="A954" s="147"/>
      <c r="B954" s="158"/>
      <c r="C954" s="158"/>
      <c r="D954" s="158"/>
      <c r="E954" s="158"/>
      <c r="F954" s="158"/>
      <c r="G954" s="158"/>
      <c r="H954" s="158"/>
      <c r="I954" s="158"/>
      <c r="J954" s="158"/>
      <c r="K954" s="158"/>
      <c r="L954" s="158"/>
      <c r="M954" s="158"/>
      <c r="N954" s="158"/>
      <c r="O954" s="158"/>
      <c r="P954" s="158"/>
      <c r="Q954" s="158"/>
      <c r="R954" s="158"/>
      <c r="S954" s="158"/>
      <c r="T954" s="158"/>
      <c r="U954" s="158"/>
      <c r="V954" s="158"/>
      <c r="W954" s="158"/>
      <c r="X954" s="158"/>
      <c r="Y954" s="158"/>
      <c r="Z954" s="158"/>
    </row>
    <row r="955" spans="1:26" ht="12" customHeight="1">
      <c r="A955" s="147"/>
      <c r="B955" s="158"/>
      <c r="C955" s="158"/>
      <c r="D955" s="158"/>
      <c r="E955" s="158"/>
      <c r="F955" s="158"/>
      <c r="G955" s="158"/>
      <c r="H955" s="158"/>
      <c r="I955" s="158"/>
      <c r="J955" s="158"/>
      <c r="K955" s="158"/>
      <c r="L955" s="158"/>
      <c r="M955" s="158"/>
      <c r="N955" s="158"/>
      <c r="O955" s="158"/>
      <c r="P955" s="158"/>
      <c r="Q955" s="158"/>
      <c r="R955" s="158"/>
      <c r="S955" s="158"/>
      <c r="T955" s="158"/>
      <c r="U955" s="158"/>
      <c r="V955" s="158"/>
      <c r="W955" s="158"/>
      <c r="X955" s="158"/>
      <c r="Y955" s="158"/>
      <c r="Z955" s="158"/>
    </row>
    <row r="956" spans="1:26" ht="12" customHeight="1">
      <c r="A956" s="147"/>
      <c r="B956" s="158"/>
      <c r="C956" s="158"/>
      <c r="D956" s="158"/>
      <c r="E956" s="158"/>
      <c r="F956" s="158"/>
      <c r="G956" s="158"/>
      <c r="H956" s="158"/>
      <c r="I956" s="158"/>
      <c r="J956" s="158"/>
      <c r="K956" s="158"/>
      <c r="L956" s="158"/>
      <c r="M956" s="158"/>
      <c r="N956" s="158"/>
      <c r="O956" s="158"/>
      <c r="P956" s="158"/>
      <c r="Q956" s="158"/>
      <c r="R956" s="158"/>
      <c r="S956" s="158"/>
      <c r="T956" s="158"/>
      <c r="U956" s="158"/>
      <c r="V956" s="158"/>
      <c r="W956" s="158"/>
      <c r="X956" s="158"/>
      <c r="Y956" s="158"/>
      <c r="Z956" s="158"/>
    </row>
    <row r="957" spans="1:26" ht="12" customHeight="1">
      <c r="A957" s="147"/>
      <c r="B957" s="158"/>
      <c r="C957" s="158"/>
      <c r="D957" s="158"/>
      <c r="E957" s="158"/>
      <c r="F957" s="158"/>
      <c r="G957" s="158"/>
      <c r="H957" s="158"/>
      <c r="I957" s="158"/>
      <c r="J957" s="158"/>
      <c r="K957" s="158"/>
      <c r="L957" s="158"/>
      <c r="M957" s="158"/>
      <c r="N957" s="158"/>
      <c r="O957" s="158"/>
      <c r="P957" s="158"/>
      <c r="Q957" s="158"/>
      <c r="R957" s="158"/>
      <c r="S957" s="158"/>
      <c r="T957" s="158"/>
      <c r="U957" s="158"/>
      <c r="V957" s="158"/>
      <c r="W957" s="158"/>
      <c r="X957" s="158"/>
      <c r="Y957" s="158"/>
      <c r="Z957" s="158"/>
    </row>
    <row r="958" spans="1:26" ht="12" customHeight="1">
      <c r="A958" s="147"/>
      <c r="B958" s="158"/>
      <c r="C958" s="158"/>
      <c r="D958" s="158"/>
      <c r="E958" s="158"/>
      <c r="F958" s="158"/>
      <c r="G958" s="158"/>
      <c r="H958" s="158"/>
      <c r="I958" s="158"/>
      <c r="J958" s="158"/>
      <c r="K958" s="158"/>
      <c r="L958" s="158"/>
      <c r="M958" s="158"/>
      <c r="N958" s="158"/>
      <c r="O958" s="158"/>
      <c r="P958" s="158"/>
      <c r="Q958" s="158"/>
      <c r="R958" s="158"/>
      <c r="S958" s="158"/>
      <c r="T958" s="158"/>
      <c r="U958" s="158"/>
      <c r="V958" s="158"/>
      <c r="W958" s="158"/>
      <c r="X958" s="158"/>
      <c r="Y958" s="158"/>
      <c r="Z958" s="158"/>
    </row>
    <row r="959" spans="1:26" ht="12" customHeight="1">
      <c r="A959" s="147"/>
      <c r="B959" s="158"/>
      <c r="C959" s="158"/>
      <c r="D959" s="158"/>
      <c r="E959" s="158"/>
      <c r="F959" s="158"/>
      <c r="G959" s="158"/>
      <c r="H959" s="158"/>
      <c r="I959" s="158"/>
      <c r="J959" s="158"/>
      <c r="K959" s="158"/>
      <c r="L959" s="158"/>
      <c r="M959" s="158"/>
      <c r="N959" s="158"/>
      <c r="O959" s="158"/>
      <c r="P959" s="158"/>
      <c r="Q959" s="158"/>
      <c r="R959" s="158"/>
      <c r="S959" s="158"/>
      <c r="T959" s="158"/>
      <c r="U959" s="158"/>
      <c r="V959" s="158"/>
      <c r="W959" s="158"/>
      <c r="X959" s="158"/>
      <c r="Y959" s="158"/>
      <c r="Z959" s="158"/>
    </row>
    <row r="960" spans="1:26" ht="12" customHeight="1">
      <c r="A960" s="147"/>
      <c r="B960" s="158"/>
      <c r="C960" s="158"/>
      <c r="D960" s="158"/>
      <c r="E960" s="158"/>
      <c r="F960" s="158"/>
      <c r="G960" s="158"/>
      <c r="H960" s="158"/>
      <c r="I960" s="158"/>
      <c r="J960" s="158"/>
      <c r="K960" s="158"/>
      <c r="L960" s="158"/>
      <c r="M960" s="158"/>
      <c r="N960" s="158"/>
      <c r="O960" s="158"/>
      <c r="P960" s="158"/>
      <c r="Q960" s="158"/>
      <c r="R960" s="158"/>
      <c r="S960" s="158"/>
      <c r="T960" s="158"/>
      <c r="U960" s="158"/>
      <c r="V960" s="158"/>
      <c r="W960" s="158"/>
      <c r="X960" s="158"/>
      <c r="Y960" s="158"/>
      <c r="Z960" s="158"/>
    </row>
    <row r="961" spans="1:26" ht="12" customHeight="1">
      <c r="A961" s="147"/>
      <c r="B961" s="158"/>
      <c r="C961" s="158"/>
      <c r="D961" s="158"/>
      <c r="E961" s="158"/>
      <c r="F961" s="158"/>
      <c r="G961" s="158"/>
      <c r="H961" s="158"/>
      <c r="I961" s="158"/>
      <c r="J961" s="158"/>
      <c r="K961" s="158"/>
      <c r="L961" s="158"/>
      <c r="M961" s="158"/>
      <c r="N961" s="158"/>
      <c r="O961" s="158"/>
      <c r="P961" s="158"/>
      <c r="Q961" s="158"/>
      <c r="R961" s="158"/>
      <c r="S961" s="158"/>
      <c r="T961" s="158"/>
      <c r="U961" s="158"/>
      <c r="V961" s="158"/>
      <c r="W961" s="158"/>
      <c r="X961" s="158"/>
      <c r="Y961" s="158"/>
      <c r="Z961" s="158"/>
    </row>
    <row r="962" spans="1:26" ht="12" customHeight="1">
      <c r="A962" s="147"/>
      <c r="B962" s="158"/>
      <c r="C962" s="158"/>
      <c r="D962" s="158"/>
      <c r="E962" s="158"/>
      <c r="F962" s="158"/>
      <c r="G962" s="158"/>
      <c r="H962" s="158"/>
      <c r="I962" s="158"/>
      <c r="J962" s="158"/>
      <c r="K962" s="158"/>
      <c r="L962" s="158"/>
      <c r="M962" s="158"/>
      <c r="N962" s="158"/>
      <c r="O962" s="158"/>
      <c r="P962" s="158"/>
      <c r="Q962" s="158"/>
      <c r="R962" s="158"/>
      <c r="S962" s="158"/>
      <c r="T962" s="158"/>
      <c r="U962" s="158"/>
      <c r="V962" s="158"/>
      <c r="W962" s="158"/>
      <c r="X962" s="158"/>
      <c r="Y962" s="158"/>
      <c r="Z962" s="158"/>
    </row>
    <row r="963" spans="1:26" ht="12" customHeight="1">
      <c r="A963" s="147"/>
      <c r="B963" s="158"/>
      <c r="C963" s="158"/>
      <c r="D963" s="158"/>
      <c r="E963" s="158"/>
      <c r="F963" s="158"/>
      <c r="G963" s="158"/>
      <c r="H963" s="158"/>
      <c r="I963" s="158"/>
      <c r="J963" s="158"/>
      <c r="K963" s="158"/>
      <c r="L963" s="158"/>
      <c r="M963" s="158"/>
      <c r="N963" s="158"/>
      <c r="O963" s="158"/>
      <c r="P963" s="158"/>
      <c r="Q963" s="158"/>
      <c r="R963" s="158"/>
      <c r="S963" s="158"/>
      <c r="T963" s="158"/>
      <c r="U963" s="158"/>
      <c r="V963" s="158"/>
      <c r="W963" s="158"/>
      <c r="X963" s="158"/>
      <c r="Y963" s="158"/>
      <c r="Z963" s="158"/>
    </row>
    <row r="964" spans="1:26" ht="12" customHeight="1">
      <c r="A964" s="147"/>
      <c r="B964" s="158"/>
      <c r="C964" s="158"/>
      <c r="D964" s="158"/>
      <c r="E964" s="158"/>
      <c r="F964" s="158"/>
      <c r="G964" s="158"/>
      <c r="H964" s="158"/>
      <c r="I964" s="158"/>
      <c r="J964" s="158"/>
      <c r="K964" s="158"/>
      <c r="L964" s="158"/>
      <c r="M964" s="158"/>
      <c r="N964" s="158"/>
      <c r="O964" s="158"/>
      <c r="P964" s="158"/>
      <c r="Q964" s="158"/>
      <c r="R964" s="158"/>
      <c r="S964" s="158"/>
      <c r="T964" s="158"/>
      <c r="U964" s="158"/>
      <c r="V964" s="158"/>
      <c r="W964" s="158"/>
      <c r="X964" s="158"/>
      <c r="Y964" s="158"/>
      <c r="Z964" s="158"/>
    </row>
    <row r="965" spans="1:26" ht="12" customHeight="1">
      <c r="A965" s="147"/>
      <c r="B965" s="158"/>
      <c r="C965" s="158"/>
      <c r="D965" s="158"/>
      <c r="E965" s="158"/>
      <c r="F965" s="158"/>
      <c r="G965" s="158"/>
      <c r="H965" s="158"/>
      <c r="I965" s="158"/>
      <c r="J965" s="158"/>
      <c r="K965" s="158"/>
      <c r="L965" s="158"/>
      <c r="M965" s="158"/>
      <c r="N965" s="158"/>
      <c r="O965" s="158"/>
      <c r="P965" s="158"/>
      <c r="Q965" s="158"/>
      <c r="R965" s="158"/>
      <c r="S965" s="158"/>
      <c r="T965" s="158"/>
      <c r="U965" s="158"/>
      <c r="V965" s="158"/>
      <c r="W965" s="158"/>
      <c r="X965" s="158"/>
      <c r="Y965" s="158"/>
      <c r="Z965" s="158"/>
    </row>
    <row r="966" spans="1:26" ht="12" customHeight="1">
      <c r="A966" s="147"/>
      <c r="B966" s="158"/>
      <c r="C966" s="158"/>
      <c r="D966" s="158"/>
      <c r="E966" s="158"/>
      <c r="F966" s="158"/>
      <c r="G966" s="158"/>
      <c r="H966" s="158"/>
      <c r="I966" s="158"/>
      <c r="J966" s="158"/>
      <c r="K966" s="158"/>
      <c r="L966" s="158"/>
      <c r="M966" s="158"/>
      <c r="N966" s="158"/>
      <c r="O966" s="158"/>
      <c r="P966" s="158"/>
      <c r="Q966" s="158"/>
      <c r="R966" s="158"/>
      <c r="S966" s="158"/>
      <c r="T966" s="158"/>
      <c r="U966" s="158"/>
      <c r="V966" s="158"/>
      <c r="W966" s="158"/>
      <c r="X966" s="158"/>
      <c r="Y966" s="158"/>
      <c r="Z966" s="158"/>
    </row>
    <row r="967" spans="1:26" ht="12" customHeight="1">
      <c r="A967" s="147"/>
      <c r="B967" s="158"/>
      <c r="C967" s="158"/>
      <c r="D967" s="158"/>
      <c r="E967" s="158"/>
      <c r="F967" s="158"/>
      <c r="G967" s="158"/>
      <c r="H967" s="158"/>
      <c r="I967" s="158"/>
      <c r="J967" s="158"/>
      <c r="K967" s="158"/>
      <c r="L967" s="158"/>
      <c r="M967" s="158"/>
      <c r="N967" s="158"/>
      <c r="O967" s="158"/>
      <c r="P967" s="158"/>
      <c r="Q967" s="158"/>
      <c r="R967" s="158"/>
      <c r="S967" s="158"/>
      <c r="T967" s="158"/>
      <c r="U967" s="158"/>
      <c r="V967" s="158"/>
      <c r="W967" s="158"/>
      <c r="X967" s="158"/>
      <c r="Y967" s="158"/>
      <c r="Z967" s="158"/>
    </row>
    <row r="968" spans="1:26" ht="12" customHeight="1">
      <c r="A968" s="147"/>
      <c r="B968" s="158"/>
      <c r="C968" s="158"/>
      <c r="D968" s="158"/>
      <c r="E968" s="158"/>
      <c r="F968" s="158"/>
      <c r="G968" s="158"/>
      <c r="H968" s="158"/>
      <c r="I968" s="158"/>
      <c r="J968" s="158"/>
      <c r="K968" s="158"/>
      <c r="L968" s="158"/>
      <c r="M968" s="158"/>
      <c r="N968" s="158"/>
      <c r="O968" s="158"/>
      <c r="P968" s="158"/>
      <c r="Q968" s="158"/>
      <c r="R968" s="158"/>
      <c r="S968" s="158"/>
      <c r="T968" s="158"/>
      <c r="U968" s="158"/>
      <c r="V968" s="158"/>
      <c r="W968" s="158"/>
      <c r="X968" s="158"/>
      <c r="Y968" s="158"/>
      <c r="Z968" s="158"/>
    </row>
    <row r="969" spans="1:26" ht="12" customHeight="1">
      <c r="A969" s="147"/>
      <c r="B969" s="158"/>
      <c r="C969" s="158"/>
      <c r="D969" s="158"/>
      <c r="E969" s="158"/>
      <c r="F969" s="158"/>
      <c r="G969" s="158"/>
      <c r="H969" s="158"/>
      <c r="I969" s="158"/>
      <c r="J969" s="158"/>
      <c r="K969" s="158"/>
      <c r="L969" s="158"/>
      <c r="M969" s="158"/>
      <c r="N969" s="158"/>
      <c r="O969" s="158"/>
      <c r="P969" s="158"/>
      <c r="Q969" s="158"/>
      <c r="R969" s="158"/>
      <c r="S969" s="158"/>
      <c r="T969" s="158"/>
      <c r="U969" s="158"/>
      <c r="V969" s="158"/>
      <c r="W969" s="158"/>
      <c r="X969" s="158"/>
      <c r="Y969" s="158"/>
      <c r="Z969" s="158"/>
    </row>
    <row r="970" spans="1:26" ht="12" customHeight="1">
      <c r="A970" s="147"/>
      <c r="B970" s="158"/>
      <c r="C970" s="158"/>
      <c r="D970" s="158"/>
      <c r="E970" s="158"/>
      <c r="F970" s="158"/>
      <c r="G970" s="158"/>
      <c r="H970" s="158"/>
      <c r="I970" s="158"/>
      <c r="J970" s="158"/>
      <c r="K970" s="158"/>
      <c r="L970" s="158"/>
      <c r="M970" s="158"/>
      <c r="N970" s="158"/>
      <c r="O970" s="158"/>
      <c r="P970" s="158"/>
      <c r="Q970" s="158"/>
      <c r="R970" s="158"/>
      <c r="S970" s="158"/>
      <c r="T970" s="158"/>
      <c r="U970" s="158"/>
      <c r="V970" s="158"/>
      <c r="W970" s="158"/>
      <c r="X970" s="158"/>
      <c r="Y970" s="158"/>
      <c r="Z970" s="158"/>
    </row>
    <row r="971" spans="1:26" ht="12" customHeight="1">
      <c r="A971" s="147"/>
      <c r="B971" s="158"/>
      <c r="C971" s="158"/>
      <c r="D971" s="158"/>
      <c r="E971" s="158"/>
      <c r="F971" s="158"/>
      <c r="G971" s="158"/>
      <c r="H971" s="158"/>
      <c r="I971" s="158"/>
      <c r="J971" s="158"/>
      <c r="K971" s="158"/>
      <c r="L971" s="158"/>
      <c r="M971" s="158"/>
      <c r="N971" s="158"/>
      <c r="O971" s="158"/>
      <c r="P971" s="158"/>
      <c r="Q971" s="158"/>
      <c r="R971" s="158"/>
      <c r="S971" s="158"/>
      <c r="T971" s="158"/>
      <c r="U971" s="158"/>
      <c r="V971" s="158"/>
      <c r="W971" s="158"/>
      <c r="X971" s="158"/>
      <c r="Y971" s="158"/>
      <c r="Z971" s="158"/>
    </row>
    <row r="972" spans="1:26" ht="12" customHeight="1">
      <c r="A972" s="147"/>
      <c r="B972" s="158"/>
      <c r="C972" s="158"/>
      <c r="D972" s="158"/>
      <c r="E972" s="158"/>
      <c r="F972" s="158"/>
      <c r="G972" s="158"/>
      <c r="H972" s="158"/>
      <c r="I972" s="158"/>
      <c r="J972" s="158"/>
      <c r="K972" s="158"/>
      <c r="L972" s="158"/>
      <c r="M972" s="158"/>
      <c r="N972" s="158"/>
      <c r="O972" s="158"/>
      <c r="P972" s="158"/>
      <c r="Q972" s="158"/>
      <c r="R972" s="158"/>
      <c r="S972" s="158"/>
      <c r="T972" s="158"/>
      <c r="U972" s="158"/>
      <c r="V972" s="158"/>
      <c r="W972" s="158"/>
      <c r="X972" s="158"/>
      <c r="Y972" s="158"/>
      <c r="Z972" s="158"/>
    </row>
    <row r="973" spans="1:26" ht="12" customHeight="1">
      <c r="A973" s="147"/>
      <c r="B973" s="158"/>
      <c r="C973" s="158"/>
      <c r="D973" s="158"/>
      <c r="E973" s="158"/>
      <c r="F973" s="158"/>
      <c r="G973" s="158"/>
      <c r="H973" s="158"/>
      <c r="I973" s="158"/>
      <c r="J973" s="158"/>
      <c r="K973" s="158"/>
      <c r="L973" s="158"/>
      <c r="M973" s="158"/>
      <c r="N973" s="158"/>
      <c r="O973" s="158"/>
      <c r="P973" s="158"/>
      <c r="Q973" s="158"/>
      <c r="R973" s="158"/>
      <c r="S973" s="158"/>
      <c r="T973" s="158"/>
      <c r="U973" s="158"/>
      <c r="V973" s="158"/>
      <c r="W973" s="158"/>
      <c r="X973" s="158"/>
      <c r="Y973" s="158"/>
      <c r="Z973" s="158"/>
    </row>
    <row r="974" spans="1:26" ht="12" customHeight="1">
      <c r="A974" s="147"/>
      <c r="B974" s="158"/>
      <c r="C974" s="158"/>
      <c r="D974" s="158"/>
      <c r="E974" s="158"/>
      <c r="F974" s="158"/>
      <c r="G974" s="158"/>
      <c r="H974" s="158"/>
      <c r="I974" s="158"/>
      <c r="J974" s="158"/>
      <c r="K974" s="158"/>
      <c r="L974" s="158"/>
      <c r="M974" s="158"/>
      <c r="N974" s="158"/>
      <c r="O974" s="158"/>
      <c r="P974" s="158"/>
      <c r="Q974" s="158"/>
      <c r="R974" s="158"/>
      <c r="S974" s="158"/>
      <c r="T974" s="158"/>
      <c r="U974" s="158"/>
      <c r="V974" s="158"/>
      <c r="W974" s="158"/>
      <c r="X974" s="158"/>
      <c r="Y974" s="158"/>
      <c r="Z974" s="158"/>
    </row>
    <row r="975" spans="1:26" ht="12" customHeight="1">
      <c r="A975" s="147"/>
      <c r="B975" s="158"/>
      <c r="C975" s="158"/>
      <c r="D975" s="158"/>
      <c r="E975" s="158"/>
      <c r="F975" s="158"/>
      <c r="G975" s="158"/>
      <c r="H975" s="158"/>
      <c r="I975" s="158"/>
      <c r="J975" s="158"/>
      <c r="K975" s="158"/>
      <c r="L975" s="158"/>
      <c r="M975" s="158"/>
      <c r="N975" s="158"/>
      <c r="O975" s="158"/>
      <c r="P975" s="158"/>
      <c r="Q975" s="158"/>
      <c r="R975" s="158"/>
      <c r="S975" s="158"/>
      <c r="T975" s="158"/>
      <c r="U975" s="158"/>
      <c r="V975" s="158"/>
      <c r="W975" s="158"/>
      <c r="X975" s="158"/>
      <c r="Y975" s="158"/>
      <c r="Z975" s="158"/>
    </row>
    <row r="976" spans="1:26" ht="12" customHeight="1">
      <c r="A976" s="147"/>
      <c r="B976" s="158"/>
      <c r="C976" s="158"/>
      <c r="D976" s="158"/>
      <c r="E976" s="158"/>
      <c r="F976" s="158"/>
      <c r="G976" s="158"/>
      <c r="H976" s="158"/>
      <c r="I976" s="158"/>
      <c r="J976" s="158"/>
      <c r="K976" s="158"/>
      <c r="L976" s="158"/>
      <c r="M976" s="158"/>
      <c r="N976" s="158"/>
      <c r="O976" s="158"/>
      <c r="P976" s="158"/>
      <c r="Q976" s="158"/>
      <c r="R976" s="158"/>
      <c r="S976" s="158"/>
      <c r="T976" s="158"/>
      <c r="U976" s="158"/>
      <c r="V976" s="158"/>
      <c r="W976" s="158"/>
      <c r="X976" s="158"/>
      <c r="Y976" s="158"/>
      <c r="Z976" s="158"/>
    </row>
    <row r="977" spans="1:26" ht="12" customHeight="1">
      <c r="A977" s="147"/>
      <c r="B977" s="158"/>
      <c r="C977" s="158"/>
      <c r="D977" s="158"/>
      <c r="E977" s="158"/>
      <c r="F977" s="158"/>
      <c r="G977" s="158"/>
      <c r="H977" s="158"/>
      <c r="I977" s="158"/>
      <c r="J977" s="158"/>
      <c r="K977" s="158"/>
      <c r="L977" s="158"/>
      <c r="M977" s="158"/>
      <c r="N977" s="158"/>
      <c r="O977" s="158"/>
      <c r="P977" s="158"/>
      <c r="Q977" s="158"/>
      <c r="R977" s="158"/>
      <c r="S977" s="158"/>
      <c r="T977" s="158"/>
      <c r="U977" s="158"/>
      <c r="V977" s="158"/>
      <c r="W977" s="158"/>
      <c r="X977" s="158"/>
      <c r="Y977" s="158"/>
      <c r="Z977" s="158"/>
    </row>
    <row r="978" spans="1:26" ht="12" customHeight="1">
      <c r="A978" s="147"/>
      <c r="B978" s="158"/>
      <c r="C978" s="158"/>
      <c r="D978" s="158"/>
      <c r="E978" s="158"/>
      <c r="F978" s="158"/>
      <c r="G978" s="158"/>
      <c r="H978" s="158"/>
      <c r="I978" s="158"/>
      <c r="J978" s="158"/>
      <c r="K978" s="158"/>
      <c r="L978" s="158"/>
      <c r="M978" s="158"/>
      <c r="N978" s="158"/>
      <c r="O978" s="158"/>
      <c r="P978" s="158"/>
      <c r="Q978" s="158"/>
      <c r="R978" s="158"/>
      <c r="S978" s="158"/>
      <c r="T978" s="158"/>
      <c r="U978" s="158"/>
      <c r="V978" s="158"/>
      <c r="W978" s="158"/>
      <c r="X978" s="158"/>
      <c r="Y978" s="158"/>
      <c r="Z978" s="158"/>
    </row>
    <row r="979" spans="1:26" ht="12" customHeight="1">
      <c r="A979" s="147"/>
      <c r="B979" s="158"/>
      <c r="C979" s="158"/>
      <c r="D979" s="158"/>
      <c r="E979" s="158"/>
      <c r="F979" s="158"/>
      <c r="G979" s="158"/>
      <c r="H979" s="158"/>
      <c r="I979" s="158"/>
      <c r="J979" s="158"/>
      <c r="K979" s="158"/>
      <c r="L979" s="158"/>
      <c r="M979" s="158"/>
      <c r="N979" s="158"/>
      <c r="O979" s="158"/>
      <c r="P979" s="158"/>
      <c r="Q979" s="158"/>
      <c r="R979" s="158"/>
      <c r="S979" s="158"/>
      <c r="T979" s="158"/>
      <c r="U979" s="158"/>
      <c r="V979" s="158"/>
      <c r="W979" s="158"/>
      <c r="X979" s="158"/>
      <c r="Y979" s="158"/>
      <c r="Z979" s="158"/>
    </row>
    <row r="980" spans="1:26" ht="12" customHeight="1">
      <c r="A980" s="147"/>
      <c r="B980" s="158"/>
      <c r="C980" s="158"/>
      <c r="D980" s="158"/>
      <c r="E980" s="158"/>
      <c r="F980" s="158"/>
      <c r="G980" s="158"/>
      <c r="H980" s="158"/>
      <c r="I980" s="158"/>
      <c r="J980" s="158"/>
      <c r="K980" s="158"/>
      <c r="L980" s="158"/>
      <c r="M980" s="158"/>
      <c r="N980" s="158"/>
      <c r="O980" s="158"/>
      <c r="P980" s="158"/>
      <c r="Q980" s="158"/>
      <c r="R980" s="158"/>
      <c r="S980" s="158"/>
      <c r="T980" s="158"/>
      <c r="U980" s="158"/>
      <c r="V980" s="158"/>
      <c r="W980" s="158"/>
      <c r="X980" s="158"/>
      <c r="Y980" s="158"/>
      <c r="Z980" s="158"/>
    </row>
    <row r="981" spans="1:26" ht="12" customHeight="1">
      <c r="A981" s="147"/>
      <c r="B981" s="158"/>
      <c r="C981" s="158"/>
      <c r="D981" s="158"/>
      <c r="E981" s="158"/>
      <c r="F981" s="158"/>
      <c r="G981" s="158"/>
      <c r="H981" s="158"/>
      <c r="I981" s="158"/>
      <c r="J981" s="158"/>
      <c r="K981" s="158"/>
      <c r="L981" s="158"/>
      <c r="M981" s="158"/>
      <c r="N981" s="158"/>
      <c r="O981" s="158"/>
      <c r="P981" s="158"/>
      <c r="Q981" s="158"/>
      <c r="R981" s="158"/>
      <c r="S981" s="158"/>
      <c r="T981" s="158"/>
      <c r="U981" s="158"/>
      <c r="V981" s="158"/>
      <c r="W981" s="158"/>
      <c r="X981" s="158"/>
      <c r="Y981" s="158"/>
      <c r="Z981" s="158"/>
    </row>
    <row r="982" spans="1:26" ht="12" customHeight="1">
      <c r="A982" s="147"/>
      <c r="B982" s="158"/>
      <c r="C982" s="158"/>
      <c r="D982" s="158"/>
      <c r="E982" s="158"/>
      <c r="F982" s="158"/>
      <c r="G982" s="158"/>
      <c r="H982" s="158"/>
      <c r="I982" s="158"/>
      <c r="J982" s="158"/>
      <c r="K982" s="158"/>
      <c r="L982" s="158"/>
      <c r="M982" s="158"/>
      <c r="N982" s="158"/>
      <c r="O982" s="158"/>
      <c r="P982" s="158"/>
      <c r="Q982" s="158"/>
      <c r="R982" s="158"/>
      <c r="S982" s="158"/>
      <c r="T982" s="158"/>
      <c r="U982" s="158"/>
      <c r="V982" s="158"/>
      <c r="W982" s="158"/>
      <c r="X982" s="158"/>
      <c r="Y982" s="158"/>
      <c r="Z982" s="158"/>
    </row>
    <row r="983" spans="1:26" ht="12" customHeight="1">
      <c r="A983" s="147"/>
      <c r="B983" s="158"/>
      <c r="C983" s="158"/>
      <c r="D983" s="158"/>
      <c r="E983" s="158"/>
      <c r="F983" s="158"/>
      <c r="G983" s="158"/>
      <c r="H983" s="158"/>
      <c r="I983" s="158"/>
      <c r="J983" s="158"/>
      <c r="K983" s="158"/>
      <c r="L983" s="158"/>
      <c r="M983" s="158"/>
      <c r="N983" s="158"/>
      <c r="O983" s="158"/>
      <c r="P983" s="158"/>
      <c r="Q983" s="158"/>
      <c r="R983" s="158"/>
      <c r="S983" s="158"/>
      <c r="T983" s="158"/>
      <c r="U983" s="158"/>
      <c r="V983" s="158"/>
      <c r="W983" s="158"/>
      <c r="X983" s="158"/>
      <c r="Y983" s="158"/>
      <c r="Z983" s="158"/>
    </row>
    <row r="984" spans="1:26" ht="12" customHeight="1">
      <c r="A984" s="147"/>
      <c r="B984" s="158"/>
      <c r="C984" s="158"/>
      <c r="D984" s="158"/>
      <c r="E984" s="158"/>
      <c r="F984" s="158"/>
      <c r="G984" s="158"/>
      <c r="H984" s="158"/>
      <c r="I984" s="158"/>
      <c r="J984" s="158"/>
      <c r="K984" s="158"/>
      <c r="L984" s="158"/>
      <c r="M984" s="158"/>
      <c r="N984" s="158"/>
      <c r="O984" s="158"/>
      <c r="P984" s="158"/>
      <c r="Q984" s="158"/>
      <c r="R984" s="158"/>
      <c r="S984" s="158"/>
      <c r="T984" s="158"/>
      <c r="U984" s="158"/>
      <c r="V984" s="158"/>
      <c r="W984" s="158"/>
      <c r="X984" s="158"/>
      <c r="Y984" s="158"/>
      <c r="Z984" s="158"/>
    </row>
    <row r="985" spans="1:26" ht="12" customHeight="1">
      <c r="A985" s="147"/>
      <c r="B985" s="158"/>
      <c r="C985" s="158"/>
      <c r="D985" s="158"/>
      <c r="E985" s="158"/>
      <c r="F985" s="158"/>
      <c r="G985" s="158"/>
      <c r="H985" s="158"/>
      <c r="I985" s="158"/>
      <c r="J985" s="158"/>
      <c r="K985" s="158"/>
      <c r="L985" s="158"/>
      <c r="M985" s="158"/>
      <c r="N985" s="158"/>
      <c r="O985" s="158"/>
      <c r="P985" s="158"/>
      <c r="Q985" s="158"/>
      <c r="R985" s="158"/>
      <c r="S985" s="158"/>
      <c r="T985" s="158"/>
      <c r="U985" s="158"/>
      <c r="V985" s="158"/>
      <c r="W985" s="158"/>
      <c r="X985" s="158"/>
      <c r="Y985" s="158"/>
      <c r="Z985" s="158"/>
    </row>
    <row r="986" spans="1:26" ht="12" customHeight="1">
      <c r="A986" s="147"/>
      <c r="B986" s="158"/>
      <c r="C986" s="158"/>
      <c r="D986" s="158"/>
      <c r="E986" s="158"/>
      <c r="F986" s="158"/>
      <c r="G986" s="158"/>
      <c r="H986" s="158"/>
      <c r="I986" s="158"/>
      <c r="J986" s="158"/>
      <c r="K986" s="158"/>
      <c r="L986" s="158"/>
      <c r="M986" s="158"/>
      <c r="N986" s="158"/>
      <c r="O986" s="158"/>
      <c r="P986" s="158"/>
      <c r="Q986" s="158"/>
      <c r="R986" s="158"/>
      <c r="S986" s="158"/>
      <c r="T986" s="158"/>
      <c r="U986" s="158"/>
      <c r="V986" s="158"/>
      <c r="W986" s="158"/>
      <c r="X986" s="158"/>
      <c r="Y986" s="158"/>
      <c r="Z986" s="158"/>
    </row>
    <row r="987" spans="1:26" ht="12" customHeight="1">
      <c r="A987" s="147"/>
      <c r="B987" s="158"/>
      <c r="C987" s="158"/>
      <c r="D987" s="158"/>
      <c r="E987" s="158"/>
      <c r="F987" s="158"/>
      <c r="G987" s="158"/>
      <c r="H987" s="158"/>
      <c r="I987" s="158"/>
      <c r="J987" s="158"/>
      <c r="K987" s="158"/>
      <c r="L987" s="158"/>
      <c r="M987" s="158"/>
      <c r="N987" s="158"/>
      <c r="O987" s="158"/>
      <c r="P987" s="158"/>
      <c r="Q987" s="158"/>
      <c r="R987" s="158"/>
      <c r="S987" s="158"/>
      <c r="T987" s="158"/>
      <c r="U987" s="158"/>
      <c r="V987" s="158"/>
      <c r="W987" s="158"/>
      <c r="X987" s="158"/>
      <c r="Y987" s="158"/>
      <c r="Z987" s="158"/>
    </row>
    <row r="988" spans="1:26" ht="12" customHeight="1">
      <c r="A988" s="147"/>
      <c r="B988" s="158"/>
      <c r="C988" s="158"/>
      <c r="D988" s="158"/>
      <c r="E988" s="158"/>
      <c r="F988" s="158"/>
      <c r="G988" s="158"/>
      <c r="H988" s="158"/>
      <c r="I988" s="158"/>
      <c r="J988" s="158"/>
      <c r="K988" s="158"/>
      <c r="L988" s="158"/>
      <c r="M988" s="158"/>
      <c r="N988" s="158"/>
      <c r="O988" s="158"/>
      <c r="P988" s="158"/>
      <c r="Q988" s="158"/>
      <c r="R988" s="158"/>
      <c r="S988" s="158"/>
      <c r="T988" s="158"/>
      <c r="U988" s="158"/>
      <c r="V988" s="158"/>
      <c r="W988" s="158"/>
      <c r="X988" s="158"/>
      <c r="Y988" s="158"/>
      <c r="Z988" s="158"/>
    </row>
    <row r="989" spans="1:26" ht="12" customHeight="1">
      <c r="A989" s="147"/>
      <c r="B989" s="158"/>
      <c r="C989" s="158"/>
      <c r="D989" s="158"/>
      <c r="E989" s="158"/>
      <c r="F989" s="158"/>
      <c r="G989" s="158"/>
      <c r="H989" s="158"/>
      <c r="I989" s="158"/>
      <c r="J989" s="158"/>
      <c r="K989" s="158"/>
      <c r="L989" s="158"/>
      <c r="M989" s="158"/>
      <c r="N989" s="158"/>
      <c r="O989" s="158"/>
      <c r="P989" s="158"/>
      <c r="Q989" s="158"/>
      <c r="R989" s="158"/>
      <c r="S989" s="158"/>
      <c r="T989" s="158"/>
      <c r="U989" s="158"/>
      <c r="V989" s="158"/>
      <c r="W989" s="158"/>
      <c r="X989" s="158"/>
      <c r="Y989" s="158"/>
      <c r="Z989" s="158"/>
    </row>
    <row r="990" spans="1:26" ht="12" customHeight="1">
      <c r="A990" s="147"/>
      <c r="B990" s="158"/>
      <c r="C990" s="158"/>
      <c r="D990" s="158"/>
      <c r="E990" s="158"/>
      <c r="F990" s="158"/>
      <c r="G990" s="158"/>
      <c r="H990" s="158"/>
      <c r="I990" s="158"/>
      <c r="J990" s="158"/>
      <c r="K990" s="158"/>
      <c r="L990" s="158"/>
      <c r="M990" s="158"/>
      <c r="N990" s="158"/>
      <c r="O990" s="158"/>
      <c r="P990" s="158"/>
      <c r="Q990" s="158"/>
      <c r="R990" s="158"/>
      <c r="S990" s="158"/>
      <c r="T990" s="158"/>
      <c r="U990" s="158"/>
      <c r="V990" s="158"/>
      <c r="W990" s="158"/>
      <c r="X990" s="158"/>
      <c r="Y990" s="158"/>
      <c r="Z990" s="158"/>
    </row>
    <row r="991" spans="1:26" ht="12" customHeight="1">
      <c r="A991" s="147"/>
      <c r="B991" s="158"/>
      <c r="C991" s="158"/>
      <c r="D991" s="158"/>
      <c r="E991" s="158"/>
      <c r="F991" s="158"/>
      <c r="G991" s="158"/>
      <c r="H991" s="158"/>
      <c r="I991" s="158"/>
      <c r="J991" s="158"/>
      <c r="K991" s="158"/>
      <c r="L991" s="158"/>
      <c r="M991" s="158"/>
      <c r="N991" s="158"/>
      <c r="O991" s="158"/>
      <c r="P991" s="158"/>
      <c r="Q991" s="158"/>
      <c r="R991" s="158"/>
      <c r="S991" s="158"/>
      <c r="T991" s="158"/>
      <c r="U991" s="158"/>
      <c r="V991" s="158"/>
      <c r="W991" s="158"/>
      <c r="X991" s="158"/>
      <c r="Y991" s="158"/>
      <c r="Z991" s="158"/>
    </row>
    <row r="992" spans="1:26" ht="12" customHeight="1">
      <c r="A992" s="147"/>
      <c r="B992" s="158"/>
      <c r="C992" s="158"/>
      <c r="D992" s="158"/>
      <c r="E992" s="158"/>
      <c r="F992" s="158"/>
      <c r="G992" s="158"/>
      <c r="H992" s="158"/>
      <c r="I992" s="158"/>
      <c r="J992" s="158"/>
      <c r="K992" s="158"/>
      <c r="L992" s="158"/>
      <c r="M992" s="158"/>
      <c r="N992" s="158"/>
      <c r="O992" s="158"/>
      <c r="P992" s="158"/>
      <c r="Q992" s="158"/>
      <c r="R992" s="158"/>
      <c r="S992" s="158"/>
      <c r="T992" s="158"/>
      <c r="U992" s="158"/>
      <c r="V992" s="158"/>
      <c r="W992" s="158"/>
      <c r="X992" s="158"/>
      <c r="Y992" s="158"/>
      <c r="Z992" s="158"/>
    </row>
    <row r="993" spans="1:26" ht="12" customHeight="1">
      <c r="A993" s="147"/>
      <c r="B993" s="158"/>
      <c r="C993" s="158"/>
      <c r="D993" s="158"/>
      <c r="E993" s="158"/>
      <c r="F993" s="158"/>
      <c r="G993" s="158"/>
      <c r="H993" s="158"/>
      <c r="I993" s="158"/>
      <c r="J993" s="158"/>
      <c r="K993" s="158"/>
      <c r="L993" s="158"/>
      <c r="M993" s="158"/>
      <c r="N993" s="158"/>
      <c r="O993" s="158"/>
      <c r="P993" s="158"/>
      <c r="Q993" s="158"/>
      <c r="R993" s="158"/>
      <c r="S993" s="158"/>
      <c r="T993" s="158"/>
      <c r="U993" s="158"/>
      <c r="V993" s="158"/>
      <c r="W993" s="158"/>
      <c r="X993" s="158"/>
      <c r="Y993" s="158"/>
      <c r="Z993" s="158"/>
    </row>
    <row r="994" spans="1:26" ht="12" customHeight="1">
      <c r="A994" s="147"/>
      <c r="B994" s="158"/>
      <c r="C994" s="158"/>
      <c r="D994" s="158"/>
      <c r="E994" s="158"/>
      <c r="F994" s="158"/>
      <c r="G994" s="158"/>
      <c r="H994" s="158"/>
      <c r="I994" s="158"/>
      <c r="J994" s="158"/>
      <c r="K994" s="158"/>
      <c r="L994" s="158"/>
      <c r="M994" s="158"/>
      <c r="N994" s="158"/>
      <c r="O994" s="158"/>
      <c r="P994" s="158"/>
      <c r="Q994" s="158"/>
      <c r="R994" s="158"/>
      <c r="S994" s="158"/>
      <c r="T994" s="158"/>
      <c r="U994" s="158"/>
      <c r="V994" s="158"/>
      <c r="W994" s="158"/>
      <c r="X994" s="158"/>
      <c r="Y994" s="158"/>
      <c r="Z994" s="158"/>
    </row>
    <row r="995" spans="1:26" ht="12" customHeight="1">
      <c r="A995" s="147"/>
      <c r="B995" s="158"/>
      <c r="C995" s="158"/>
      <c r="D995" s="158"/>
      <c r="E995" s="158"/>
      <c r="F995" s="158"/>
      <c r="G995" s="158"/>
      <c r="H995" s="158"/>
      <c r="I995" s="158"/>
      <c r="J995" s="158"/>
      <c r="K995" s="158"/>
      <c r="L995" s="158"/>
      <c r="M995" s="158"/>
      <c r="N995" s="158"/>
      <c r="O995" s="158"/>
      <c r="P995" s="158"/>
      <c r="Q995" s="158"/>
      <c r="R995" s="158"/>
      <c r="S995" s="158"/>
      <c r="T995" s="158"/>
      <c r="U995" s="158"/>
      <c r="V995" s="158"/>
      <c r="W995" s="158"/>
      <c r="X995" s="158"/>
      <c r="Y995" s="158"/>
      <c r="Z995" s="158"/>
    </row>
    <row r="996" spans="1:26" ht="12" customHeight="1">
      <c r="A996" s="147"/>
      <c r="B996" s="158"/>
      <c r="C996" s="158"/>
      <c r="D996" s="158"/>
      <c r="E996" s="158"/>
      <c r="F996" s="158"/>
      <c r="G996" s="158"/>
      <c r="H996" s="158"/>
      <c r="I996" s="158"/>
      <c r="J996" s="158"/>
      <c r="K996" s="158"/>
      <c r="L996" s="158"/>
      <c r="M996" s="158"/>
      <c r="N996" s="158"/>
      <c r="O996" s="158"/>
      <c r="P996" s="158"/>
      <c r="Q996" s="158"/>
      <c r="R996" s="158"/>
      <c r="S996" s="158"/>
      <c r="T996" s="158"/>
      <c r="U996" s="158"/>
      <c r="V996" s="158"/>
      <c r="W996" s="158"/>
      <c r="X996" s="158"/>
      <c r="Y996" s="158"/>
      <c r="Z996" s="158"/>
    </row>
    <row r="997" spans="1:26" ht="12" customHeight="1">
      <c r="A997" s="147"/>
      <c r="B997" s="158"/>
      <c r="C997" s="158"/>
      <c r="D997" s="158"/>
      <c r="E997" s="158"/>
      <c r="F997" s="158"/>
      <c r="G997" s="158"/>
      <c r="H997" s="158"/>
      <c r="I997" s="158"/>
      <c r="J997" s="158"/>
      <c r="K997" s="158"/>
      <c r="L997" s="158"/>
      <c r="M997" s="158"/>
      <c r="N997" s="158"/>
      <c r="O997" s="158"/>
      <c r="P997" s="158"/>
      <c r="Q997" s="158"/>
      <c r="R997" s="158"/>
      <c r="S997" s="158"/>
      <c r="T997" s="158"/>
      <c r="U997" s="158"/>
      <c r="V997" s="158"/>
      <c r="W997" s="158"/>
      <c r="X997" s="158"/>
      <c r="Y997" s="158"/>
      <c r="Z997" s="158"/>
    </row>
    <row r="998" spans="1:26" ht="12" customHeight="1">
      <c r="A998" s="147"/>
      <c r="B998" s="158"/>
      <c r="C998" s="158"/>
      <c r="D998" s="158"/>
      <c r="E998" s="158"/>
      <c r="F998" s="158"/>
      <c r="G998" s="158"/>
      <c r="H998" s="158"/>
      <c r="I998" s="158"/>
      <c r="J998" s="158"/>
      <c r="K998" s="158"/>
      <c r="L998" s="158"/>
      <c r="M998" s="158"/>
      <c r="N998" s="158"/>
      <c r="O998" s="158"/>
      <c r="P998" s="158"/>
      <c r="Q998" s="158"/>
      <c r="R998" s="158"/>
      <c r="S998" s="158"/>
      <c r="T998" s="158"/>
      <c r="U998" s="158"/>
      <c r="V998" s="158"/>
      <c r="W998" s="158"/>
      <c r="X998" s="158"/>
      <c r="Y998" s="158"/>
      <c r="Z998" s="158"/>
    </row>
    <row r="999" spans="1:26" ht="12" customHeight="1">
      <c r="A999" s="147"/>
      <c r="B999" s="158"/>
      <c r="C999" s="158"/>
      <c r="D999" s="158"/>
      <c r="E999" s="158"/>
      <c r="F999" s="158"/>
      <c r="G999" s="158"/>
      <c r="H999" s="158"/>
      <c r="I999" s="158"/>
      <c r="J999" s="158"/>
      <c r="K999" s="158"/>
      <c r="L999" s="158"/>
      <c r="M999" s="158"/>
      <c r="N999" s="158"/>
      <c r="O999" s="158"/>
      <c r="P999" s="158"/>
      <c r="Q999" s="158"/>
      <c r="R999" s="158"/>
      <c r="S999" s="158"/>
      <c r="T999" s="158"/>
      <c r="U999" s="158"/>
      <c r="V999" s="158"/>
      <c r="W999" s="158"/>
      <c r="X999" s="158"/>
      <c r="Y999" s="158"/>
      <c r="Z999" s="158"/>
    </row>
    <row r="1000" spans="1:26" ht="12" customHeight="1">
      <c r="A1000" s="147"/>
      <c r="B1000" s="158"/>
      <c r="C1000" s="158"/>
      <c r="D1000" s="158"/>
      <c r="E1000" s="158"/>
      <c r="F1000" s="158"/>
      <c r="G1000" s="158"/>
      <c r="H1000" s="158"/>
      <c r="I1000" s="158"/>
      <c r="J1000" s="158"/>
      <c r="K1000" s="158"/>
      <c r="L1000" s="158"/>
      <c r="M1000" s="158"/>
      <c r="N1000" s="158"/>
      <c r="O1000" s="158"/>
      <c r="P1000" s="158"/>
      <c r="Q1000" s="158"/>
      <c r="R1000" s="158"/>
      <c r="S1000" s="158"/>
      <c r="T1000" s="158"/>
      <c r="U1000" s="158"/>
      <c r="V1000" s="158"/>
      <c r="W1000" s="158"/>
      <c r="X1000" s="158"/>
      <c r="Y1000" s="158"/>
      <c r="Z1000" s="158"/>
    </row>
  </sheetData>
  <pageMargins left="0.75" right="0.75" top="1" bottom="1"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A1:D1000"/>
  <sheetViews>
    <sheetView workbookViewId="0"/>
  </sheetViews>
  <sheetFormatPr baseColWidth="10" defaultColWidth="14.42578125" defaultRowHeight="15" customHeight="1"/>
  <cols>
    <col min="1" max="26" width="10.85546875" customWidth="1"/>
  </cols>
  <sheetData>
    <row r="1" spans="1:4" ht="12" customHeight="1">
      <c r="A1" s="127" t="s">
        <v>462</v>
      </c>
      <c r="B1" s="127" t="s">
        <v>8</v>
      </c>
      <c r="C1" s="127" t="s">
        <v>463</v>
      </c>
    </row>
    <row r="2" spans="1:4" ht="12" customHeight="1">
      <c r="A2" s="127" t="s">
        <v>5</v>
      </c>
      <c r="B2" s="127">
        <v>-1.9113990000000001</v>
      </c>
      <c r="C2" s="136">
        <f>+'PTI-16'!F7</f>
        <v>1</v>
      </c>
      <c r="D2" s="127">
        <f t="shared" ref="D2:D17" si="0">+C2*B2</f>
        <v>-1.9113990000000001</v>
      </c>
    </row>
    <row r="3" spans="1:4" ht="12" customHeight="1">
      <c r="A3" s="127" t="s">
        <v>8</v>
      </c>
      <c r="B3" s="127">
        <v>-0.104347</v>
      </c>
      <c r="C3" s="136">
        <f>+B</f>
        <v>1</v>
      </c>
      <c r="D3" s="127">
        <f t="shared" si="0"/>
        <v>-0.104347</v>
      </c>
    </row>
    <row r="4" spans="1:4" ht="12" customHeight="1">
      <c r="A4" s="127" t="s">
        <v>11</v>
      </c>
      <c r="B4" s="127">
        <v>7.0983000000000004E-2</v>
      </c>
      <c r="C4" s="136">
        <f>+C_</f>
        <v>1</v>
      </c>
      <c r="D4" s="127">
        <f t="shared" si="0"/>
        <v>7.0983000000000004E-2</v>
      </c>
    </row>
    <row r="5" spans="1:4" ht="12" customHeight="1">
      <c r="A5" s="127" t="s">
        <v>14</v>
      </c>
      <c r="B5" s="127">
        <v>-7.7810000000000004E-2</v>
      </c>
      <c r="C5" s="136">
        <f>+E</f>
        <v>1</v>
      </c>
      <c r="D5" s="127">
        <f t="shared" si="0"/>
        <v>-7.7810000000000004E-2</v>
      </c>
    </row>
    <row r="6" spans="1:4" ht="12" customHeight="1">
      <c r="A6" s="127" t="s">
        <v>17</v>
      </c>
      <c r="B6" s="127">
        <v>1.228091</v>
      </c>
      <c r="C6" s="136">
        <f>+_F</f>
        <v>1</v>
      </c>
      <c r="D6" s="127">
        <f t="shared" si="0"/>
        <v>1.228091</v>
      </c>
    </row>
    <row r="7" spans="1:4" ht="12" customHeight="1">
      <c r="A7" s="127" t="s">
        <v>20</v>
      </c>
      <c r="B7" s="127">
        <v>-1.5360069999999999</v>
      </c>
      <c r="C7" s="136">
        <f>+G</f>
        <v>1</v>
      </c>
      <c r="D7" s="127">
        <f t="shared" si="0"/>
        <v>-1.5360069999999999</v>
      </c>
    </row>
    <row r="8" spans="1:4" ht="12" customHeight="1">
      <c r="A8" s="127" t="s">
        <v>23</v>
      </c>
      <c r="B8" s="127">
        <v>0.61626499999999995</v>
      </c>
      <c r="C8" s="136">
        <f>+H</f>
        <v>1</v>
      </c>
      <c r="D8" s="127">
        <f t="shared" si="0"/>
        <v>0.61626499999999995</v>
      </c>
    </row>
    <row r="9" spans="1:4" ht="12" customHeight="1">
      <c r="A9" s="127" t="s">
        <v>26</v>
      </c>
      <c r="B9" s="127">
        <v>1.7764150000000001</v>
      </c>
      <c r="C9" s="136">
        <f>+I</f>
        <v>1</v>
      </c>
      <c r="D9" s="127">
        <f t="shared" si="0"/>
        <v>1.7764150000000001</v>
      </c>
    </row>
    <row r="10" spans="1:4" ht="12" customHeight="1">
      <c r="A10" s="127" t="s">
        <v>29</v>
      </c>
      <c r="B10" s="127">
        <v>0.11922099999999999</v>
      </c>
      <c r="C10" s="136">
        <f>+'PTI-16'!F15</f>
        <v>1</v>
      </c>
      <c r="D10" s="127">
        <f t="shared" si="0"/>
        <v>0.11922099999999999</v>
      </c>
    </row>
    <row r="11" spans="1:4" ht="12" customHeight="1">
      <c r="A11" s="127" t="s">
        <v>32</v>
      </c>
      <c r="B11" s="127">
        <v>0.71976499999999999</v>
      </c>
      <c r="C11" s="136">
        <f>+M</f>
        <v>1</v>
      </c>
      <c r="D11" s="127">
        <f t="shared" si="0"/>
        <v>0.71976499999999999</v>
      </c>
    </row>
    <row r="12" spans="1:4" ht="12" customHeight="1">
      <c r="A12" s="127" t="s">
        <v>35</v>
      </c>
      <c r="B12" s="127">
        <v>2.4173819999999999</v>
      </c>
      <c r="C12" s="136">
        <f>+N</f>
        <v>1</v>
      </c>
      <c r="D12" s="127">
        <f t="shared" si="0"/>
        <v>2.4173819999999999</v>
      </c>
    </row>
    <row r="13" spans="1:4" ht="12" customHeight="1">
      <c r="A13" s="127" t="s">
        <v>38</v>
      </c>
      <c r="B13" s="127">
        <v>-2.1557900000000001</v>
      </c>
      <c r="C13" s="136">
        <f>+O</f>
        <v>2</v>
      </c>
      <c r="D13" s="127">
        <f t="shared" si="0"/>
        <v>-4.3115800000000002</v>
      </c>
    </row>
    <row r="14" spans="1:4" ht="12" customHeight="1">
      <c r="A14" s="127" t="s">
        <v>41</v>
      </c>
      <c r="B14" s="127">
        <v>-1.3545210000000001</v>
      </c>
      <c r="C14" s="136">
        <f>+Q1_</f>
        <v>1</v>
      </c>
      <c r="D14" s="127">
        <f t="shared" si="0"/>
        <v>-1.3545210000000001</v>
      </c>
    </row>
    <row r="15" spans="1:4" ht="12" customHeight="1">
      <c r="A15" s="127" t="s">
        <v>44</v>
      </c>
      <c r="B15" s="127">
        <v>2.0949529999999998</v>
      </c>
      <c r="C15" s="136">
        <f>+Q2_</f>
        <v>1</v>
      </c>
      <c r="D15" s="127">
        <f t="shared" si="0"/>
        <v>2.0949529999999998</v>
      </c>
    </row>
    <row r="16" spans="1:4" ht="12" customHeight="1">
      <c r="A16" s="127" t="s">
        <v>47</v>
      </c>
      <c r="B16" s="127">
        <v>-0.33676600000000001</v>
      </c>
      <c r="C16" s="136">
        <f>+Q3_</f>
        <v>1</v>
      </c>
      <c r="D16" s="127">
        <f t="shared" si="0"/>
        <v>-0.33676600000000001</v>
      </c>
    </row>
    <row r="17" spans="1:4" ht="12" customHeight="1">
      <c r="A17" s="127" t="s">
        <v>50</v>
      </c>
      <c r="B17" s="127">
        <v>3.2353299999999998</v>
      </c>
      <c r="C17" s="136">
        <f>+Q4_</f>
        <v>2</v>
      </c>
      <c r="D17" s="127">
        <f t="shared" si="0"/>
        <v>6.4706599999999996</v>
      </c>
    </row>
    <row r="18" spans="1:4" ht="12" customHeight="1">
      <c r="A18" s="127" t="s">
        <v>429</v>
      </c>
      <c r="B18" s="127">
        <v>75.984802999999999</v>
      </c>
      <c r="D18" s="127">
        <f>+B18</f>
        <v>75.984802999999999</v>
      </c>
    </row>
    <row r="19" spans="1:4" ht="12" customHeight="1">
      <c r="D19" s="135">
        <f>+SUM(D2:D18)/100</f>
        <v>0.81866107999999993</v>
      </c>
    </row>
    <row r="20" spans="1:4" ht="12" customHeight="1">
      <c r="D20" s="127">
        <f>INT(+D19*10)</f>
        <v>8</v>
      </c>
    </row>
    <row r="21" spans="1:4" ht="12" customHeight="1">
      <c r="D21" s="127">
        <f>+IF(D20&gt;10,10,D20)</f>
        <v>8</v>
      </c>
    </row>
    <row r="22" spans="1:4" ht="12" customHeight="1"/>
    <row r="23" spans="1:4" ht="12" customHeight="1"/>
    <row r="24" spans="1:4" ht="12" customHeight="1"/>
    <row r="25" spans="1:4" ht="12" customHeight="1"/>
    <row r="26" spans="1:4" ht="12" customHeight="1"/>
    <row r="27" spans="1:4" ht="12" customHeight="1"/>
    <row r="28" spans="1:4" ht="12" customHeight="1"/>
    <row r="29" spans="1:4" ht="12" customHeight="1"/>
    <row r="30" spans="1:4" ht="12" customHeight="1"/>
    <row r="31" spans="1:4" ht="12" customHeight="1"/>
    <row r="32" spans="1:4"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55</vt:i4>
      </vt:variant>
    </vt:vector>
  </HeadingPairs>
  <TitlesOfParts>
    <vt:vector size="68" baseType="lpstr">
      <vt:lpstr>PTI-16</vt:lpstr>
      <vt:lpstr>Informe</vt:lpstr>
      <vt:lpstr>Textos</vt:lpstr>
      <vt:lpstr>Proceso items</vt:lpstr>
      <vt:lpstr>.</vt:lpstr>
      <vt:lpstr>Cálculos</vt:lpstr>
      <vt:lpstr>SEC</vt:lpstr>
      <vt:lpstr>SPA</vt:lpstr>
      <vt:lpstr>MED</vt:lpstr>
      <vt:lpstr>SEM-ESP</vt:lpstr>
      <vt:lpstr>EMPRES</vt:lpstr>
      <vt:lpstr>CIENT</vt:lpstr>
      <vt:lpstr>ADM CUOTA</vt:lpstr>
      <vt:lpstr>'PTI-16'!__123Graph_A</vt:lpstr>
      <vt:lpstr>_F</vt:lpstr>
      <vt:lpstr>'PTI-16'!_Fill</vt:lpstr>
      <vt:lpstr>'PTI-16'!_Key1</vt:lpstr>
      <vt:lpstr>'PTI-16'!_Key2</vt:lpstr>
      <vt:lpstr>_l</vt:lpstr>
      <vt:lpstr>'PTI-16'!_Sort</vt:lpstr>
      <vt:lpstr>_tq1</vt:lpstr>
      <vt:lpstr>_tq2</vt:lpstr>
      <vt:lpstr>_tq3</vt:lpstr>
      <vt:lpstr>_tq4</vt:lpstr>
      <vt:lpstr>A</vt:lpstr>
      <vt:lpstr>A_impresión_IM</vt:lpstr>
      <vt:lpstr>B</vt:lpstr>
      <vt:lpstr>C_</vt:lpstr>
      <vt:lpstr>DIS</vt:lpstr>
      <vt:lpstr>E</vt:lpstr>
      <vt:lpstr>ECUA</vt:lpstr>
      <vt:lpstr>FLECHA1</vt:lpstr>
      <vt:lpstr>FLECHA2</vt:lpstr>
      <vt:lpstr>FLECHA3</vt:lpstr>
      <vt:lpstr>G</vt:lpstr>
      <vt:lpstr>H</vt:lpstr>
      <vt:lpstr>HOJA</vt:lpstr>
      <vt:lpstr>I</vt:lpstr>
      <vt:lpstr>L</vt:lpstr>
      <vt:lpstr>LINEA</vt:lpstr>
      <vt:lpstr>LISTATABLAS</vt:lpstr>
      <vt:lpstr>LOGO</vt:lpstr>
      <vt:lpstr>M</vt:lpstr>
      <vt:lpstr>mat</vt:lpstr>
      <vt:lpstr>N</vt:lpstr>
      <vt:lpstr>O</vt:lpstr>
      <vt:lpstr>PERFIL</vt:lpstr>
      <vt:lpstr>Proceso</vt:lpstr>
      <vt:lpstr>Q1_</vt:lpstr>
      <vt:lpstr>Q2_</vt:lpstr>
      <vt:lpstr>Q3_</vt:lpstr>
      <vt:lpstr>Q4_</vt:lpstr>
      <vt:lpstr>ta</vt:lpstr>
      <vt:lpstr>tabladis</vt:lpstr>
      <vt:lpstr>TABLAS</vt:lpstr>
      <vt:lpstr>TB</vt:lpstr>
      <vt:lpstr>tc</vt:lpstr>
      <vt:lpstr>TE</vt:lpstr>
      <vt:lpstr>TEXTO</vt:lpstr>
      <vt:lpstr>TF</vt:lpstr>
      <vt:lpstr>tg</vt:lpstr>
      <vt:lpstr>th</vt:lpstr>
      <vt:lpstr>TI</vt:lpstr>
      <vt:lpstr>tl</vt:lpstr>
      <vt:lpstr>tm</vt:lpstr>
      <vt:lpstr>TN</vt:lpstr>
      <vt:lpstr>to</vt:lpstr>
      <vt:lpstr>TSO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Octavio Escobar, oescobar@hotmail.com</dc:creator>
  <cp:lastModifiedBy>aprendiz desarrollo</cp:lastModifiedBy>
  <cp:lastPrinted>2026-10-19T14:06:47Z</cp:lastPrinted>
  <dcterms:created xsi:type="dcterms:W3CDTF">2001-05-17T14:43:11Z</dcterms:created>
  <dcterms:modified xsi:type="dcterms:W3CDTF">2026-10-19T14:15:40Z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0x01010081789906A746894BAD78A93F2E81F0E5</vt:lpwstr>
  </property>
</Properties>
</file>